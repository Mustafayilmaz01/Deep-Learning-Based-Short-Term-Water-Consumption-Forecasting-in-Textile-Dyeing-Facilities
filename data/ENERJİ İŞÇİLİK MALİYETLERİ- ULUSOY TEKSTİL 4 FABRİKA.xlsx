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T1 (1273)" sheetId="1" state="visible" r:id="rId2"/>
    <sheet name="UT2 (12334)" sheetId="2" state="visible" r:id="rId3"/>
    <sheet name="UT3 (1279)" sheetId="3" state="visible" r:id="rId4"/>
    <sheet name="Σ" sheetId="4" state="visible" r:id="rId5"/>
    <sheet name="UT4 (1271)" sheetId="5" state="visible" r:id="rId6"/>
    <sheet name="UT3b (1278)" sheetId="6" state="hidden" r:id="rId7"/>
    <sheet name="Osm." sheetId="7" state="hidden" r:id="rId8"/>
    <sheet name="$" sheetId="8" state="visible" r:id="rId9"/>
    <sheet name="$h" sheetId="9" state="visible" r:id="rId10"/>
  </sheets>
  <definedNames>
    <definedName function="false" hidden="false" localSheetId="8" name="Excel_BuiltIn_Print_Area" vbProcedure="false">'$h'!$A$1:$B$14</definedName>
    <definedName function="false" hidden="false" localSheetId="8" name="_xlnm_Print_Area_1_1" vbProcedure="false">'$h'!$A$1:$B$18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0"/>
            <color rgb="FF000000"/>
            <rFont val="Calibri"/>
            <family val="0"/>
            <charset val="1"/>
          </rPr>
          <t xml:space="preserve">Tüm faturalar Satınalmadan alınacak</t>
        </r>
      </text>
    </comment>
    <comment ref="C179" authorId="0">
      <text>
        <r>
          <rPr>
            <sz val="10"/>
            <color rgb="FF000000"/>
            <rFont val="Calibri"/>
            <family val="0"/>
            <charset val="1"/>
          </rPr>
          <t xml:space="preserve">Aosb endeksi okuyamadığı için fatura kesilmedi Bu yüzden ekim 2 ye bölünerek yarısı eylüle yazıldı</t>
        </r>
      </text>
    </comment>
    <comment ref="E177" authorId="0">
      <text>
        <r>
          <rPr>
            <sz val="10"/>
            <color rgb="FF000000"/>
            <rFont val="Calibri"/>
            <family val="0"/>
            <charset val="1"/>
          </rPr>
          <t xml:space="preserve">SN : 206.467 TLsi Hazirana ait olup kesimleşerek Temmuz faturasına dahil edilmiştir.</t>
        </r>
      </text>
    </comment>
    <comment ref="E178" authorId="0">
      <text>
        <r>
          <rPr>
            <sz val="10"/>
            <color rgb="FF000000"/>
            <rFont val="Calibri"/>
            <family val="0"/>
            <charset val="1"/>
          </rPr>
          <t xml:space="preserve">Temmuza ait 428.966 tl tutar ağustosa yansıdı</t>
        </r>
      </text>
    </comment>
    <comment ref="F1" authorId="0">
      <text>
        <r>
          <rPr>
            <sz val="10"/>
            <color rgb="FF000000"/>
            <rFont val="Calibri"/>
            <family val="0"/>
            <charset val="1"/>
          </rPr>
          <t xml:space="preserve">Tüm faturalar Satınalmadan alınacak</t>
        </r>
      </text>
    </comment>
    <comment ref="H2" authorId="0">
      <text>
        <r>
          <rPr>
            <sz val="10"/>
            <color rgb="FF000000"/>
            <rFont val="Calibri"/>
            <family val="0"/>
            <charset val="1"/>
          </rPr>
          <t xml:space="preserve">Aosb faturadan alınacak</t>
        </r>
      </text>
    </comment>
    <comment ref="I2" authorId="0">
      <text>
        <r>
          <rPr>
            <sz val="10"/>
            <color rgb="FF000000"/>
            <rFont val="Calibri"/>
            <family val="0"/>
            <charset val="1"/>
          </rPr>
          <t xml:space="preserve">Elektrik tüketimi UT2 Sezer Acardan alınacak</t>
        </r>
      </text>
    </comment>
    <comment ref="J2" authorId="0">
      <text>
        <r>
          <rPr>
            <sz val="10"/>
            <color rgb="FF000000"/>
            <rFont val="Calibri"/>
            <family val="0"/>
            <charset val="1"/>
          </rPr>
          <t xml:space="preserve">UT2 Sezer Acar dan alınacak</t>
        </r>
      </text>
    </comment>
    <comment ref="S1" authorId="0">
      <text>
        <r>
          <rPr>
            <sz val="10"/>
            <color rgb="FF000000"/>
            <rFont val="Calibri"/>
            <family val="0"/>
            <charset val="1"/>
          </rPr>
          <t xml:space="preserve">Win+R
\\192.168.0.3\atolye</t>
        </r>
      </text>
    </comment>
    <comment ref="AA174" authorId="0">
      <text>
        <r>
          <rPr>
            <sz val="10"/>
            <color rgb="FF000000"/>
            <rFont val="Calibri"/>
            <family val="0"/>
            <charset val="1"/>
          </rPr>
          <t xml:space="preserve">Doğalgaza %22 zam geldi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18" authorId="0">
      <text>
        <r>
          <rPr>
            <sz val="10"/>
            <color rgb="FF000000"/>
            <rFont val="Calibri"/>
            <family val="0"/>
            <charset val="1"/>
          </rPr>
          <t xml:space="preserve">Temmuza ait  1.374.000 tl tutar ağustosa yansıdı</t>
        </r>
      </text>
    </comment>
    <comment ref="V114" authorId="0">
      <text>
        <r>
          <rPr>
            <sz val="10"/>
            <color rgb="FF000000"/>
            <rFont val="Calibri"/>
            <family val="0"/>
            <charset val="1"/>
          </rPr>
          <t xml:space="preserve">Doğalgaza %22 zam geldi</t>
        </r>
      </text>
    </comment>
    <comment ref="AA2" authorId="0">
      <text>
        <r>
          <rPr>
            <sz val="10"/>
            <color rgb="FF000000"/>
            <rFont val="Calibri"/>
            <family val="0"/>
            <charset val="1"/>
          </rPr>
          <t xml:space="preserve">Yeni bina inşaatından önce.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1" authorId="0">
      <text>
        <r>
          <rPr>
            <sz val="10"/>
            <color rgb="FF000000"/>
            <rFont val="Calibri"/>
            <family val="0"/>
            <charset val="1"/>
          </rPr>
          <t xml:space="preserve">(giren+çıkan)/mevcut</t>
        </r>
      </text>
    </comment>
    <comment ref="M1" authorId="0">
      <text>
        <r>
          <rPr>
            <sz val="10"/>
            <color rgb="FF000000"/>
            <rFont val="Calibri"/>
            <family val="0"/>
            <charset val="1"/>
          </rPr>
          <t xml:space="preserve">Sevkiyat (N) rakamını yaz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74" authorId="0">
      <text>
        <r>
          <rPr>
            <sz val="10"/>
            <color rgb="FF000000"/>
            <rFont val="Calibri"/>
            <family val="0"/>
            <charset val="1"/>
          </rPr>
          <t xml:space="preserve">Temmuza ait 155.000 tl tutar ağustosa yansıdı</t>
        </r>
      </text>
    </comment>
    <comment ref="O74" authorId="0">
      <text>
        <r>
          <rPr>
            <sz val="10"/>
            <color rgb="FF000000"/>
            <rFont val="Calibri"/>
            <family val="0"/>
            <charset val="1"/>
          </rPr>
          <t xml:space="preserve">@selcuk@ulusoytekstil.com 
Kadrom 160 olması gerekiyorken neden 167 görünüyor
_Selçuk Nizamoğlu adlı kullanıcıya atandı_
	-Murat Bayraktar
Metrikte 137 görünüyor, şaban beyin hazırldığı raporda 167 görünüyor. 137 olarak düzelttim.
	-Selçuk Nizamoğlu
_Tamamlandı olarak işaretlendi_
	-Selçuk Nizamoğlu
_Yeniden açıldı_
Tşk ederim
	-Murat Bayraktar</t>
        </r>
      </text>
    </comment>
  </commentList>
</comments>
</file>

<file path=xl/sharedStrings.xml><?xml version="1.0" encoding="utf-8"?>
<sst xmlns="http://schemas.openxmlformats.org/spreadsheetml/2006/main" count="495" uniqueCount="161">
  <si>
    <t xml:space="preserve">Yıl</t>
  </si>
  <si>
    <t xml:space="preserve">Ay</t>
  </si>
  <si>
    <t xml:space="preserve">Fatura Tutarı TL</t>
  </si>
  <si>
    <t xml:space="preserve">Tüketim</t>
  </si>
  <si>
    <t xml:space="preserve">GES Üretim</t>
  </si>
  <si>
    <t xml:space="preserve">1. Boyama Miktarı</t>
  </si>
  <si>
    <t xml:space="preserve">Reproses Miktarı</t>
  </si>
  <si>
    <t xml:space="preserve">Re-proses %</t>
  </si>
  <si>
    <t xml:space="preserve">∑ Boyama Miktarı</t>
  </si>
  <si>
    <t xml:space="preserve">∑ Paket. Miktarı</t>
  </si>
  <si>
    <t xml:space="preserve">∑ İşçilik </t>
  </si>
  <si>
    <t xml:space="preserve">∑ Kişi
Sayısı</t>
  </si>
  <si>
    <t xml:space="preserve">Kişi Başı Üretim kg</t>
  </si>
  <si>
    <t xml:space="preserve">Buhar K.
Ç. Gün</t>
  </si>
  <si>
    <t xml:space="preserve">Günlük Boyama M.</t>
  </si>
  <si>
    <t xml:space="preserve">Yedek İşletme Üretim kg</t>
  </si>
  <si>
    <t xml:space="preserve">Kur:
TL/$</t>
  </si>
  <si>
    <t xml:space="preserve">Fatura</t>
  </si>
  <si>
    <t xml:space="preserve">Fatura usd</t>
  </si>
  <si>
    <t xml:space="preserve">İplik Kg Başına Maliyet ($/kg)</t>
  </si>
  <si>
    <t xml:space="preserve">İplik Kg Başına Tüketim (∑Boyama)</t>
  </si>
  <si>
    <t xml:space="preserve">Enerji Birim Fiyatları</t>
  </si>
  <si>
    <t xml:space="preserve">DG-015</t>
  </si>
  <si>
    <t xml:space="preserve">S060</t>
  </si>
  <si>
    <t xml:space="preserve">E0060</t>
  </si>
  <si>
    <t xml:space="preserve">Dgaz Sm3</t>
  </si>
  <si>
    <t xml:space="preserve">Su m3</t>
  </si>
  <si>
    <t xml:space="preserve">Atık Su m3</t>
  </si>
  <si>
    <t xml:space="preserve">Elektrik kW</t>
  </si>
  <si>
    <t xml:space="preserve">Enerji</t>
  </si>
  <si>
    <t xml:space="preserve">Doğalgaz</t>
  </si>
  <si>
    <t xml:space="preserve">Su</t>
  </si>
  <si>
    <t xml:space="preserve">Elektrik</t>
  </si>
  <si>
    <t xml:space="preserve">Toplam Enerji</t>
  </si>
  <si>
    <t xml:space="preserve">Tamirsiz Enerji</t>
  </si>
  <si>
    <t xml:space="preserve">Tamirsiz İşçilik</t>
  </si>
  <si>
    <t xml:space="preserve">Su ton</t>
  </si>
  <si>
    <t xml:space="preserve">Dgaz TL/Sm3</t>
  </si>
  <si>
    <t xml:space="preserve">Su TL/m3</t>
  </si>
  <si>
    <t xml:space="preserve">Elk TL/kW</t>
  </si>
  <si>
    <t xml:space="preserve">OSB E TL/kW</t>
  </si>
  <si>
    <t xml:space="preserve">Dgaz $/Sm3</t>
  </si>
  <si>
    <t xml:space="preserve">Su $/m3</t>
  </si>
  <si>
    <t xml:space="preserve">Elk $/kW</t>
  </si>
  <si>
    <t xml:space="preserve">OSB E $/kW</t>
  </si>
  <si>
    <t xml:space="preserve">Siparişe
Proses Edilen</t>
  </si>
  <si>
    <t xml:space="preserve">İşletmelere
Proses Edilen</t>
  </si>
  <si>
    <t xml:space="preserve">Toplam Proses Edilen İplik</t>
  </si>
  <si>
    <t xml:space="preserve">Birim Maliyet ($/kg)</t>
  </si>
  <si>
    <t xml:space="preserve">İplik Kg Başına Tüketim</t>
  </si>
  <si>
    <t xml:space="preserve">DG-117</t>
  </si>
  <si>
    <t xml:space="preserve">S040+S1528</t>
  </si>
  <si>
    <t xml:space="preserve">E0040</t>
  </si>
  <si>
    <t xml:space="preserve">İşçilik</t>
  </si>
  <si>
    <t xml:space="preserve">NA</t>
  </si>
  <si>
    <t xml:space="preserve">DG-207</t>
  </si>
  <si>
    <t xml:space="preserve">S226+S1667</t>
  </si>
  <si>
    <t xml:space="preserve">E0226</t>
  </si>
  <si>
    <t xml:space="preserve">Dgaz usd/Sm3</t>
  </si>
  <si>
    <t xml:space="preserve">Su usd/m3</t>
  </si>
  <si>
    <t xml:space="preserve">Elk usd/kw</t>
  </si>
  <si>
    <t xml:space="preserve">OSB E usd/kw</t>
  </si>
  <si>
    <t xml:space="preserve">Enerji Maliyeti</t>
  </si>
  <si>
    <t xml:space="preserve">∑ Kişi
Sayısı(İdari ve Pazarlama Dahil)</t>
  </si>
  <si>
    <t xml:space="preserve">Çıkan Kişi</t>
  </si>
  <si>
    <t xml:space="preserve">Sirk. Oranı</t>
  </si>
  <si>
    <t xml:space="preserve">∑ İşçilik
(Tazminat Yükü Dahil)</t>
  </si>
  <si>
    <t xml:space="preserve">Üretimden Satış Miktarı</t>
  </si>
  <si>
    <t xml:space="preserve">Tartılan Mamül Miktarı</t>
  </si>
  <si>
    <t xml:space="preserve">Satışa Göre Birim Maliyet ($/100kg)</t>
  </si>
  <si>
    <t xml:space="preserve">Proses Edilen Ürüne Göre Birim Maliyet</t>
  </si>
  <si>
    <t xml:space="preserve">Kişi Başı Üretim</t>
  </si>
  <si>
    <t xml:space="preserve">Kişi Başı Sevk</t>
  </si>
  <si>
    <t xml:space="preserve">Doğalgaz Tüketim Sm3</t>
  </si>
  <si>
    <t xml:space="preserve">Su Tüketimi m3</t>
  </si>
  <si>
    <t xml:space="preserve">Elektrik Tüketimi kWh</t>
  </si>
  <si>
    <t xml:space="preserve">Elektrik Üretimi kW</t>
  </si>
  <si>
    <t xml:space="preserve">1 Boyahane</t>
  </si>
  <si>
    <t xml:space="preserve">2 Yün İplik</t>
  </si>
  <si>
    <t xml:space="preserve">3 Fnt İplik</t>
  </si>
  <si>
    <t xml:space="preserve">Osmaniye</t>
  </si>
  <si>
    <t xml:space="preserve">4 Şönil</t>
  </si>
  <si>
    <t xml:space="preserve">3 Akıllı Boya</t>
  </si>
  <si>
    <t xml:space="preserve">Toplam</t>
  </si>
  <si>
    <t xml:space="preserve">3i</t>
  </si>
  <si>
    <t xml:space="preserve">Toplam TL</t>
  </si>
  <si>
    <t xml:space="preserve">Toplam USD</t>
  </si>
  <si>
    <t xml:space="preserve">TL/sm3</t>
  </si>
  <si>
    <t xml:space="preserve">Sm3/ton</t>
  </si>
  <si>
    <t xml:space="preserve">3b</t>
  </si>
  <si>
    <t xml:space="preserve">TL/m3</t>
  </si>
  <si>
    <t xml:space="preserve">USD/m3</t>
  </si>
  <si>
    <t xml:space="preserve">Atık Su %</t>
  </si>
  <si>
    <t xml:space="preserve">m3/ton</t>
  </si>
  <si>
    <t xml:space="preserve">O</t>
  </si>
  <si>
    <t xml:space="preserve">TL/kwh</t>
  </si>
  <si>
    <t xml:space="preserve">Kullanım Oranı</t>
  </si>
  <si>
    <t xml:space="preserve">kWh/ton</t>
  </si>
  <si>
    <t xml:space="preserve">3+3b</t>
  </si>
  <si>
    <t xml:space="preserve">% ☀</t>
  </si>
  <si>
    <t xml:space="preserve">DG229</t>
  </si>
  <si>
    <t xml:space="preserve">S574+S1680</t>
  </si>
  <si>
    <t xml:space="preserve">E1567</t>
  </si>
  <si>
    <t xml:space="preserve">Birim Maliyet ($/100kg)</t>
  </si>
  <si>
    <t xml:space="preserve">S1219+S1667</t>
  </si>
  <si>
    <t xml:space="preserve">E1592</t>
  </si>
  <si>
    <t xml:space="preserve">Üretim UT1e eklendi.</t>
  </si>
  <si>
    <t xml:space="preserve">Üretim UT3e eklendi.</t>
  </si>
  <si>
    <t xml:space="preserve">Toplam Üretim</t>
  </si>
  <si>
    <t xml:space="preserve">YIL</t>
  </si>
  <si>
    <t xml:space="preserve">AY</t>
  </si>
  <si>
    <t xml:space="preserve">TRY</t>
  </si>
  <si>
    <t xml:space="preserve">X-Rates Average USD/TRY</t>
  </si>
  <si>
    <t xml:space="preserve">DEĞİŞİM</t>
  </si>
  <si>
    <t xml:space="preserve">2018 YILI ASGARİ ÜCRET MALİYET</t>
  </si>
  <si>
    <t xml:space="preserve">ASGARİ ÜCRET BRÜT</t>
  </si>
  <si>
    <t xml:space="preserve">USD/TRY</t>
  </si>
  <si>
    <t xml:space="preserve">USD/SAAT</t>
  </si>
  <si>
    <t xml:space="preserve">%</t>
  </si>
  <si>
    <t xml:space="preserve">SSK PRM.İŞV.HİS :%5 İND</t>
  </si>
  <si>
    <t xml:space="preserve">İŞS.SİG.İŞV.HİSS. %2</t>
  </si>
  <si>
    <t xml:space="preserve">ASGARİ ÜCRET ÇIPLAK MALİYET:</t>
  </si>
  <si>
    <t xml:space="preserve">AYLIK YEMEK ÜCR.(5,9TL X 26)</t>
  </si>
  <si>
    <t xml:space="preserve">SERVİS ÜCRETİ KİŞİ BAŞI ORT.</t>
  </si>
  <si>
    <t xml:space="preserve">YILLIK İZİN ÜCRETİ</t>
  </si>
  <si>
    <t xml:space="preserve">KIDEM VE İHBAR TAZMİMATI PAYI</t>
  </si>
  <si>
    <t xml:space="preserve">İŞÇİ SAĞLIK GİDERLERİ (YAKLAŞIK)</t>
  </si>
  <si>
    <t xml:space="preserve">İŞÇİ KIYAFET GİDERİ (YAKLAŞIK)</t>
  </si>
  <si>
    <t xml:space="preserve">EĞİTİM GİDERİ</t>
  </si>
  <si>
    <t xml:space="preserve">TOPLAM MALİYET</t>
  </si>
  <si>
    <t xml:space="preserve">TOPLAM MALİYET/saat</t>
  </si>
  <si>
    <t xml:space="preserve">Yıl Ort.</t>
  </si>
  <si>
    <t xml:space="preserve">LİDER TURİZM</t>
  </si>
  <si>
    <t xml:space="preserve">TL</t>
  </si>
  <si>
    <t xml:space="preserve">TL/AY</t>
  </si>
  <si>
    <t xml:space="preserve">MİDİBÜS MEMUR SERVİSİ 50 KM</t>
  </si>
  <si>
    <t xml:space="preserve">MİNİBÜS EK BOYA 80 KM ÇİFT YÖN</t>
  </si>
  <si>
    <t xml:space="preserve">TOPLAM PERSONEL SAYISI</t>
  </si>
  <si>
    <t xml:space="preserve">2019 YILI ASGARİ ÜCRET MALİYET</t>
  </si>
  <si>
    <t xml:space="preserve">AYLIK YEMEK ÜCR.(7,5TL X 26)</t>
  </si>
  <si>
    <t xml:space="preserve">YIL İÇİNDE MIN(TOPLAM PERSONEL SAY.)</t>
  </si>
  <si>
    <t xml:space="preserve">2020 YILI ASGARİ ÜCRET MALİYET</t>
  </si>
  <si>
    <t xml:space="preserve">BRÜT ASGARİ ÜCRET</t>
  </si>
  <si>
    <t xml:space="preserve">SSK PRM.İŞV.HİS :%5 İND (%20,5-%5)</t>
  </si>
  <si>
    <t xml:space="preserve">AYLIK YEMEK ÜCRETİ [8,30TL × 26]</t>
  </si>
  <si>
    <t xml:space="preserve">TOPLAM MALİYET (ay bazında)</t>
  </si>
  <si>
    <t xml:space="preserve">TOPLAM MALİYET (çalışılan günler için saatlik)</t>
  </si>
  <si>
    <t xml:space="preserve">YIL İÇİNDE MIN (TOPLAM PERSONEL SAY.)</t>
  </si>
  <si>
    <t xml:space="preserve">2021 YILI ASGARİ ÜCRET MALİYET</t>
  </si>
  <si>
    <t xml:space="preserve">AYLIK YEMEK ÜCRETİ [11.5TL × 26 + kdv]</t>
  </si>
  <si>
    <t xml:space="preserve">YILLIK İZİN ÜCRETİ (26 GÜN/YIL)</t>
  </si>
  <si>
    <t xml:space="preserve">İŞÇİ SAĞLIK GİDERLERİ (YAKLAŞIK %3)</t>
  </si>
  <si>
    <t xml:space="preserve">İŞÇİ KIYAFET GİDERİ (YAKLAŞIK %1.5)</t>
  </si>
  <si>
    <t xml:space="preserve">EĞİTİM GİDERİ (%5)</t>
  </si>
  <si>
    <t xml:space="preserve">2022 YILI ASGARİ ÜCRET MALİYET</t>
  </si>
  <si>
    <t xml:space="preserve">İlk 6 Ay</t>
  </si>
  <si>
    <t xml:space="preserve">Son 6 Ay</t>
  </si>
  <si>
    <t xml:space="preserve">AYLIK YEMEK ÜCRETİ [χTL × 26 + kdv]</t>
  </si>
  <si>
    <t xml:space="preserve">2023 YILI ASGARİ ÜCRET MALİYET</t>
  </si>
  <si>
    <t xml:space="preserve">2024 YILI ASGARİ ÜCRET MALİYET</t>
  </si>
  <si>
    <t xml:space="preserve">2025 YILI ASGARİ ÜCRET MALİYET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</si>
</sst>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[$₺]#,##0"/>
    <numFmt numFmtId="166" formatCode="[$$]#,##0.00"/>
    <numFmt numFmtId="167" formatCode="0.000"/>
    <numFmt numFmtId="168" formatCode="[$₺]#,##0.00"/>
    <numFmt numFmtId="169" formatCode="#,##0"/>
    <numFmt numFmtId="170" formatCode="0,000.0"/>
    <numFmt numFmtId="171" formatCode="#,##0&quot; kg&quot;"/>
    <numFmt numFmtId="172" formatCode="0.0%"/>
    <numFmt numFmtId="173" formatCode="0.0000"/>
    <numFmt numFmtId="174" formatCode="[$$]#,##0"/>
    <numFmt numFmtId="175" formatCode="0.000&quot; $&quot;"/>
    <numFmt numFmtId="176" formatCode="0,000"/>
    <numFmt numFmtId="177" formatCode="0"/>
    <numFmt numFmtId="178" formatCode="[$$]#,##0.000"/>
    <numFmt numFmtId="179" formatCode="#,##0.000"/>
    <numFmt numFmtId="180" formatCode="%0"/>
    <numFmt numFmtId="181" formatCode="[$$]#,##0.0"/>
    <numFmt numFmtId="182" formatCode="#,##0.00"/>
    <numFmt numFmtId="183" formatCode="#,##0.0"/>
    <numFmt numFmtId="184" formatCode="0.000000"/>
    <numFmt numFmtId="185" formatCode="0.0000%"/>
    <numFmt numFmtId="186" formatCode="0.0"/>
  </numFmts>
  <fonts count="31">
    <font>
      <sz val="10"/>
      <color rgb="FF000000"/>
      <name val="Calibri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rgb="FF000000"/>
      <name val="Roboto Condensed"/>
      <family val="0"/>
      <charset val="1"/>
    </font>
    <font>
      <u val="single"/>
      <sz val="11"/>
      <color rgb="FF0000FF"/>
      <name val="Roboto Condensed"/>
      <family val="0"/>
      <charset val="1"/>
    </font>
    <font>
      <i val="true"/>
      <u val="single"/>
      <sz val="11"/>
      <color rgb="FF0000FF"/>
      <name val="Roboto Condensed"/>
      <family val="0"/>
      <charset val="1"/>
    </font>
    <font>
      <i val="true"/>
      <sz val="11"/>
      <color rgb="FF000000"/>
      <name val="Roboto Condensed"/>
      <family val="0"/>
      <charset val="1"/>
    </font>
    <font>
      <u val="single"/>
      <sz val="11"/>
      <color rgb="FF1155CC"/>
      <name val="Roboto Condensed"/>
      <family val="0"/>
      <charset val="1"/>
    </font>
    <font>
      <u val="single"/>
      <sz val="11"/>
      <color rgb="FF000000"/>
      <name val="Roboto Condensed"/>
      <family val="0"/>
      <charset val="1"/>
    </font>
    <font>
      <b val="true"/>
      <sz val="11"/>
      <color rgb="FFFFFFFF"/>
      <name val="Roboto Condensed"/>
      <family val="0"/>
      <charset val="1"/>
    </font>
    <font>
      <b val="true"/>
      <sz val="11"/>
      <color rgb="FF000000"/>
      <name val="Roboto Condensed"/>
      <family val="0"/>
      <charset val="1"/>
    </font>
    <font>
      <b val="true"/>
      <sz val="11"/>
      <color rgb="FF0000FF"/>
      <name val="Roboto Condensed"/>
      <family val="0"/>
      <charset val="1"/>
    </font>
    <font>
      <sz val="11"/>
      <color rgb="FFFFFFFF"/>
      <name val="Roboto Condensed"/>
      <family val="0"/>
      <charset val="1"/>
    </font>
    <font>
      <i val="true"/>
      <sz val="11"/>
      <color rgb="FFFFFFFF"/>
      <name val="Roboto Condensed"/>
      <family val="0"/>
      <charset val="1"/>
    </font>
    <font>
      <b val="true"/>
      <sz val="11"/>
      <color rgb="FFFF0000"/>
      <name val="Roboto Condensed"/>
      <family val="0"/>
      <charset val="1"/>
    </font>
    <font>
      <sz val="11"/>
      <color rgb="FFFCFCFC"/>
      <name val="Roboto Condensed"/>
      <family val="0"/>
      <charset val="1"/>
    </font>
    <font>
      <b val="true"/>
      <i val="true"/>
      <sz val="11"/>
      <color rgb="FF000000"/>
      <name val="Roboto Condensed"/>
      <family val="0"/>
      <charset val="1"/>
    </font>
    <font>
      <sz val="9"/>
      <color rgb="FF000000"/>
      <name val="Roboto Condensed"/>
      <family val="0"/>
      <charset val="1"/>
    </font>
    <font>
      <b val="true"/>
      <u val="single"/>
      <sz val="11"/>
      <color rgb="FF0000FF"/>
      <name val="Roboto Condensed"/>
      <family val="0"/>
      <charset val="1"/>
    </font>
    <font>
      <b val="true"/>
      <sz val="12"/>
      <color rgb="FF000000"/>
      <name val="Roboto Condensed"/>
      <family val="0"/>
      <charset val="1"/>
    </font>
    <font>
      <sz val="11"/>
      <color rgb="FF9BBB59"/>
      <name val="Roboto Condensed"/>
      <family val="0"/>
      <charset val="1"/>
    </font>
    <font>
      <sz val="11"/>
      <color rgb="FF0000FF"/>
      <name val="Roboto Condensed"/>
      <family val="0"/>
      <charset val="1"/>
    </font>
    <font>
      <sz val="7"/>
      <color rgb="FF9BBB59"/>
      <name val="Roboto Condensed"/>
      <family val="0"/>
      <charset val="1"/>
    </font>
    <font>
      <b val="true"/>
      <sz val="12"/>
      <color rgb="FFFFFFFF"/>
      <name val="Roboto Condensed"/>
      <family val="0"/>
      <charset val="1"/>
    </font>
    <font>
      <b val="true"/>
      <sz val="11"/>
      <color rgb="FF9BBB59"/>
      <name val="Roboto Condensed"/>
      <family val="0"/>
      <charset val="1"/>
    </font>
    <font>
      <b val="true"/>
      <i val="true"/>
      <sz val="11"/>
      <color rgb="FF0000FF"/>
      <name val="Roboto Condensed"/>
      <family val="0"/>
      <charset val="1"/>
    </font>
    <font>
      <sz val="11"/>
      <color rgb="FFFF0000"/>
      <name val="Roboto Condensed"/>
      <family val="0"/>
      <charset val="1"/>
    </font>
    <font>
      <sz val="11"/>
      <color rgb="FF808080"/>
      <name val="Roboto Condensed"/>
      <family val="0"/>
      <charset val="1"/>
    </font>
    <font>
      <b val="true"/>
      <sz val="11"/>
      <color rgb="FFFF3333"/>
      <name val="Roboto Condensed"/>
      <family val="0"/>
      <charset val="1"/>
    </font>
    <font>
      <sz val="11"/>
      <color rgb="FF999999"/>
      <name val="Roboto Condensed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9900"/>
        <bgColor rgb="FFF79646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FF3333"/>
      </patternFill>
    </fill>
    <fill>
      <patternFill patternType="solid">
        <fgColor rgb="FFD9D9D9"/>
        <bgColor rgb="FFCFE2F3"/>
      </patternFill>
    </fill>
    <fill>
      <patternFill patternType="solid">
        <fgColor rgb="FFEFEFEF"/>
        <bgColor rgb="FFFCFCFC"/>
      </patternFill>
    </fill>
    <fill>
      <patternFill patternType="solid">
        <fgColor rgb="FFFFFFFF"/>
        <bgColor rgb="FFFCFCFC"/>
      </patternFill>
    </fill>
    <fill>
      <patternFill patternType="solid">
        <fgColor rgb="FFCFE2F3"/>
        <bgColor rgb="FFD9D9D9"/>
      </patternFill>
    </fill>
    <fill>
      <patternFill patternType="solid">
        <fgColor rgb="FFF79646"/>
        <bgColor rgb="FFFF9900"/>
      </patternFill>
    </fill>
    <fill>
      <patternFill patternType="solid">
        <fgColor rgb="FF8E7CC3"/>
        <bgColor rgb="FF808080"/>
      </patternFill>
    </fill>
    <fill>
      <patternFill patternType="solid">
        <fgColor rgb="FFF6B26B"/>
        <bgColor rgb="FFF79646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71" fontId="17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71" fontId="17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3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24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82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4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72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  <fill>
        <patternFill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8E7CC3"/>
      <rgbColor rgb="FF993366"/>
      <rgbColor rgb="FFFCFCFC"/>
      <rgbColor rgb="FFEFEFEF"/>
      <rgbColor rgb="FF660066"/>
      <rgbColor rgb="FFF79646"/>
      <rgbColor rgb="FF1155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BBB59"/>
      <rgbColor rgb="FFFFCC00"/>
      <rgbColor rgb="FFFF9900"/>
      <rgbColor rgb="FFFF3333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dG91n_ObIkMAzQBTO5s-jPGCTlLRFxAsrkluEtVu7gk/edit" TargetMode="External"/><Relationship Id="rId3" Type="http://schemas.openxmlformats.org/officeDocument/2006/relationships/hyperlink" Target="http://88.225.241.135:7080/screen/production-batch-dyeing-metrics" TargetMode="External"/><Relationship Id="rId4" Type="http://schemas.openxmlformats.org/officeDocument/2006/relationships/hyperlink" Target="https://docs.google.com/spreadsheets/u/0/d/1wPg3Qa2_CrlxT16hvDzE4i286y5lTSgiKpAYJp_MPfo/edit" TargetMode="External"/><Relationship Id="rId5" Type="http://schemas.openxmlformats.org/officeDocument/2006/relationships/hyperlink" Target="https://docs.google.com/spreadsheets/u/0/d/1lymfjRpvbG-HUFLmZGT_r_3aphMnjMiuWNdqonkJ80k/edit" TargetMode="External"/><Relationship Id="rId6" Type="http://schemas.openxmlformats.org/officeDocument/2006/relationships/hyperlink" Target="https://docs.google.com/spreadsheets/u/0/d/1PhUitzvHepUiUiANrcf8MWTRAu6t2Vw2LU12bEZpP0E/edit" TargetMode="External"/><Relationship Id="rId7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dG91n_ObIkMAzQBTO5s-jPGCTlLRFxAsrkluEtVu7gk/edit" TargetMode="External"/><Relationship Id="rId2" Type="http://schemas.openxmlformats.org/officeDocument/2006/relationships/hyperlink" Target="https://docs.google.com/spreadsheets/u/0/d/1wPg3Qa2_CrlxT16hvDzE4i286y5lTSgiKpAYJp_MPfo/edit" TargetMode="External"/><Relationship Id="rId3" Type="http://schemas.openxmlformats.org/officeDocument/2006/relationships/hyperlink" Target="https://docs.google.com/spreadsheets/u/0/d/1lymfjRpvbG-HUFLmZGT_r_3aphMnjMiuWNdqonkJ80k/edit" TargetMode="External"/><Relationship Id="rId4" Type="http://schemas.openxmlformats.org/officeDocument/2006/relationships/hyperlink" Target="https://docs.google.com/spreadsheets/u/0/d/1lymfjRpvbG-HUFLmZGT_r_3aphMnjMiuWNdqonkJ80k/edi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dG91n_ObIkMAzQBTO5s-jPGCTlLRFxAsrkluEtVu7gk/edit" TargetMode="External"/><Relationship Id="rId3" Type="http://schemas.openxmlformats.org/officeDocument/2006/relationships/hyperlink" Target="https://docs.google.com/spreadsheets/u/0/d/1wPg3Qa2_CrlxT16hvDzE4i286y5lTSgiKpAYJp_MPfo/edit" TargetMode="External"/><Relationship Id="rId4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lymfjRpvbG-HUFLmZGT_r_3aphMnjMiuWNdqonkJ80k/edit" TargetMode="External"/><Relationship Id="rId3" Type="http://schemas.openxmlformats.org/officeDocument/2006/relationships/hyperlink" Target="http://88.225.241.135:7080/screen/production-packing-metrics" TargetMode="External"/><Relationship Id="rId4" Type="http://schemas.openxmlformats.org/officeDocument/2006/relationships/hyperlink" Target="http://88.225.241.135:7080/screen/production-packing-metrics" TargetMode="External"/><Relationship Id="rId5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ocs.google.com/spreadsheets/d/1dG91n_ObIkMAzQBTO5s-jPGCTlLRFxAsrkluEtVu7gk/edit" TargetMode="External"/><Relationship Id="rId3" Type="http://schemas.openxmlformats.org/officeDocument/2006/relationships/hyperlink" Target="https://docs.google.com/spreadsheets/u/0/d/1wPg3Qa2_CrlxT16hvDzE4i286y5lTSgiKpAYJp_MPfo/edit" TargetMode="External"/><Relationship Id="rId4" Type="http://schemas.openxmlformats.org/officeDocument/2006/relationships/hyperlink" Target="https://docs.google.com/spreadsheets/u/0/d/1lymfjRpvbG-HUFLmZGT_r_3aphMnjMiuWNdqonkJ80k/edit" TargetMode="External"/><Relationship Id="rId5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dG91n_ObIkMAzQBTO5s-jPGCTlLRFxAsrkluEtVu7gk/edit" TargetMode="External"/><Relationship Id="rId2" Type="http://schemas.openxmlformats.org/officeDocument/2006/relationships/hyperlink" Target="http://88.225.241.135:7080/screen/packing-production-activity-by-department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x-rates.com/average/?from=USD&amp;to=TRY&amp;amount=1&amp;year=20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87" activePane="bottomRight" state="frozen"/>
      <selection pane="topLeft" activeCell="A1" activeCellId="0" sqref="A1"/>
      <selection pane="topRight" activeCell="C1" activeCellId="0" sqref="C1"/>
      <selection pane="bottomLeft" activeCell="A87" activeCellId="0" sqref="A87"/>
      <selection pane="bottomRight" activeCell="R4" activeCellId="0" sqref="R4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5" min="3" style="0" width="13"/>
    <col collapsed="false" customWidth="true" hidden="false" outlineLevel="0" max="30" min="6" style="0" width="11.56"/>
    <col collapsed="false" customWidth="true" hidden="false" outlineLevel="0" max="31" min="31" style="0" width="11.14"/>
    <col collapsed="false" customWidth="true" hidden="false" outlineLevel="0" max="41" min="32" style="0" width="11.56"/>
    <col collapsed="false" customWidth="true" hidden="false" outlineLevel="0" max="42" min="42" style="0" width="10.71"/>
    <col collapsed="false" customWidth="true" hidden="false" outlineLevel="0" max="43" min="43" style="0" width="12.14"/>
    <col collapsed="false" customWidth="true" hidden="false" outlineLevel="0" max="44" min="44" style="0" width="11.56"/>
  </cols>
  <sheetData>
    <row r="1" customFormat="false" ht="18.75" hidden="false" customHeight="true" outlineLevel="0" collapsed="false">
      <c r="A1" s="1" t="s">
        <v>0</v>
      </c>
      <c r="B1" s="1" t="s">
        <v>1</v>
      </c>
      <c r="C1" s="2" t="s">
        <v>2</v>
      </c>
      <c r="D1" s="2"/>
      <c r="E1" s="2"/>
      <c r="F1" s="1" t="s">
        <v>3</v>
      </c>
      <c r="G1" s="1"/>
      <c r="H1" s="1"/>
      <c r="I1" s="1"/>
      <c r="J1" s="3" t="s">
        <v>4</v>
      </c>
      <c r="K1" s="4" t="s">
        <v>5</v>
      </c>
      <c r="L1" s="5" t="s">
        <v>6</v>
      </c>
      <c r="M1" s="6" t="s">
        <v>7</v>
      </c>
      <c r="N1" s="5" t="s">
        <v>8</v>
      </c>
      <c r="O1" s="7" t="s">
        <v>9</v>
      </c>
      <c r="P1" s="8" t="s">
        <v>10</v>
      </c>
      <c r="Q1" s="9" t="s">
        <v>11</v>
      </c>
      <c r="R1" s="5" t="s">
        <v>12</v>
      </c>
      <c r="S1" s="10" t="s">
        <v>13</v>
      </c>
      <c r="T1" s="5" t="s">
        <v>14</v>
      </c>
      <c r="U1" s="5" t="s">
        <v>15</v>
      </c>
      <c r="V1" s="11" t="s">
        <v>16</v>
      </c>
      <c r="W1" s="12" t="s">
        <v>17</v>
      </c>
      <c r="X1" s="12" t="s">
        <v>18</v>
      </c>
      <c r="Y1" s="12" t="s">
        <v>18</v>
      </c>
      <c r="Z1" s="12" t="s">
        <v>18</v>
      </c>
      <c r="AA1" s="13" t="s">
        <v>19</v>
      </c>
      <c r="AB1" s="13"/>
      <c r="AC1" s="13"/>
      <c r="AD1" s="13"/>
      <c r="AE1" s="13"/>
      <c r="AF1" s="13"/>
      <c r="AG1" s="14" t="s">
        <v>20</v>
      </c>
      <c r="AH1" s="14"/>
      <c r="AI1" s="14"/>
      <c r="AJ1" s="15" t="s">
        <v>21</v>
      </c>
      <c r="AK1" s="15"/>
      <c r="AL1" s="15"/>
      <c r="AM1" s="15"/>
      <c r="AN1" s="15" t="s">
        <v>21</v>
      </c>
      <c r="AO1" s="15"/>
      <c r="AP1" s="15"/>
      <c r="AQ1" s="15"/>
      <c r="AR1" s="16" t="str">
        <f aca="false">HYPERLINK("https://www.worldweatheronline.com/yakapinar-weather-averages/adana/tr.aspx","Ortalama Güneşlenme Süresi-Saat")</f>
        <v>Ortalama Güneşlenme Süresi-Saat</v>
      </c>
    </row>
    <row r="2" customFormat="false" ht="15" hidden="false" customHeight="false" outlineLevel="0" collapsed="false">
      <c r="A2" s="1"/>
      <c r="B2" s="1"/>
      <c r="C2" s="17" t="s">
        <v>22</v>
      </c>
      <c r="D2" s="17" t="s">
        <v>23</v>
      </c>
      <c r="E2" s="2" t="s">
        <v>24</v>
      </c>
      <c r="F2" s="18" t="s">
        <v>25</v>
      </c>
      <c r="G2" s="18" t="s">
        <v>26</v>
      </c>
      <c r="H2" s="18" t="s">
        <v>27</v>
      </c>
      <c r="I2" s="19" t="s">
        <v>28</v>
      </c>
      <c r="J2" s="19" t="s">
        <v>28</v>
      </c>
      <c r="K2" s="4"/>
      <c r="L2" s="4"/>
      <c r="M2" s="4"/>
      <c r="N2" s="4"/>
      <c r="O2" s="7"/>
      <c r="P2" s="8"/>
      <c r="Q2" s="8"/>
      <c r="R2" s="8"/>
      <c r="S2" s="10"/>
      <c r="T2" s="5"/>
      <c r="U2" s="5"/>
      <c r="V2" s="11"/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30</v>
      </c>
      <c r="AB2" s="12" t="s">
        <v>31</v>
      </c>
      <c r="AC2" s="12" t="s">
        <v>32</v>
      </c>
      <c r="AD2" s="12" t="s">
        <v>33</v>
      </c>
      <c r="AE2" s="20" t="s">
        <v>34</v>
      </c>
      <c r="AF2" s="21" t="s">
        <v>35</v>
      </c>
      <c r="AG2" s="22" t="s">
        <v>25</v>
      </c>
      <c r="AH2" s="18" t="s">
        <v>36</v>
      </c>
      <c r="AI2" s="19" t="s">
        <v>28</v>
      </c>
      <c r="AJ2" s="23" t="s">
        <v>37</v>
      </c>
      <c r="AK2" s="23" t="s">
        <v>38</v>
      </c>
      <c r="AL2" s="23" t="s">
        <v>39</v>
      </c>
      <c r="AM2" s="23" t="s">
        <v>40</v>
      </c>
      <c r="AN2" s="23" t="s">
        <v>41</v>
      </c>
      <c r="AO2" s="23" t="s">
        <v>42</v>
      </c>
      <c r="AP2" s="23" t="s">
        <v>43</v>
      </c>
      <c r="AQ2" s="23" t="s">
        <v>44</v>
      </c>
      <c r="AR2" s="16"/>
    </row>
    <row r="3" customFormat="false" ht="18.75" hidden="false" customHeight="true" outlineLevel="0" collapsed="false">
      <c r="A3" s="18" t="n">
        <v>2011</v>
      </c>
      <c r="B3" s="18" t="n">
        <v>1</v>
      </c>
      <c r="C3" s="24" t="n">
        <v>113760.37</v>
      </c>
      <c r="D3" s="24" t="n">
        <v>24166.03</v>
      </c>
      <c r="E3" s="25" t="n">
        <v>54000.94</v>
      </c>
      <c r="F3" s="26" t="n">
        <v>196891.45</v>
      </c>
      <c r="G3" s="26" t="n">
        <v>37931</v>
      </c>
      <c r="H3" s="26"/>
      <c r="I3" s="27" t="n">
        <v>312642</v>
      </c>
      <c r="J3" s="27"/>
      <c r="K3" s="28" t="n">
        <f aca="false">N3-L3</f>
        <v>283705</v>
      </c>
      <c r="L3" s="29" t="n">
        <v>50526</v>
      </c>
      <c r="M3" s="30" t="n">
        <f aca="false">L3/N3</f>
        <v>0.151170896774985</v>
      </c>
      <c r="N3" s="29" t="n">
        <v>334231</v>
      </c>
      <c r="O3" s="31" t="n">
        <v>326795</v>
      </c>
      <c r="P3" s="24"/>
      <c r="Q3" s="32"/>
      <c r="R3" s="32" t="e">
        <f aca="false">O3/Q3</f>
        <v>#DIV/0!</v>
      </c>
      <c r="S3" s="33" t="n">
        <v>28</v>
      </c>
      <c r="T3" s="29" t="n">
        <f aca="false">N3/S3</f>
        <v>11936.8214285714</v>
      </c>
      <c r="U3" s="29" t="n">
        <v>13347</v>
      </c>
      <c r="V3" s="34" t="n">
        <v>1.598</v>
      </c>
      <c r="W3" s="35" t="n">
        <f aca="false">SUM(C3:E3)/V3</f>
        <v>120104.718397998</v>
      </c>
      <c r="X3" s="35" t="n">
        <f aca="false">C3/$V3</f>
        <v>71189.2177722153</v>
      </c>
      <c r="Y3" s="35" t="n">
        <f aca="false">D3/$V3</f>
        <v>15122.6720901126</v>
      </c>
      <c r="Z3" s="35" t="n">
        <f aca="false">E3/$V3</f>
        <v>33792.8285356696</v>
      </c>
      <c r="AA3" s="36" t="n">
        <f aca="false">C3/((N3+U3)*V3)</f>
        <v>0.20481508545482</v>
      </c>
      <c r="AB3" s="36" t="n">
        <f aca="false">D3/((N3+U3)*V3)</f>
        <v>0.0435087148499406</v>
      </c>
      <c r="AC3" s="36" t="n">
        <f aca="false">E3/((N3+U3)*V3)</f>
        <v>0.0972237268632353</v>
      </c>
      <c r="AD3" s="36" t="n">
        <f aca="false">(C3+D3+E3)/((N3+U3)*V3)</f>
        <v>0.345547527167995</v>
      </c>
      <c r="AE3" s="36" t="n">
        <f aca="false">(C3+D3+E3)/((K3+U3)*V3)</f>
        <v>0.40432220082005</v>
      </c>
      <c r="AF3" s="37"/>
      <c r="AG3" s="38" t="n">
        <f aca="false">F3/($N3+$U3)</f>
        <v>0.566466951303017</v>
      </c>
      <c r="AH3" s="38" t="n">
        <f aca="false">G3/($N3+$U3)</f>
        <v>0.109129461588478</v>
      </c>
      <c r="AI3" s="39" t="n">
        <f aca="false">I3/($N3+$U3)</f>
        <v>0.899487309323375</v>
      </c>
      <c r="AJ3" s="40" t="n">
        <f aca="false">C3/F3</f>
        <v>0.577782173883122</v>
      </c>
      <c r="AK3" s="40" t="n">
        <f aca="false">D3/G3</f>
        <v>0.637105006459097</v>
      </c>
      <c r="AL3" s="40" t="n">
        <f aca="false">E3/I3</f>
        <v>0.172724521977214</v>
      </c>
      <c r="AM3" s="41"/>
      <c r="AN3" s="42" t="n">
        <f aca="false">AJ3/$V3</f>
        <v>0.361565815946885</v>
      </c>
      <c r="AO3" s="42" t="n">
        <f aca="false">AK3/$V3</f>
        <v>0.398688990274779</v>
      </c>
      <c r="AP3" s="42" t="n">
        <f aca="false">AL3/$V3</f>
        <v>0.108087936155953</v>
      </c>
      <c r="AQ3" s="42" t="n">
        <f aca="false">AM3/$V3</f>
        <v>0</v>
      </c>
      <c r="AR3" s="43"/>
    </row>
    <row r="4" customFormat="false" ht="18.75" hidden="false" customHeight="true" outlineLevel="0" collapsed="false">
      <c r="A4" s="18" t="n">
        <v>2011</v>
      </c>
      <c r="B4" s="18" t="n">
        <v>2</v>
      </c>
      <c r="C4" s="24" t="n">
        <v>108012.1</v>
      </c>
      <c r="D4" s="24" t="n">
        <v>21027.95</v>
      </c>
      <c r="E4" s="25" t="n">
        <v>62620.68</v>
      </c>
      <c r="F4" s="26" t="n">
        <v>186942.56</v>
      </c>
      <c r="G4" s="26" t="n">
        <v>32437</v>
      </c>
      <c r="H4" s="26"/>
      <c r="I4" s="27" t="n">
        <v>311526</v>
      </c>
      <c r="J4" s="27"/>
      <c r="K4" s="28" t="n">
        <f aca="false">N4-L4</f>
        <v>306814</v>
      </c>
      <c r="L4" s="29" t="n">
        <v>48169</v>
      </c>
      <c r="M4" s="30" t="n">
        <f aca="false">L4/N4</f>
        <v>0.135693821957671</v>
      </c>
      <c r="N4" s="29" t="n">
        <v>354983</v>
      </c>
      <c r="O4" s="31" t="n">
        <v>322974</v>
      </c>
      <c r="P4" s="24"/>
      <c r="Q4" s="32"/>
      <c r="R4" s="32" t="e">
        <f aca="false">O4/Q4</f>
        <v>#DIV/0!</v>
      </c>
      <c r="S4" s="33" t="n">
        <v>27</v>
      </c>
      <c r="T4" s="29" t="n">
        <f aca="false">N4/S4</f>
        <v>13147.5185185185</v>
      </c>
      <c r="U4" s="29" t="n">
        <v>7119</v>
      </c>
      <c r="V4" s="34" t="n">
        <v>1.5917</v>
      </c>
      <c r="W4" s="35" t="n">
        <f aca="false">SUM(C4:E4)/V4</f>
        <v>120412.596594836</v>
      </c>
      <c r="X4" s="35" t="n">
        <f aca="false">C4/$V4</f>
        <v>67859.5840924798</v>
      </c>
      <c r="Y4" s="35" t="n">
        <f aca="false">D4/$V4</f>
        <v>13211.0008167368</v>
      </c>
      <c r="Z4" s="35" t="n">
        <f aca="false">E4/$V4</f>
        <v>39342.0116856192</v>
      </c>
      <c r="AA4" s="36" t="n">
        <f aca="false">C4/((N4+U4)*V4)</f>
        <v>0.187404610006241</v>
      </c>
      <c r="AB4" s="36" t="n">
        <f aca="false">D4/((N4+U4)*V4)</f>
        <v>0.0364841973166037</v>
      </c>
      <c r="AC4" s="36" t="n">
        <f aca="false">E4/((N4+U4)*V4)</f>
        <v>0.10864897649176</v>
      </c>
      <c r="AD4" s="36" t="n">
        <f aca="false">(C4+D4+E4)/((N4+U4)*V4)</f>
        <v>0.332537783814604</v>
      </c>
      <c r="AE4" s="36" t="n">
        <f aca="false">(C4+D4+E4)/((K4+U4)*V4)</f>
        <v>0.38356144971964</v>
      </c>
      <c r="AF4" s="37"/>
      <c r="AG4" s="38" t="n">
        <f aca="false">F4/($N4+$U4)</f>
        <v>0.516270443134807</v>
      </c>
      <c r="AH4" s="38" t="n">
        <f aca="false">G4/($N4+$U4)</f>
        <v>0.0895797316778145</v>
      </c>
      <c r="AI4" s="39" t="n">
        <f aca="false">I4/($N4+$U4)</f>
        <v>0.86032664829247</v>
      </c>
      <c r="AJ4" s="40" t="n">
        <f aca="false">C4/F4</f>
        <v>0.577782287778663</v>
      </c>
      <c r="AK4" s="40" t="n">
        <f aca="false">D4/G4</f>
        <v>0.648270493572155</v>
      </c>
      <c r="AL4" s="40" t="n">
        <f aca="false">E4/I4</f>
        <v>0.201012692359546</v>
      </c>
      <c r="AM4" s="41"/>
      <c r="AN4" s="42" t="n">
        <f aca="false">AJ4/$V4</f>
        <v>0.362996976678183</v>
      </c>
      <c r="AO4" s="42" t="n">
        <f aca="false">AK4/$V4</f>
        <v>0.407281832991239</v>
      </c>
      <c r="AP4" s="42" t="n">
        <f aca="false">AL4/$V4</f>
        <v>0.126288051994438</v>
      </c>
      <c r="AQ4" s="42" t="n">
        <f aca="false">AM4/$V4</f>
        <v>0</v>
      </c>
      <c r="AR4" s="43"/>
    </row>
    <row r="5" customFormat="false" ht="18.75" hidden="false" customHeight="true" outlineLevel="0" collapsed="false">
      <c r="A5" s="18" t="n">
        <v>2011</v>
      </c>
      <c r="B5" s="18" t="n">
        <v>3</v>
      </c>
      <c r="C5" s="24" t="n">
        <v>117004.07</v>
      </c>
      <c r="D5" s="24" t="n">
        <v>22130.4</v>
      </c>
      <c r="E5" s="25" t="n">
        <v>56619.22</v>
      </c>
      <c r="F5" s="26" t="n">
        <v>202505.46</v>
      </c>
      <c r="G5" s="26" t="n">
        <v>34710</v>
      </c>
      <c r="H5" s="26"/>
      <c r="I5" s="27" t="n">
        <v>330822</v>
      </c>
      <c r="J5" s="27"/>
      <c r="K5" s="28" t="n">
        <f aca="false">N5-L5</f>
        <v>366167</v>
      </c>
      <c r="L5" s="29" t="n">
        <v>50916</v>
      </c>
      <c r="M5" s="30" t="n">
        <f aca="false">L5/N5</f>
        <v>0.122076421239897</v>
      </c>
      <c r="N5" s="29" t="n">
        <v>417083</v>
      </c>
      <c r="O5" s="31" t="n">
        <v>402166</v>
      </c>
      <c r="P5" s="24"/>
      <c r="Q5" s="32"/>
      <c r="R5" s="32" t="e">
        <f aca="false">O5/Q5</f>
        <v>#DIV/0!</v>
      </c>
      <c r="S5" s="33" t="n">
        <v>30</v>
      </c>
      <c r="T5" s="29" t="n">
        <f aca="false">N5/S5</f>
        <v>13902.7666666667</v>
      </c>
      <c r="U5" s="29" t="n">
        <v>5627</v>
      </c>
      <c r="V5" s="34" t="n">
        <v>1.5352</v>
      </c>
      <c r="W5" s="35" t="n">
        <f aca="false">SUM(C5:E5)/V5</f>
        <v>127510.220166754</v>
      </c>
      <c r="X5" s="35" t="n">
        <f aca="false">C5/$V5</f>
        <v>76214.2196456488</v>
      </c>
      <c r="Y5" s="35" t="n">
        <f aca="false">D5/$V5</f>
        <v>14415.3204794164</v>
      </c>
      <c r="Z5" s="35" t="n">
        <f aca="false">E5/$V5</f>
        <v>36880.6800416884</v>
      </c>
      <c r="AA5" s="36" t="n">
        <f aca="false">C5/((N5+U5)*V5)</f>
        <v>0.180299069446308</v>
      </c>
      <c r="AB5" s="36" t="n">
        <f aca="false">D5/((N5+U5)*V5)</f>
        <v>0.0341021515445964</v>
      </c>
      <c r="AC5" s="36" t="n">
        <f aca="false">E5/((N5+U5)*V5)</f>
        <v>0.0872481844330354</v>
      </c>
      <c r="AD5" s="36" t="n">
        <f aca="false">(C5+D5+E5)/((N5+U5)*V5)</f>
        <v>0.30164940542394</v>
      </c>
      <c r="AE5" s="36" t="n">
        <f aca="false">(C5+D5+E5)/((K5+U5)*V5)</f>
        <v>0.342959327387622</v>
      </c>
      <c r="AF5" s="37"/>
      <c r="AG5" s="38" t="n">
        <f aca="false">F5/($N5+$U5)</f>
        <v>0.479064748882212</v>
      </c>
      <c r="AH5" s="38" t="n">
        <f aca="false">G5/($N5+$U5)</f>
        <v>0.0821130325755246</v>
      </c>
      <c r="AI5" s="39" t="n">
        <f aca="false">I5/($N5+$U5)</f>
        <v>0.782621655508505</v>
      </c>
      <c r="AJ5" s="40" t="n">
        <f aca="false">C5/F5</f>
        <v>0.577782297820513</v>
      </c>
      <c r="AK5" s="40" t="n">
        <f aca="false">D5/G5</f>
        <v>0.637579948141746</v>
      </c>
      <c r="AL5" s="40" t="n">
        <f aca="false">E5/I5</f>
        <v>0.171147082116667</v>
      </c>
      <c r="AM5" s="41"/>
      <c r="AN5" s="42" t="n">
        <f aca="false">AJ5/$V5</f>
        <v>0.376356369085795</v>
      </c>
      <c r="AO5" s="42" t="n">
        <f aca="false">AK5/$V5</f>
        <v>0.415307418018334</v>
      </c>
      <c r="AP5" s="42" t="n">
        <f aca="false">AL5/$V5</f>
        <v>0.111481945099444</v>
      </c>
      <c r="AQ5" s="42" t="n">
        <f aca="false">AM5/$V5</f>
        <v>0</v>
      </c>
      <c r="AR5" s="43"/>
    </row>
    <row r="6" customFormat="false" ht="18.75" hidden="false" customHeight="true" outlineLevel="0" collapsed="false">
      <c r="A6" s="18" t="n">
        <v>2011</v>
      </c>
      <c r="B6" s="18" t="n">
        <v>4</v>
      </c>
      <c r="C6" s="24" t="n">
        <v>90682.37</v>
      </c>
      <c r="D6" s="24" t="n">
        <v>18797.2</v>
      </c>
      <c r="E6" s="25" t="n">
        <v>49591.51</v>
      </c>
      <c r="F6" s="26" t="n">
        <v>156949.04</v>
      </c>
      <c r="G6" s="26" t="n">
        <v>29429</v>
      </c>
      <c r="H6" s="26"/>
      <c r="I6" s="27" t="n">
        <v>289638</v>
      </c>
      <c r="J6" s="27"/>
      <c r="K6" s="28" t="n">
        <f aca="false">N6-L6</f>
        <v>282950</v>
      </c>
      <c r="L6" s="29" t="n">
        <v>40782</v>
      </c>
      <c r="M6" s="30" t="n">
        <f aca="false">L6/N6</f>
        <v>0.125974571559191</v>
      </c>
      <c r="N6" s="29" t="n">
        <v>323732</v>
      </c>
      <c r="O6" s="31" t="n">
        <v>350526</v>
      </c>
      <c r="P6" s="24"/>
      <c r="Q6" s="32"/>
      <c r="R6" s="32" t="e">
        <f aca="false">O6/Q6</f>
        <v>#DIV/0!</v>
      </c>
      <c r="S6" s="33" t="n">
        <v>24</v>
      </c>
      <c r="T6" s="29" t="n">
        <f aca="false">N6/S6</f>
        <v>13488.8333333333</v>
      </c>
      <c r="U6" s="29" t="n">
        <v>5186</v>
      </c>
      <c r="V6" s="34" t="n">
        <v>1.513</v>
      </c>
      <c r="W6" s="35" t="n">
        <f aca="false">SUM(C6:E6)/V6</f>
        <v>105136.206212822</v>
      </c>
      <c r="X6" s="35" t="n">
        <f aca="false">C6/$V6</f>
        <v>59935.4725710509</v>
      </c>
      <c r="Y6" s="35" t="n">
        <f aca="false">D6/$V6</f>
        <v>12423.7937871778</v>
      </c>
      <c r="Z6" s="35" t="n">
        <f aca="false">E6/$V6</f>
        <v>32776.9398545935</v>
      </c>
      <c r="AA6" s="36" t="n">
        <f aca="false">C6/((N6+U6)*V6)</f>
        <v>0.182220105226989</v>
      </c>
      <c r="AB6" s="36" t="n">
        <f aca="false">D6/((N6+U6)*V6)</f>
        <v>0.037771705370876</v>
      </c>
      <c r="AC6" s="36" t="n">
        <f aca="false">E6/((N6+U6)*V6)</f>
        <v>0.0996507939808509</v>
      </c>
      <c r="AD6" s="36" t="n">
        <f aca="false">(C6+D6+E6)/((N6+U6)*V6)</f>
        <v>0.319642604578716</v>
      </c>
      <c r="AE6" s="36" t="n">
        <f aca="false">(C6+D6+E6)/((K6+U6)*V6)</f>
        <v>0.364883965255373</v>
      </c>
      <c r="AF6" s="37"/>
      <c r="AG6" s="38" t="n">
        <f aca="false">F6/($N6+$U6)</f>
        <v>0.47716768313075</v>
      </c>
      <c r="AH6" s="38" t="n">
        <f aca="false">G6/($N6+$U6)</f>
        <v>0.08947214807338</v>
      </c>
      <c r="AI6" s="39" t="n">
        <f aca="false">I6/($N6+$U6)</f>
        <v>0.880578138016162</v>
      </c>
      <c r="AJ6" s="40" t="n">
        <f aca="false">C6/F6</f>
        <v>0.577782253398938</v>
      </c>
      <c r="AK6" s="40" t="n">
        <f aca="false">D6/G6</f>
        <v>0.6387305039247</v>
      </c>
      <c r="AL6" s="40" t="n">
        <f aca="false">E6/I6</f>
        <v>0.171218935360692</v>
      </c>
      <c r="AM6" s="41"/>
      <c r="AN6" s="42" t="n">
        <f aca="false">AJ6/$V6</f>
        <v>0.381878554791102</v>
      </c>
      <c r="AO6" s="42" t="n">
        <f aca="false">AK6/$V6</f>
        <v>0.422161602065235</v>
      </c>
      <c r="AP6" s="42" t="n">
        <f aca="false">AL6/$V6</f>
        <v>0.113165191910569</v>
      </c>
      <c r="AQ6" s="42" t="n">
        <f aca="false">AM6/$V6</f>
        <v>0</v>
      </c>
      <c r="AR6" s="43"/>
    </row>
    <row r="7" customFormat="false" ht="18.75" hidden="false" customHeight="true" outlineLevel="0" collapsed="false">
      <c r="A7" s="18" t="n">
        <v>2011</v>
      </c>
      <c r="B7" s="18" t="n">
        <v>5</v>
      </c>
      <c r="C7" s="24" t="n">
        <v>75073.78</v>
      </c>
      <c r="D7" s="24" t="n">
        <v>15741</v>
      </c>
      <c r="E7" s="25" t="n">
        <v>39772.87</v>
      </c>
      <c r="F7" s="26" t="n">
        <v>129934.37</v>
      </c>
      <c r="G7" s="26" t="n">
        <v>24587</v>
      </c>
      <c r="H7" s="26"/>
      <c r="I7" s="27" t="n">
        <v>232938</v>
      </c>
      <c r="J7" s="27"/>
      <c r="K7" s="28" t="n">
        <f aca="false">N7-L7</f>
        <v>190741</v>
      </c>
      <c r="L7" s="29" t="n">
        <v>17933</v>
      </c>
      <c r="M7" s="30" t="n">
        <f aca="false">L7/N7</f>
        <v>0.0859378743878011</v>
      </c>
      <c r="N7" s="29" t="n">
        <v>208674</v>
      </c>
      <c r="O7" s="31" t="n">
        <v>259329</v>
      </c>
      <c r="P7" s="24"/>
      <c r="Q7" s="32"/>
      <c r="R7" s="32" t="e">
        <f aca="false">O7/Q7</f>
        <v>#DIV/0!</v>
      </c>
      <c r="S7" s="33" t="n">
        <v>28</v>
      </c>
      <c r="T7" s="29" t="n">
        <f aca="false">N7/S7</f>
        <v>7452.64285714286</v>
      </c>
      <c r="U7" s="29" t="n">
        <v>8346</v>
      </c>
      <c r="V7" s="34" t="n">
        <v>1.5848</v>
      </c>
      <c r="W7" s="35" t="n">
        <f aca="false">SUM(C7:E7)/V7</f>
        <v>82400.0820292781</v>
      </c>
      <c r="X7" s="35" t="n">
        <f aca="false">C7/$V7</f>
        <v>47371.1383139828</v>
      </c>
      <c r="Y7" s="35" t="n">
        <f aca="false">D7/$V7</f>
        <v>9932.48359414437</v>
      </c>
      <c r="Z7" s="35" t="n">
        <f aca="false">E7/$V7</f>
        <v>25096.4601211509</v>
      </c>
      <c r="AA7" s="36" t="n">
        <f aca="false">C7/((N7+U7)*V7)</f>
        <v>0.218280058584383</v>
      </c>
      <c r="AB7" s="36" t="n">
        <f aca="false">D7/((N7+U7)*V7)</f>
        <v>0.0457675955863256</v>
      </c>
      <c r="AC7" s="36" t="n">
        <f aca="false">E7/((N7+U7)*V7)</f>
        <v>0.115641231781177</v>
      </c>
      <c r="AD7" s="36" t="n">
        <f aca="false">(C7+D7+E7)/((N7+U7)*V7)</f>
        <v>0.379688885951885</v>
      </c>
      <c r="AE7" s="36" t="n">
        <f aca="false">(C7+D7+E7)/((K7+U7)*V7)</f>
        <v>0.413889817161734</v>
      </c>
      <c r="AF7" s="37"/>
      <c r="AG7" s="38" t="n">
        <f aca="false">F7/($N7+$U7)</f>
        <v>0.59872071698461</v>
      </c>
      <c r="AH7" s="38" t="n">
        <f aca="false">G7/($N7+$U7)</f>
        <v>0.113293705649249</v>
      </c>
      <c r="AI7" s="39" t="n">
        <f aca="false">I7/($N7+$U7)</f>
        <v>1.07334807851811</v>
      </c>
      <c r="AJ7" s="40" t="n">
        <f aca="false">C7/F7</f>
        <v>0.577782306559843</v>
      </c>
      <c r="AK7" s="40" t="n">
        <f aca="false">D7/G7</f>
        <v>0.640216374506853</v>
      </c>
      <c r="AL7" s="40" t="n">
        <f aca="false">E7/I7</f>
        <v>0.170744447020237</v>
      </c>
      <c r="AM7" s="41"/>
      <c r="AN7" s="42" t="n">
        <f aca="false">AJ7/$V7</f>
        <v>0.364577427157902</v>
      </c>
      <c r="AO7" s="42" t="n">
        <f aca="false">AK7/$V7</f>
        <v>0.403972977351624</v>
      </c>
      <c r="AP7" s="42" t="n">
        <f aca="false">AL7/$V7</f>
        <v>0.107738797968348</v>
      </c>
      <c r="AQ7" s="42" t="n">
        <f aca="false">AM7/$V7</f>
        <v>0</v>
      </c>
      <c r="AR7" s="43"/>
    </row>
    <row r="8" customFormat="false" ht="18.75" hidden="false" customHeight="true" outlineLevel="0" collapsed="false">
      <c r="A8" s="18" t="n">
        <v>2011</v>
      </c>
      <c r="B8" s="18" t="n">
        <v>6</v>
      </c>
      <c r="C8" s="24" t="n">
        <v>82554.62</v>
      </c>
      <c r="D8" s="24" t="n">
        <v>19719.6</v>
      </c>
      <c r="E8" s="25" t="n">
        <v>45305.86</v>
      </c>
      <c r="F8" s="26" t="n">
        <v>142881.88</v>
      </c>
      <c r="G8" s="26" t="n">
        <v>30896</v>
      </c>
      <c r="H8" s="26"/>
      <c r="I8" s="27" t="n">
        <v>263484</v>
      </c>
      <c r="J8" s="27"/>
      <c r="K8" s="28" t="n">
        <f aca="false">N8-L8</f>
        <v>244784</v>
      </c>
      <c r="L8" s="29" t="n">
        <v>32384</v>
      </c>
      <c r="M8" s="30" t="n">
        <f aca="false">L8/N8</f>
        <v>0.116838884719737</v>
      </c>
      <c r="N8" s="29" t="n">
        <v>277168</v>
      </c>
      <c r="O8" s="31" t="n">
        <v>292469</v>
      </c>
      <c r="P8" s="24"/>
      <c r="Q8" s="32"/>
      <c r="R8" s="32" t="e">
        <f aca="false">O8/Q8</f>
        <v>#DIV/0!</v>
      </c>
      <c r="S8" s="33" t="n">
        <v>29</v>
      </c>
      <c r="T8" s="29" t="n">
        <f aca="false">N8/S8</f>
        <v>9557.51724137931</v>
      </c>
      <c r="U8" s="29" t="n">
        <v>4272</v>
      </c>
      <c r="V8" s="34" t="n">
        <v>1.6146</v>
      </c>
      <c r="W8" s="35" t="n">
        <f aca="false">SUM(C8:E8)/V8</f>
        <v>91403.4931252322</v>
      </c>
      <c r="X8" s="35" t="n">
        <f aca="false">C8/$V8</f>
        <v>51130.0755605103</v>
      </c>
      <c r="Y8" s="35" t="n">
        <f aca="false">D8/$V8</f>
        <v>12213.303604608</v>
      </c>
      <c r="Z8" s="35" t="n">
        <f aca="false">E8/$V8</f>
        <v>28060.113960114</v>
      </c>
      <c r="AA8" s="36" t="n">
        <f aca="false">C8/((N8+U8)*V8)</f>
        <v>0.181673093947237</v>
      </c>
      <c r="AB8" s="36" t="n">
        <f aca="false">D8/((N8+U8)*V8)</f>
        <v>0.0433957632341101</v>
      </c>
      <c r="AC8" s="36" t="n">
        <f aca="false">E8/((N8+U8)*V8)</f>
        <v>0.0997019398810189</v>
      </c>
      <c r="AD8" s="36" t="n">
        <f aca="false">(C8+D8+E8)/((N8+U8)*V8)</f>
        <v>0.324770797062366</v>
      </c>
      <c r="AE8" s="36" t="n">
        <f aca="false">(C8+D8+E8)/((K8+U8)*V8)</f>
        <v>0.366999763608314</v>
      </c>
      <c r="AF8" s="37"/>
      <c r="AG8" s="38" t="n">
        <f aca="false">F8/($N8+$U8)</f>
        <v>0.507681495167709</v>
      </c>
      <c r="AH8" s="38" t="n">
        <f aca="false">G8/($N8+$U8)</f>
        <v>0.109778283115406</v>
      </c>
      <c r="AI8" s="39" t="n">
        <f aca="false">I8/($N8+$U8)</f>
        <v>0.936199545196134</v>
      </c>
      <c r="AJ8" s="40" t="n">
        <f aca="false">C8/F8</f>
        <v>0.577782291218453</v>
      </c>
      <c r="AK8" s="40" t="n">
        <f aca="false">D8/G8</f>
        <v>0.638257379596064</v>
      </c>
      <c r="AL8" s="40" t="n">
        <f aca="false">E8/I8</f>
        <v>0.17194918856553</v>
      </c>
      <c r="AM8" s="41"/>
      <c r="AN8" s="42" t="n">
        <f aca="false">AJ8/$V8</f>
        <v>0.357848563866253</v>
      </c>
      <c r="AO8" s="42" t="n">
        <f aca="false">AK8/$V8</f>
        <v>0.395303715840496</v>
      </c>
      <c r="AP8" s="42" t="n">
        <f aca="false">AL8/$V8</f>
        <v>0.10649646263194</v>
      </c>
      <c r="AQ8" s="42" t="n">
        <f aca="false">AM8/$V8</f>
        <v>0</v>
      </c>
      <c r="AR8" s="43"/>
    </row>
    <row r="9" customFormat="false" ht="18.75" hidden="false" customHeight="true" outlineLevel="0" collapsed="false">
      <c r="A9" s="18" t="n">
        <v>2011</v>
      </c>
      <c r="B9" s="18" t="n">
        <v>7</v>
      </c>
      <c r="C9" s="24" t="n">
        <v>81787.84</v>
      </c>
      <c r="D9" s="24" t="n">
        <v>21870</v>
      </c>
      <c r="E9" s="25" t="n">
        <v>48939.24</v>
      </c>
      <c r="F9" s="26" t="n">
        <v>141554.79</v>
      </c>
      <c r="G9" s="26" t="n">
        <v>32179</v>
      </c>
      <c r="H9" s="26"/>
      <c r="I9" s="27" t="n">
        <v>284922</v>
      </c>
      <c r="J9" s="27"/>
      <c r="K9" s="28" t="n">
        <f aca="false">N9-L9</f>
        <v>235284</v>
      </c>
      <c r="L9" s="29" t="n">
        <v>15291</v>
      </c>
      <c r="M9" s="30" t="n">
        <f aca="false">L9/N9</f>
        <v>0.0610236456150853</v>
      </c>
      <c r="N9" s="29" t="n">
        <v>250575</v>
      </c>
      <c r="O9" s="31" t="n">
        <v>287759</v>
      </c>
      <c r="P9" s="24"/>
      <c r="Q9" s="32"/>
      <c r="R9" s="32" t="e">
        <f aca="false">O9/Q9</f>
        <v>#DIV/0!</v>
      </c>
      <c r="S9" s="33" t="n">
        <v>29</v>
      </c>
      <c r="T9" s="29" t="n">
        <f aca="false">N9/S9</f>
        <v>8640.51724137931</v>
      </c>
      <c r="U9" s="29" t="n">
        <v>12154</v>
      </c>
      <c r="V9" s="34" t="n">
        <v>1.6721</v>
      </c>
      <c r="W9" s="35" t="n">
        <f aca="false">SUM(C9:E9)/V9</f>
        <v>91260.7379941391</v>
      </c>
      <c r="X9" s="35" t="n">
        <f aca="false">C9/$V9</f>
        <v>48913.2468153819</v>
      </c>
      <c r="Y9" s="35" t="n">
        <f aca="false">D9/$V9</f>
        <v>13079.36128222</v>
      </c>
      <c r="Z9" s="35" t="n">
        <f aca="false">E9/$V9</f>
        <v>29268.1298965373</v>
      </c>
      <c r="AA9" s="36" t="n">
        <f aca="false">C9/((N9+U9)*V9)</f>
        <v>0.186173763898853</v>
      </c>
      <c r="AB9" s="36" t="n">
        <f aca="false">D9/((N9+U9)*V9)</f>
        <v>0.0497827087311259</v>
      </c>
      <c r="AC9" s="36" t="n">
        <f aca="false">E9/((N9+U9)*V9)</f>
        <v>0.11140045406688</v>
      </c>
      <c r="AD9" s="36" t="n">
        <f aca="false">(C9+D9+E9)/((N9+U9)*V9)</f>
        <v>0.347356926696859</v>
      </c>
      <c r="AE9" s="36" t="n">
        <f aca="false">(C9+D9+E9)/((K9+U9)*V9)</f>
        <v>0.368822646457452</v>
      </c>
      <c r="AF9" s="37"/>
      <c r="AG9" s="38" t="n">
        <f aca="false">F9/($N9+$U9)</f>
        <v>0.538786315937715</v>
      </c>
      <c r="AH9" s="38" t="n">
        <f aca="false">G9/($N9+$U9)</f>
        <v>0.122479817606735</v>
      </c>
      <c r="AI9" s="39" t="n">
        <f aca="false">I9/($N9+$U9)</f>
        <v>1.08447107095144</v>
      </c>
      <c r="AJ9" s="40" t="n">
        <f aca="false">C9/F9</f>
        <v>0.577782214222493</v>
      </c>
      <c r="AK9" s="44" t="n">
        <f aca="false">D9/G9</f>
        <v>0.679635787314708</v>
      </c>
      <c r="AL9" s="40" t="n">
        <f aca="false">E9/I9</f>
        <v>0.171763640575315</v>
      </c>
      <c r="AM9" s="41"/>
      <c r="AN9" s="42" t="n">
        <f aca="false">AJ9/$V9</f>
        <v>0.345542858813763</v>
      </c>
      <c r="AO9" s="42" t="n">
        <f aca="false">AK9/$V9</f>
        <v>0.406456424445134</v>
      </c>
      <c r="AP9" s="42" t="n">
        <f aca="false">AL9/$V9</f>
        <v>0.102723306366435</v>
      </c>
      <c r="AQ9" s="42" t="n">
        <f aca="false">AM9/$V9</f>
        <v>0</v>
      </c>
      <c r="AR9" s="43"/>
    </row>
    <row r="10" customFormat="false" ht="18.75" hidden="false" customHeight="true" outlineLevel="0" collapsed="false">
      <c r="A10" s="18" t="n">
        <v>2011</v>
      </c>
      <c r="B10" s="18" t="n">
        <v>8</v>
      </c>
      <c r="C10" s="24" t="n">
        <v>69949.75</v>
      </c>
      <c r="D10" s="24" t="n">
        <v>19631.81</v>
      </c>
      <c r="E10" s="25" t="n">
        <v>45204.6</v>
      </c>
      <c r="F10" s="26" t="n">
        <v>119914.41</v>
      </c>
      <c r="G10" s="26" t="n">
        <v>29280</v>
      </c>
      <c r="H10" s="26"/>
      <c r="I10" s="27" t="n">
        <v>264204</v>
      </c>
      <c r="J10" s="27"/>
      <c r="K10" s="28" t="n">
        <f aca="false">N10-L10</f>
        <v>257171</v>
      </c>
      <c r="L10" s="29" t="n">
        <v>11289</v>
      </c>
      <c r="M10" s="30" t="n">
        <f aca="false">L10/N10</f>
        <v>0.0420509573120763</v>
      </c>
      <c r="N10" s="29" t="n">
        <v>268460</v>
      </c>
      <c r="O10" s="31" t="n">
        <v>296090</v>
      </c>
      <c r="P10" s="24"/>
      <c r="Q10" s="32"/>
      <c r="R10" s="32" t="e">
        <f aca="false">O10/Q10</f>
        <v>#DIV/0!</v>
      </c>
      <c r="S10" s="33" t="n">
        <v>28</v>
      </c>
      <c r="T10" s="29" t="n">
        <f aca="false">N10/S10</f>
        <v>9587.85714285714</v>
      </c>
      <c r="U10" s="29" t="n">
        <v>10022</v>
      </c>
      <c r="V10" s="34" t="n">
        <v>1.7442</v>
      </c>
      <c r="W10" s="35" t="n">
        <f aca="false">SUM(C10:E10)/V10</f>
        <v>77276.7801857585</v>
      </c>
      <c r="X10" s="35" t="n">
        <f aca="false">C10/$V10</f>
        <v>40104.2024997133</v>
      </c>
      <c r="Y10" s="35" t="n">
        <f aca="false">D10/$V10</f>
        <v>11255.4810228185</v>
      </c>
      <c r="Z10" s="35" t="n">
        <f aca="false">E10/$V10</f>
        <v>25917.0966632267</v>
      </c>
      <c r="AA10" s="36" t="n">
        <f aca="false">C10/((N10+U10)*V10)</f>
        <v>0.144010034758847</v>
      </c>
      <c r="AB10" s="36" t="n">
        <f aca="false">D10/((N10+U10)*V10)</f>
        <v>0.0404172658298148</v>
      </c>
      <c r="AC10" s="36" t="n">
        <f aca="false">E10/((N10+U10)*V10)</f>
        <v>0.0930656080580673</v>
      </c>
      <c r="AD10" s="36" t="n">
        <f aca="false">(C10+D10+E10)/((N10+U10)*V10)</f>
        <v>0.277492908646729</v>
      </c>
      <c r="AE10" s="36" t="n">
        <f aca="false">(C10+D10+E10)/((K10+U10)*V10)</f>
        <v>0.28921708347808</v>
      </c>
      <c r="AF10" s="37"/>
      <c r="AG10" s="38" t="n">
        <f aca="false">F10/($N10+$U10)</f>
        <v>0.430600218326499</v>
      </c>
      <c r="AH10" s="38" t="n">
        <f aca="false">G10/($N10+$U10)</f>
        <v>0.105141445407603</v>
      </c>
      <c r="AI10" s="39" t="n">
        <f aca="false">I10/($N10+$U10)</f>
        <v>0.948729181778356</v>
      </c>
      <c r="AJ10" s="40" t="n">
        <f aca="false">C10/F10</f>
        <v>0.583330643915106</v>
      </c>
      <c r="AK10" s="40" t="n">
        <f aca="false">D10/G10</f>
        <v>0.67048531420765</v>
      </c>
      <c r="AL10" s="40" t="n">
        <f aca="false">E10/I10</f>
        <v>0.171097333878367</v>
      </c>
      <c r="AM10" s="41"/>
      <c r="AN10" s="42" t="n">
        <f aca="false">AJ10/$V10</f>
        <v>0.334440226989511</v>
      </c>
      <c r="AO10" s="42" t="n">
        <f aca="false">AK10/$V10</f>
        <v>0.38440850487768</v>
      </c>
      <c r="AP10" s="42" t="n">
        <f aca="false">AL10/$V10</f>
        <v>0.0980950199967703</v>
      </c>
      <c r="AQ10" s="42" t="n">
        <f aca="false">AM10/$V10</f>
        <v>0</v>
      </c>
      <c r="AR10" s="43"/>
    </row>
    <row r="11" customFormat="false" ht="18.75" hidden="false" customHeight="true" outlineLevel="0" collapsed="false">
      <c r="A11" s="18" t="n">
        <v>2011</v>
      </c>
      <c r="B11" s="18" t="n">
        <v>9</v>
      </c>
      <c r="C11" s="24" t="n">
        <v>96608.57</v>
      </c>
      <c r="D11" s="24" t="n">
        <v>22936.1</v>
      </c>
      <c r="E11" s="25" t="n">
        <v>45326.42</v>
      </c>
      <c r="F11" s="26" t="n">
        <v>165615.46</v>
      </c>
      <c r="G11" s="26" t="n">
        <v>34268</v>
      </c>
      <c r="H11" s="26"/>
      <c r="I11" s="27" t="n">
        <v>267858</v>
      </c>
      <c r="J11" s="27"/>
      <c r="K11" s="28" t="n">
        <f aca="false">N11-L11</f>
        <v>261817</v>
      </c>
      <c r="L11" s="29" t="n">
        <v>16419</v>
      </c>
      <c r="M11" s="30" t="n">
        <f aca="false">L11/N11</f>
        <v>0.0590110553630731</v>
      </c>
      <c r="N11" s="29" t="n">
        <v>278236</v>
      </c>
      <c r="O11" s="31" t="n">
        <v>325275</v>
      </c>
      <c r="P11" s="24"/>
      <c r="Q11" s="32"/>
      <c r="R11" s="32" t="e">
        <f aca="false">O11/Q11</f>
        <v>#DIV/0!</v>
      </c>
      <c r="S11" s="33" t="n">
        <v>29</v>
      </c>
      <c r="T11" s="29" t="n">
        <f aca="false">N11/S11</f>
        <v>9594.34482758621</v>
      </c>
      <c r="U11" s="29" t="n">
        <v>11217</v>
      </c>
      <c r="V11" s="34" t="n">
        <v>1.8499</v>
      </c>
      <c r="W11" s="35" t="n">
        <f aca="false">SUM(C11:E11)/V11</f>
        <v>89124.3256392237</v>
      </c>
      <c r="X11" s="35" t="n">
        <f aca="false">C11/$V11</f>
        <v>52223.6715498135</v>
      </c>
      <c r="Y11" s="35" t="n">
        <f aca="false">D11/$V11</f>
        <v>12398.562084437</v>
      </c>
      <c r="Z11" s="35" t="n">
        <f aca="false">E11/$V11</f>
        <v>24502.0920049732</v>
      </c>
      <c r="AA11" s="36" t="n">
        <f aca="false">C11/((N11+U11)*V11)</f>
        <v>0.180421939139734</v>
      </c>
      <c r="AB11" s="36" t="n">
        <f aca="false">D11/((N11+U11)*V11)</f>
        <v>0.0428344570083468</v>
      </c>
      <c r="AC11" s="36" t="n">
        <f aca="false">E11/((N11+U11)*V11)</f>
        <v>0.0846496391641242</v>
      </c>
      <c r="AD11" s="36" t="n">
        <f aca="false">(C11+D11+E11)/((N11+U11)*V11)</f>
        <v>0.307906035312205</v>
      </c>
      <c r="AE11" s="36" t="n">
        <f aca="false">(C11+D11+E11)/((K11+U11)*V11)</f>
        <v>0.326422077980119</v>
      </c>
      <c r="AF11" s="37"/>
      <c r="AG11" s="38" t="n">
        <f aca="false">F11/($N11+$U11)</f>
        <v>0.572167018479684</v>
      </c>
      <c r="AH11" s="38" t="n">
        <f aca="false">G11/($N11+$U11)</f>
        <v>0.118388823055902</v>
      </c>
      <c r="AI11" s="39" t="n">
        <f aca="false">I11/($N11+$U11)</f>
        <v>0.92539375995412</v>
      </c>
      <c r="AJ11" s="40" t="n">
        <f aca="false">C11/F11</f>
        <v>0.583330626259167</v>
      </c>
      <c r="AK11" s="40" t="n">
        <f aca="false">D11/G11</f>
        <v>0.669315396288082</v>
      </c>
      <c r="AL11" s="40" t="n">
        <f aca="false">E11/I11</f>
        <v>0.169218093168769</v>
      </c>
      <c r="AM11" s="41"/>
      <c r="AN11" s="42" t="n">
        <f aca="false">AJ11/$V11</f>
        <v>0.315330896945331</v>
      </c>
      <c r="AO11" s="42" t="n">
        <f aca="false">AK11/$V11</f>
        <v>0.361811663488882</v>
      </c>
      <c r="AP11" s="42" t="n">
        <f aca="false">AL11/$V11</f>
        <v>0.0914741841011777</v>
      </c>
      <c r="AQ11" s="42" t="n">
        <f aca="false">AM11/$V11</f>
        <v>0</v>
      </c>
      <c r="AR11" s="43"/>
    </row>
    <row r="12" customFormat="false" ht="18.75" hidden="false" customHeight="true" outlineLevel="0" collapsed="false">
      <c r="A12" s="18" t="n">
        <v>2011</v>
      </c>
      <c r="B12" s="18" t="n">
        <v>10</v>
      </c>
      <c r="C12" s="24" t="n">
        <v>112225.71</v>
      </c>
      <c r="D12" s="24" t="n">
        <v>23638.07</v>
      </c>
      <c r="E12" s="25" t="n">
        <v>54322.35</v>
      </c>
      <c r="F12" s="26" t="n">
        <v>168315.24</v>
      </c>
      <c r="G12" s="26" t="n">
        <v>35315</v>
      </c>
      <c r="H12" s="26"/>
      <c r="I12" s="27" t="n">
        <v>311454</v>
      </c>
      <c r="J12" s="27"/>
      <c r="K12" s="28" t="n">
        <f aca="false">N12-L12</f>
        <v>306349</v>
      </c>
      <c r="L12" s="29" t="n">
        <v>13807</v>
      </c>
      <c r="M12" s="30" t="n">
        <f aca="false">L12/N12</f>
        <v>0.0431258511475656</v>
      </c>
      <c r="N12" s="29" t="n">
        <v>320156</v>
      </c>
      <c r="O12" s="31" t="n">
        <v>367797</v>
      </c>
      <c r="P12" s="24"/>
      <c r="Q12" s="32"/>
      <c r="R12" s="32" t="e">
        <f aca="false">O12/Q12</f>
        <v>#DIV/0!</v>
      </c>
      <c r="S12" s="33" t="n">
        <v>28</v>
      </c>
      <c r="T12" s="29" t="n">
        <f aca="false">N12/S12</f>
        <v>11434.1428571429</v>
      </c>
      <c r="U12" s="29" t="n">
        <v>22484</v>
      </c>
      <c r="V12" s="34" t="n">
        <v>1.7446</v>
      </c>
      <c r="W12" s="35" t="n">
        <f aca="false">SUM(C12:E12)/V12</f>
        <v>109014.175169093</v>
      </c>
      <c r="X12" s="35" t="n">
        <f aca="false">C12/$V12</f>
        <v>64327.4733463258</v>
      </c>
      <c r="Y12" s="35" t="n">
        <f aca="false">D12/$V12</f>
        <v>13549.2777714089</v>
      </c>
      <c r="Z12" s="35" t="n">
        <f aca="false">E12/$V12</f>
        <v>31137.4240513585</v>
      </c>
      <c r="AA12" s="36" t="n">
        <f aca="false">C12/((N12+U12)*V12)</f>
        <v>0.187740699703262</v>
      </c>
      <c r="AB12" s="36" t="n">
        <f aca="false">D12/((N12+U12)*V12)</f>
        <v>0.0395437712217164</v>
      </c>
      <c r="AC12" s="36" t="n">
        <f aca="false">E12/((N12+U12)*V12)</f>
        <v>0.0908750410091013</v>
      </c>
      <c r="AD12" s="36" t="n">
        <f aca="false">(C12+D12+E12)/((N12+U12)*V12)</f>
        <v>0.31815951193408</v>
      </c>
      <c r="AE12" s="36" t="n">
        <f aca="false">(C12+D12+E12)/((K12+U12)*V12)</f>
        <v>0.331518354815646</v>
      </c>
      <c r="AF12" s="37"/>
      <c r="AG12" s="38" t="n">
        <f aca="false">F12/($N12+$U12)</f>
        <v>0.491230562689703</v>
      </c>
      <c r="AH12" s="38" t="n">
        <f aca="false">G12/($N12+$U12)</f>
        <v>0.103067359327574</v>
      </c>
      <c r="AI12" s="39" t="n">
        <f aca="false">I12/($N12+$U12)</f>
        <v>0.908983189353257</v>
      </c>
      <c r="AJ12" s="44" t="n">
        <f aca="false">C12/F12</f>
        <v>0.666759052834431</v>
      </c>
      <c r="AK12" s="40" t="n">
        <f aca="false">D12/G12</f>
        <v>0.669349285006371</v>
      </c>
      <c r="AL12" s="40" t="n">
        <f aca="false">E12/I12</f>
        <v>0.174415322969042</v>
      </c>
      <c r="AM12" s="41"/>
      <c r="AN12" s="42" t="n">
        <f aca="false">AJ12/$V12</f>
        <v>0.382184485173926</v>
      </c>
      <c r="AO12" s="42" t="n">
        <f aca="false">AK12/$V12</f>
        <v>0.383669199247031</v>
      </c>
      <c r="AP12" s="42" t="n">
        <f aca="false">AL12/$V12</f>
        <v>0.0999743912467282</v>
      </c>
      <c r="AQ12" s="42" t="n">
        <f aca="false">AM12/$V12</f>
        <v>0</v>
      </c>
      <c r="AR12" s="43"/>
    </row>
    <row r="13" customFormat="false" ht="18.75" hidden="false" customHeight="true" outlineLevel="0" collapsed="false">
      <c r="A13" s="18" t="n">
        <v>2011</v>
      </c>
      <c r="B13" s="18" t="n">
        <v>11</v>
      </c>
      <c r="C13" s="24" t="n">
        <v>109496.09</v>
      </c>
      <c r="D13" s="24" t="n">
        <v>21945.6</v>
      </c>
      <c r="E13" s="25" t="n">
        <v>47541.09</v>
      </c>
      <c r="F13" s="26" t="n">
        <v>164221.4</v>
      </c>
      <c r="G13" s="26" t="n">
        <v>32766</v>
      </c>
      <c r="H13" s="26"/>
      <c r="I13" s="27" t="n">
        <v>272574</v>
      </c>
      <c r="J13" s="27"/>
      <c r="K13" s="28" t="n">
        <f aca="false">N13-L13</f>
        <v>273053</v>
      </c>
      <c r="L13" s="29" t="n">
        <v>21306</v>
      </c>
      <c r="M13" s="30" t="n">
        <f aca="false">L13/N13</f>
        <v>0.0723810041479962</v>
      </c>
      <c r="N13" s="29" t="n">
        <v>294359</v>
      </c>
      <c r="O13" s="31" t="n">
        <v>297995</v>
      </c>
      <c r="P13" s="24"/>
      <c r="Q13" s="32"/>
      <c r="R13" s="32" t="e">
        <f aca="false">O13/Q13</f>
        <v>#DIV/0!</v>
      </c>
      <c r="S13" s="33" t="n">
        <v>24</v>
      </c>
      <c r="T13" s="29" t="n">
        <f aca="false">N13/S13</f>
        <v>12264.9583333333</v>
      </c>
      <c r="U13" s="29" t="n">
        <v>19271</v>
      </c>
      <c r="V13" s="34" t="n">
        <v>1.8396</v>
      </c>
      <c r="W13" s="35" t="n">
        <f aca="false">SUM(C13:E13)/V13</f>
        <v>97294.4009567297</v>
      </c>
      <c r="X13" s="35" t="n">
        <f aca="false">C13/$V13</f>
        <v>59521.6840617526</v>
      </c>
      <c r="Y13" s="35" t="n">
        <f aca="false">D13/$V13</f>
        <v>11929.5499021526</v>
      </c>
      <c r="Z13" s="35" t="n">
        <f aca="false">E13/$V13</f>
        <v>25843.1669928245</v>
      </c>
      <c r="AA13" s="36" t="n">
        <f aca="false">C13/((N13+U13)*V13)</f>
        <v>0.189783133188</v>
      </c>
      <c r="AB13" s="36" t="n">
        <f aca="false">D13/((N13+U13)*V13)</f>
        <v>0.0380370178304137</v>
      </c>
      <c r="AC13" s="36" t="n">
        <f aca="false">E13/((N13+U13)*V13)</f>
        <v>0.0824001753429982</v>
      </c>
      <c r="AD13" s="36" t="n">
        <f aca="false">(C13+D13+E13)/((N13+U13)*V13)</f>
        <v>0.310220326361412</v>
      </c>
      <c r="AE13" s="36" t="n">
        <f aca="false">(C13+D13+E13)/((K13+U13)*V13)</f>
        <v>0.332830697981451</v>
      </c>
      <c r="AF13" s="37"/>
      <c r="AG13" s="38" t="n">
        <f aca="false">F13/($N13+$U13)</f>
        <v>0.523615087842362</v>
      </c>
      <c r="AH13" s="38" t="n">
        <f aca="false">G13/($N13+$U13)</f>
        <v>0.10447342409846</v>
      </c>
      <c r="AI13" s="39" t="n">
        <f aca="false">I13/($N13+$U13)</f>
        <v>0.86909415553359</v>
      </c>
      <c r="AJ13" s="40" t="n">
        <f aca="false">C13/F13</f>
        <v>0.666758960768816</v>
      </c>
      <c r="AK13" s="40" t="n">
        <f aca="false">D13/G13</f>
        <v>0.669767441860465</v>
      </c>
      <c r="AL13" s="40" t="n">
        <f aca="false">E13/I13</f>
        <v>0.174415351427502</v>
      </c>
      <c r="AM13" s="41"/>
      <c r="AN13" s="42" t="n">
        <f aca="false">AJ13/$V13</f>
        <v>0.362447793416403</v>
      </c>
      <c r="AO13" s="42" t="n">
        <f aca="false">AK13/$V13</f>
        <v>0.364083193009603</v>
      </c>
      <c r="AP13" s="42" t="n">
        <f aca="false">AL13/$V13</f>
        <v>0.0948115630721365</v>
      </c>
      <c r="AQ13" s="42" t="n">
        <f aca="false">AM13/$V13</f>
        <v>0</v>
      </c>
      <c r="AR13" s="43"/>
    </row>
    <row r="14" customFormat="false" ht="18.75" hidden="false" customHeight="true" outlineLevel="0" collapsed="false">
      <c r="A14" s="18" t="n">
        <v>2011</v>
      </c>
      <c r="B14" s="18" t="n">
        <v>12</v>
      </c>
      <c r="C14" s="24" t="n">
        <v>128221.3</v>
      </c>
      <c r="D14" s="24" t="n">
        <v>25883.28</v>
      </c>
      <c r="E14" s="25" t="n">
        <v>58952.09</v>
      </c>
      <c r="F14" s="26" t="n">
        <v>192305.32</v>
      </c>
      <c r="G14" s="26" t="n">
        <v>38622</v>
      </c>
      <c r="H14" s="26"/>
      <c r="I14" s="27" t="n">
        <v>326556</v>
      </c>
      <c r="J14" s="27"/>
      <c r="K14" s="28" t="n">
        <f aca="false">N14-L14</f>
        <v>315048</v>
      </c>
      <c r="L14" s="29" t="n">
        <v>27863</v>
      </c>
      <c r="M14" s="30" t="n">
        <f aca="false">L14/N14</f>
        <v>0.0812543196339575</v>
      </c>
      <c r="N14" s="29" t="n">
        <v>342911</v>
      </c>
      <c r="O14" s="31" t="n">
        <v>366334</v>
      </c>
      <c r="P14" s="24"/>
      <c r="Q14" s="32"/>
      <c r="R14" s="32" t="e">
        <f aca="false">O14/Q14</f>
        <v>#DIV/0!</v>
      </c>
      <c r="S14" s="33" t="n">
        <v>29</v>
      </c>
      <c r="T14" s="29" t="n">
        <f aca="false">N14/S14</f>
        <v>11824.5172413793</v>
      </c>
      <c r="U14" s="29" t="n">
        <v>16265</v>
      </c>
      <c r="V14" s="34" t="n">
        <v>1.8876</v>
      </c>
      <c r="W14" s="35" t="n">
        <f aca="false">SUM(C14:E14)/V14</f>
        <v>112871.726001271</v>
      </c>
      <c r="X14" s="35" t="n">
        <f aca="false">C14/$V14</f>
        <v>67928.2157236703</v>
      </c>
      <c r="Y14" s="35" t="n">
        <f aca="false">D14/$V14</f>
        <v>13712.2695486332</v>
      </c>
      <c r="Z14" s="35" t="n">
        <f aca="false">E14/$V14</f>
        <v>31231.240728968</v>
      </c>
      <c r="AA14" s="36" t="n">
        <f aca="false">C14/((N14+U14)*V14)</f>
        <v>0.189122368208539</v>
      </c>
      <c r="AB14" s="36" t="n">
        <f aca="false">D14/((N14+U14)*V14)</f>
        <v>0.0381770205933392</v>
      </c>
      <c r="AC14" s="36" t="n">
        <f aca="false">E14/((N14+U14)*V14)</f>
        <v>0.0869524710141212</v>
      </c>
      <c r="AD14" s="36" t="n">
        <f aca="false">(C14+D14+E14)/((N14+U14)*V14)</f>
        <v>0.314251859816</v>
      </c>
      <c r="AE14" s="36" t="n">
        <f aca="false">(C14+D14+E14)/((K14+U14)*V14)</f>
        <v>0.340680039724585</v>
      </c>
      <c r="AF14" s="37"/>
      <c r="AG14" s="38" t="n">
        <f aca="false">F14/($N14+$U14)</f>
        <v>0.535406931420808</v>
      </c>
      <c r="AH14" s="38" t="n">
        <f aca="false">G14/($N14+$U14)</f>
        <v>0.107529456311112</v>
      </c>
      <c r="AI14" s="39" t="n">
        <f aca="false">I14/($N14+$U14)</f>
        <v>0.90918101432167</v>
      </c>
      <c r="AJ14" s="40" t="n">
        <f aca="false">C14/F14</f>
        <v>0.666758985138841</v>
      </c>
      <c r="AK14" s="40" t="n">
        <f aca="false">D14/G14</f>
        <v>0.670169333540469</v>
      </c>
      <c r="AL14" s="44" t="n">
        <f aca="false">E14/I14</f>
        <v>0.180526739670991</v>
      </c>
      <c r="AM14" s="45"/>
      <c r="AN14" s="42" t="n">
        <f aca="false">AJ14/$V14</f>
        <v>0.353231079221679</v>
      </c>
      <c r="AO14" s="42" t="n">
        <f aca="false">AK14/$V14</f>
        <v>0.355037790602071</v>
      </c>
      <c r="AP14" s="42" t="n">
        <f aca="false">AL14/$V14</f>
        <v>0.0956382388593932</v>
      </c>
      <c r="AQ14" s="42" t="n">
        <f aca="false">AM14/$V14</f>
        <v>0</v>
      </c>
      <c r="AR14" s="43"/>
    </row>
    <row r="15" customFormat="false" ht="18.75" hidden="false" customHeight="true" outlineLevel="0" collapsed="false">
      <c r="A15" s="18" t="n">
        <v>2012</v>
      </c>
      <c r="B15" s="18" t="n">
        <v>1</v>
      </c>
      <c r="C15" s="24" t="n">
        <v>133831.58</v>
      </c>
      <c r="D15" s="24" t="n">
        <v>25483.86</v>
      </c>
      <c r="E15" s="25" t="n">
        <v>60141.21</v>
      </c>
      <c r="F15" s="26" t="n">
        <v>200719.57</v>
      </c>
      <c r="G15" s="26" t="n">
        <v>38096</v>
      </c>
      <c r="H15" s="26"/>
      <c r="I15" s="27" t="n">
        <v>343044</v>
      </c>
      <c r="J15" s="27"/>
      <c r="K15" s="28" t="n">
        <f aca="false">N15-L15</f>
        <v>324458</v>
      </c>
      <c r="L15" s="29" t="n">
        <v>21575</v>
      </c>
      <c r="M15" s="30" t="n">
        <f aca="false">L15/N15</f>
        <v>0.0623495446966041</v>
      </c>
      <c r="N15" s="29" t="n">
        <v>346033</v>
      </c>
      <c r="O15" s="31" t="n">
        <v>355922</v>
      </c>
      <c r="P15" s="24"/>
      <c r="Q15" s="32"/>
      <c r="R15" s="32" t="e">
        <f aca="false">O15/Q15</f>
        <v>#DIV/0!</v>
      </c>
      <c r="S15" s="33" t="n">
        <v>25</v>
      </c>
      <c r="T15" s="29" t="n">
        <f aca="false">N15/S15</f>
        <v>13841.32</v>
      </c>
      <c r="U15" s="29" t="n">
        <v>19024</v>
      </c>
      <c r="V15" s="34" t="n">
        <f aca="false">'$'!C2</f>
        <v>1.842267</v>
      </c>
      <c r="W15" s="35" t="n">
        <f aca="false">SUM(C15:E15)/V15</f>
        <v>119123.150987343</v>
      </c>
      <c r="X15" s="35" t="n">
        <f aca="false">C15/$V15</f>
        <v>72645.0509073875</v>
      </c>
      <c r="Y15" s="35" t="n">
        <f aca="false">D15/$V15</f>
        <v>13832.8809016283</v>
      </c>
      <c r="Z15" s="35" t="n">
        <f aca="false">E15/$V15</f>
        <v>32645.2191783276</v>
      </c>
      <c r="AA15" s="36" t="n">
        <f aca="false">C15/((N15+U15)*V15)</f>
        <v>0.198996460572972</v>
      </c>
      <c r="AB15" s="36" t="n">
        <f aca="false">D15/((N15+U15)*V15)</f>
        <v>0.0378923863989138</v>
      </c>
      <c r="AC15" s="36" t="n">
        <f aca="false">E15/((N15+U15)*V15)</f>
        <v>0.0894249916542555</v>
      </c>
      <c r="AD15" s="36" t="n">
        <f aca="false">(C15+D15+E15)/((N15+U15)*V15)</f>
        <v>0.326313838626141</v>
      </c>
      <c r="AE15" s="36" t="n">
        <f aca="false">(C15+D15+E15)/((K15+U15)*V15)</f>
        <v>0.346810461646733</v>
      </c>
      <c r="AF15" s="37"/>
      <c r="AG15" s="38" t="n">
        <f aca="false">F15/($N15+$U15)</f>
        <v>0.549830766154327</v>
      </c>
      <c r="AH15" s="38" t="n">
        <f aca="false">G15/($N15+$U15)</f>
        <v>0.104356306001529</v>
      </c>
      <c r="AI15" s="39" t="n">
        <f aca="false">I15/($N15+$U15)</f>
        <v>0.93969982769814</v>
      </c>
      <c r="AJ15" s="40" t="n">
        <f aca="false">C15/F15</f>
        <v>0.666759001127792</v>
      </c>
      <c r="AK15" s="40" t="n">
        <f aca="false">D15/G15</f>
        <v>0.668937946241075</v>
      </c>
      <c r="AL15" s="40" t="n">
        <f aca="false">E15/I15</f>
        <v>0.175316315108266</v>
      </c>
      <c r="AM15" s="41"/>
      <c r="AN15" s="42" t="n">
        <f aca="false">AJ15/$V15</f>
        <v>0.361923109477504</v>
      </c>
      <c r="AO15" s="42" t="n">
        <f aca="false">AK15/$V15</f>
        <v>0.363105861550511</v>
      </c>
      <c r="AP15" s="42" t="n">
        <f aca="false">AL15/$V15</f>
        <v>0.0951633585730331</v>
      </c>
      <c r="AQ15" s="42" t="n">
        <f aca="false">AM15/$V15</f>
        <v>0</v>
      </c>
      <c r="AR15" s="46"/>
    </row>
    <row r="16" customFormat="false" ht="18.75" hidden="false" customHeight="true" outlineLevel="0" collapsed="false">
      <c r="A16" s="18" t="n">
        <v>2012</v>
      </c>
      <c r="B16" s="18" t="n">
        <v>2</v>
      </c>
      <c r="C16" s="24" t="n">
        <v>121406.37</v>
      </c>
      <c r="D16" s="24" t="n">
        <v>24301.91</v>
      </c>
      <c r="E16" s="25" t="n">
        <v>53775.24</v>
      </c>
      <c r="F16" s="26" t="n">
        <v>182084.33</v>
      </c>
      <c r="G16" s="26" t="n">
        <v>36315</v>
      </c>
      <c r="H16" s="26"/>
      <c r="I16" s="27" t="n">
        <v>306732.8</v>
      </c>
      <c r="J16" s="27"/>
      <c r="K16" s="28" t="n">
        <f aca="false">N16-L16</f>
        <v>294148</v>
      </c>
      <c r="L16" s="29" t="n">
        <v>14791</v>
      </c>
      <c r="M16" s="30" t="n">
        <f aca="false">L16/N16</f>
        <v>0.0478767653161304</v>
      </c>
      <c r="N16" s="29" t="n">
        <v>308939</v>
      </c>
      <c r="O16" s="31" t="n">
        <v>336318</v>
      </c>
      <c r="P16" s="24"/>
      <c r="Q16" s="32"/>
      <c r="R16" s="32" t="e">
        <f aca="false">O16/Q16</f>
        <v>#DIV/0!</v>
      </c>
      <c r="S16" s="33" t="n">
        <v>23</v>
      </c>
      <c r="T16" s="29" t="n">
        <f aca="false">N16/S16</f>
        <v>13432.1304347826</v>
      </c>
      <c r="U16" s="29" t="n">
        <v>17049</v>
      </c>
      <c r="V16" s="34" t="n">
        <f aca="false">'$'!C3</f>
        <v>1.757901</v>
      </c>
      <c r="W16" s="35" t="n">
        <f aca="false">SUM(C16:E16)/V16</f>
        <v>113478.24479308</v>
      </c>
      <c r="X16" s="35" t="n">
        <f aca="false">C16/$V16</f>
        <v>69063.2578285125</v>
      </c>
      <c r="Y16" s="35" t="n">
        <f aca="false">D16/$V16</f>
        <v>13824.3905657941</v>
      </c>
      <c r="Z16" s="35" t="n">
        <f aca="false">E16/$V16</f>
        <v>30590.5963987733</v>
      </c>
      <c r="AA16" s="36" t="n">
        <f aca="false">C16/((N16+U16)*V16)</f>
        <v>0.211858282600932</v>
      </c>
      <c r="AB16" s="36" t="n">
        <f aca="false">D16/((N16+U16)*V16)</f>
        <v>0.0424076670484622</v>
      </c>
      <c r="AC16" s="36" t="n">
        <f aca="false">E16/((N16+U16)*V16)</f>
        <v>0.0938396394921694</v>
      </c>
      <c r="AD16" s="36" t="n">
        <f aca="false">(C16+D16+E16)/((N16+U16)*V16)</f>
        <v>0.348105589141563</v>
      </c>
      <c r="AE16" s="36" t="n">
        <f aca="false">(C16+D16+E16)/((K16+U16)*V16)</f>
        <v>0.364650831444647</v>
      </c>
      <c r="AF16" s="37"/>
      <c r="AG16" s="38" t="n">
        <f aca="false">F16/($N16+$U16)</f>
        <v>0.558561450114728</v>
      </c>
      <c r="AH16" s="38" t="n">
        <f aca="false">G16/($N16+$U16)</f>
        <v>0.111399806127833</v>
      </c>
      <c r="AI16" s="39" t="n">
        <f aca="false">I16/($N16+$U16)</f>
        <v>0.940932795072211</v>
      </c>
      <c r="AJ16" s="40" t="n">
        <f aca="false">C16/F16</f>
        <v>0.666759023140542</v>
      </c>
      <c r="AK16" s="40" t="n">
        <f aca="false">D16/G16</f>
        <v>0.669197576758915</v>
      </c>
      <c r="AL16" s="40" t="n">
        <f aca="false">E16/I16</f>
        <v>0.175316236150813</v>
      </c>
      <c r="AM16" s="41"/>
      <c r="AN16" s="42" t="n">
        <f aca="false">AJ16/$V16</f>
        <v>0.379292703707741</v>
      </c>
      <c r="AO16" s="42" t="n">
        <f aca="false">AK16/$V16</f>
        <v>0.380679899925488</v>
      </c>
      <c r="AP16" s="42" t="n">
        <f aca="false">AL16/$V16</f>
        <v>0.0997304376929148</v>
      </c>
      <c r="AQ16" s="42" t="n">
        <f aca="false">AM16/$V16</f>
        <v>0</v>
      </c>
      <c r="AR16" s="43"/>
    </row>
    <row r="17" customFormat="false" ht="18.75" hidden="false" customHeight="true" outlineLevel="0" collapsed="false">
      <c r="A17" s="18" t="n">
        <v>2012</v>
      </c>
      <c r="B17" s="18" t="n">
        <v>3</v>
      </c>
      <c r="C17" s="24" t="n">
        <v>112741.37</v>
      </c>
      <c r="D17" s="24" t="n">
        <v>24108.7</v>
      </c>
      <c r="E17" s="25" t="n">
        <v>58407.14</v>
      </c>
      <c r="F17" s="26" t="n">
        <v>166690</v>
      </c>
      <c r="G17" s="26" t="n">
        <v>36024</v>
      </c>
      <c r="H17" s="26"/>
      <c r="I17" s="27" t="n">
        <v>333153</v>
      </c>
      <c r="J17" s="27"/>
      <c r="K17" s="28" t="n">
        <f aca="false">N17-L17</f>
        <v>299083</v>
      </c>
      <c r="L17" s="29" t="n">
        <v>13861</v>
      </c>
      <c r="M17" s="30" t="n">
        <f aca="false">L17/N17</f>
        <v>0.0442922695434327</v>
      </c>
      <c r="N17" s="29" t="n">
        <v>312944</v>
      </c>
      <c r="O17" s="31" t="n">
        <v>374185</v>
      </c>
      <c r="P17" s="24"/>
      <c r="Q17" s="32"/>
      <c r="R17" s="32" t="e">
        <f aca="false">O17/Q17</f>
        <v>#DIV/0!</v>
      </c>
      <c r="S17" s="33" t="n">
        <v>26</v>
      </c>
      <c r="T17" s="29" t="n">
        <f aca="false">N17/S17</f>
        <v>12036.3076923077</v>
      </c>
      <c r="U17" s="29" t="n">
        <v>19955</v>
      </c>
      <c r="V17" s="34" t="n">
        <f aca="false">'$'!C4</f>
        <v>1.789832</v>
      </c>
      <c r="W17" s="35" t="n">
        <f aca="false">SUM(C17:E17)/V17</f>
        <v>109092.479070661</v>
      </c>
      <c r="X17" s="35" t="n">
        <f aca="false">C17/$V17</f>
        <v>62989.9174894627</v>
      </c>
      <c r="Y17" s="35" t="n">
        <f aca="false">D17/$V17</f>
        <v>13469.8116918236</v>
      </c>
      <c r="Z17" s="35" t="n">
        <f aca="false">E17/$V17</f>
        <v>32632.7498893751</v>
      </c>
      <c r="AA17" s="36" t="n">
        <f aca="false">C17/((N17+U17)*V17)</f>
        <v>0.189216301308994</v>
      </c>
      <c r="AB17" s="36" t="n">
        <f aca="false">D17/((N17+U17)*V17)</f>
        <v>0.0404621572663889</v>
      </c>
      <c r="AC17" s="36" t="n">
        <f aca="false">E17/((N17+U17)*V17)</f>
        <v>0.0980259775168297</v>
      </c>
      <c r="AD17" s="36" t="n">
        <f aca="false">(C17+D17+E17)/((N17+U17)*V17)</f>
        <v>0.327704436092212</v>
      </c>
      <c r="AE17" s="36" t="n">
        <f aca="false">(C17+D17+E17)/((K17+U17)*V17)</f>
        <v>0.341941960113408</v>
      </c>
      <c r="AF17" s="37"/>
      <c r="AG17" s="38" t="n">
        <f aca="false">F17/($N17+$U17)</f>
        <v>0.500722441341067</v>
      </c>
      <c r="AH17" s="38" t="n">
        <f aca="false">G17/($N17+$U17)</f>
        <v>0.108213001541008</v>
      </c>
      <c r="AI17" s="39" t="n">
        <f aca="false">I17/($N17+$U17)</f>
        <v>1.00076299418142</v>
      </c>
      <c r="AJ17" s="40" t="n">
        <f aca="false">C17/F17</f>
        <v>0.676353530505729</v>
      </c>
      <c r="AK17" s="40" t="n">
        <f aca="false">D17/G17</f>
        <v>0.669239951143682</v>
      </c>
      <c r="AL17" s="40" t="n">
        <f aca="false">E17/I17</f>
        <v>0.17531626609996</v>
      </c>
      <c r="AM17" s="41"/>
      <c r="AN17" s="42" t="n">
        <f aca="false">AJ17/$V17</f>
        <v>0.377886600812662</v>
      </c>
      <c r="AO17" s="42" t="n">
        <f aca="false">AK17/$V17</f>
        <v>0.373912161109915</v>
      </c>
      <c r="AP17" s="42" t="n">
        <f aca="false">AL17/$V17</f>
        <v>0.097951241289663</v>
      </c>
      <c r="AQ17" s="42" t="n">
        <f aca="false">AM17/$V17</f>
        <v>0</v>
      </c>
      <c r="AR17" s="43"/>
    </row>
    <row r="18" customFormat="false" ht="18.75" hidden="false" customHeight="true" outlineLevel="0" collapsed="false">
      <c r="A18" s="18" t="n">
        <v>2012</v>
      </c>
      <c r="B18" s="18" t="n">
        <v>4</v>
      </c>
      <c r="C18" s="24" t="n">
        <v>116585.81</v>
      </c>
      <c r="D18" s="24" t="n">
        <v>21747.15</v>
      </c>
      <c r="E18" s="25" t="n">
        <v>53468.16</v>
      </c>
      <c r="F18" s="26" t="n">
        <v>144612.23</v>
      </c>
      <c r="G18" s="26" t="n">
        <v>32467</v>
      </c>
      <c r="H18" s="26"/>
      <c r="I18" s="27" t="n">
        <v>278470.8</v>
      </c>
      <c r="J18" s="27"/>
      <c r="K18" s="28" t="n">
        <f aca="false">N18-L18</f>
        <v>284925</v>
      </c>
      <c r="L18" s="47" t="n">
        <v>7034</v>
      </c>
      <c r="M18" s="48" t="n">
        <f aca="false">L18/N18</f>
        <v>0.0240924239362376</v>
      </c>
      <c r="N18" s="29" t="n">
        <v>291959</v>
      </c>
      <c r="O18" s="31" t="n">
        <v>321200</v>
      </c>
      <c r="P18" s="24"/>
      <c r="Q18" s="32"/>
      <c r="R18" s="32" t="e">
        <f aca="false">O18/Q18</f>
        <v>#DIV/0!</v>
      </c>
      <c r="S18" s="33" t="n">
        <v>25</v>
      </c>
      <c r="T18" s="29" t="n">
        <f aca="false">N18/S18</f>
        <v>11678.36</v>
      </c>
      <c r="U18" s="29" t="n">
        <v>15200</v>
      </c>
      <c r="V18" s="34" t="n">
        <f aca="false">'$'!C5</f>
        <v>1.787371</v>
      </c>
      <c r="W18" s="35" t="n">
        <f aca="false">SUM(C18:E18)/V18</f>
        <v>107309.07013709</v>
      </c>
      <c r="X18" s="35" t="n">
        <f aca="false">C18/$V18</f>
        <v>65227.538099253</v>
      </c>
      <c r="Y18" s="35" t="n">
        <f aca="false">D18/$V18</f>
        <v>12167.1158366114</v>
      </c>
      <c r="Z18" s="35" t="n">
        <f aca="false">E18/$V18</f>
        <v>29914.4162012252</v>
      </c>
      <c r="AA18" s="36" t="n">
        <f aca="false">C18/((N18+U18)*V18)</f>
        <v>0.212357567576574</v>
      </c>
      <c r="AB18" s="36" t="n">
        <f aca="false">D18/((N18+U18)*V18)</f>
        <v>0.0396117835928995</v>
      </c>
      <c r="AC18" s="36" t="n">
        <f aca="false">E18/((N18+U18)*V18)</f>
        <v>0.0973906550067722</v>
      </c>
      <c r="AD18" s="36" t="n">
        <f aca="false">(C18+D18+E18)/((N18+U18)*V18)</f>
        <v>0.349360006176246</v>
      </c>
      <c r="AE18" s="36" t="n">
        <f aca="false">(C18+D18+E18)/((K18+U18)*V18)</f>
        <v>0.357547922156067</v>
      </c>
      <c r="AF18" s="37"/>
      <c r="AG18" s="38" t="n">
        <f aca="false">F18/($N18+$U18)</f>
        <v>0.470805771603632</v>
      </c>
      <c r="AH18" s="38" t="n">
        <f aca="false">G18/($N18+$U18)</f>
        <v>0.105700956182303</v>
      </c>
      <c r="AI18" s="39" t="n">
        <f aca="false">I18/($N18+$U18)</f>
        <v>0.906601466992665</v>
      </c>
      <c r="AJ18" s="44" t="n">
        <f aca="false">C18/F18</f>
        <v>0.806196059627875</v>
      </c>
      <c r="AK18" s="40" t="n">
        <f aca="false">D18/G18</f>
        <v>0.669823205100564</v>
      </c>
      <c r="AL18" s="44" t="n">
        <f aca="false">E18/I18</f>
        <v>0.192006343214441</v>
      </c>
      <c r="AM18" s="45"/>
      <c r="AN18" s="42" t="n">
        <f aca="false">AJ18/$V18</f>
        <v>0.451051326013388</v>
      </c>
      <c r="AO18" s="42" t="n">
        <f aca="false">AK18/$V18</f>
        <v>0.374753313721977</v>
      </c>
      <c r="AP18" s="42" t="n">
        <f aca="false">AL18/$V18</f>
        <v>0.107423888613187</v>
      </c>
      <c r="AQ18" s="42" t="n">
        <f aca="false">AM18/$V18</f>
        <v>0</v>
      </c>
      <c r="AR18" s="43"/>
    </row>
    <row r="19" customFormat="false" ht="18.75" hidden="false" customHeight="true" outlineLevel="0" collapsed="false">
      <c r="A19" s="18" t="n">
        <v>2012</v>
      </c>
      <c r="B19" s="18" t="n">
        <v>5</v>
      </c>
      <c r="C19" s="24" t="n">
        <v>111941.25</v>
      </c>
      <c r="D19" s="24" t="n">
        <v>22977.76</v>
      </c>
      <c r="E19" s="25" t="n">
        <v>51426.98</v>
      </c>
      <c r="F19" s="26" t="n">
        <v>138851.17</v>
      </c>
      <c r="G19" s="26" t="n">
        <v>34215</v>
      </c>
      <c r="H19" s="26"/>
      <c r="I19" s="27" t="n">
        <v>267840</v>
      </c>
      <c r="J19" s="27"/>
      <c r="K19" s="28" t="n">
        <f aca="false">N19-L19</f>
        <v>256625</v>
      </c>
      <c r="L19" s="29" t="n">
        <v>13645</v>
      </c>
      <c r="M19" s="30" t="n">
        <f aca="false">L19/N19</f>
        <v>0.0504865504865505</v>
      </c>
      <c r="N19" s="29" t="n">
        <v>270270</v>
      </c>
      <c r="O19" s="31" t="n">
        <v>290690</v>
      </c>
      <c r="P19" s="24"/>
      <c r="Q19" s="32"/>
      <c r="R19" s="32" t="e">
        <f aca="false">O19/Q19</f>
        <v>#DIV/0!</v>
      </c>
      <c r="S19" s="33" t="n">
        <v>26</v>
      </c>
      <c r="T19" s="29" t="n">
        <f aca="false">N19/S19</f>
        <v>10395</v>
      </c>
      <c r="U19" s="29" t="n">
        <v>6535</v>
      </c>
      <c r="V19" s="34" t="n">
        <f aca="false">'$'!C6</f>
        <v>1.809909</v>
      </c>
      <c r="W19" s="35" t="n">
        <f aca="false">SUM(C19:E19)/V19</f>
        <v>102958.762015107</v>
      </c>
      <c r="X19" s="35" t="n">
        <f aca="false">C19/$V19</f>
        <v>61849.1040157268</v>
      </c>
      <c r="Y19" s="35" t="n">
        <f aca="false">D19/$V19</f>
        <v>12695.5333113433</v>
      </c>
      <c r="Z19" s="35" t="n">
        <f aca="false">E19/$V19</f>
        <v>28414.1246880368</v>
      </c>
      <c r="AA19" s="36" t="n">
        <f aca="false">C19/((N19+U19)*V19)</f>
        <v>0.223439258740726</v>
      </c>
      <c r="AB19" s="36" t="n">
        <f aca="false">D19/((N19+U19)*V19)</f>
        <v>0.0458645375312703</v>
      </c>
      <c r="AC19" s="36" t="n">
        <f aca="false">E19/((N19+U19)*V19)</f>
        <v>0.102650330333761</v>
      </c>
      <c r="AD19" s="36" t="n">
        <f aca="false">(C19+D19+E19)/((N19+U19)*V19)</f>
        <v>0.371954126605758</v>
      </c>
      <c r="AE19" s="36" t="n">
        <f aca="false">(C19+D19+E19)/((K19+U19)*V19)</f>
        <v>0.39124016573608</v>
      </c>
      <c r="AF19" s="37"/>
      <c r="AG19" s="38" t="n">
        <f aca="false">F19/($N19+$U19)</f>
        <v>0.501620888351005</v>
      </c>
      <c r="AH19" s="38" t="n">
        <f aca="false">G19/($N19+$U19)</f>
        <v>0.123606871263164</v>
      </c>
      <c r="AI19" s="39" t="n">
        <f aca="false">I19/($N19+$U19)</f>
        <v>0.967612579252542</v>
      </c>
      <c r="AJ19" s="40" t="n">
        <f aca="false">C19/F19</f>
        <v>0.806195943469544</v>
      </c>
      <c r="AK19" s="40" t="n">
        <f aca="false">D19/G19</f>
        <v>0.671569779336548</v>
      </c>
      <c r="AL19" s="40" t="n">
        <f aca="false">E19/I19</f>
        <v>0.192006347072879</v>
      </c>
      <c r="AM19" s="41"/>
      <c r="AN19" s="42" t="n">
        <f aca="false">AJ19/$V19</f>
        <v>0.445434518237958</v>
      </c>
      <c r="AO19" s="42" t="n">
        <f aca="false">AK19/$V19</f>
        <v>0.371051682342343</v>
      </c>
      <c r="AP19" s="42" t="n">
        <f aca="false">AL19/$V19</f>
        <v>0.106086188351392</v>
      </c>
      <c r="AQ19" s="42" t="n">
        <f aca="false">AM19/$V19</f>
        <v>0</v>
      </c>
      <c r="AR19" s="43"/>
    </row>
    <row r="20" customFormat="false" ht="18.75" hidden="false" customHeight="true" outlineLevel="0" collapsed="false">
      <c r="A20" s="18" t="n">
        <v>2012</v>
      </c>
      <c r="B20" s="18" t="n">
        <v>6</v>
      </c>
      <c r="C20" s="24" t="n">
        <v>89114.52</v>
      </c>
      <c r="D20" s="24" t="n">
        <v>17672.22</v>
      </c>
      <c r="E20" s="25" t="n">
        <v>46404.77</v>
      </c>
      <c r="F20" s="26" t="n">
        <v>110537.05</v>
      </c>
      <c r="G20" s="26" t="n">
        <v>26289</v>
      </c>
      <c r="H20" s="26"/>
      <c r="I20" s="27" t="n">
        <v>231705</v>
      </c>
      <c r="J20" s="27"/>
      <c r="K20" s="28" t="n">
        <f aca="false">N20-L20</f>
        <v>221455</v>
      </c>
      <c r="L20" s="29" t="n">
        <v>15008</v>
      </c>
      <c r="M20" s="30" t="n">
        <f aca="false">L20/N20</f>
        <v>0.0634687033489383</v>
      </c>
      <c r="N20" s="29" t="n">
        <v>236463</v>
      </c>
      <c r="O20" s="31" t="n">
        <v>249571</v>
      </c>
      <c r="P20" s="24"/>
      <c r="Q20" s="32"/>
      <c r="R20" s="32" t="e">
        <f aca="false">O20/Q20</f>
        <v>#DIV/0!</v>
      </c>
      <c r="S20" s="33" t="n">
        <v>25</v>
      </c>
      <c r="T20" s="29" t="n">
        <f aca="false">N20/S20</f>
        <v>9458.52</v>
      </c>
      <c r="U20" s="29" t="n">
        <v>5372</v>
      </c>
      <c r="V20" s="34" t="n">
        <f aca="false">'$'!C7</f>
        <v>1.822835</v>
      </c>
      <c r="W20" s="35" t="n">
        <f aca="false">SUM(C20:E20)/V20</f>
        <v>84040.2504889362</v>
      </c>
      <c r="X20" s="35" t="n">
        <f aca="false">C20/$V20</f>
        <v>48887.8697194206</v>
      </c>
      <c r="Y20" s="35" t="n">
        <f aca="false">D20/$V20</f>
        <v>9694.90930336536</v>
      </c>
      <c r="Z20" s="35" t="n">
        <f aca="false">E20/$V20</f>
        <v>25457.4714661503</v>
      </c>
      <c r="AA20" s="36" t="n">
        <f aca="false">C20/((N20+U20)*V20)</f>
        <v>0.202153822727978</v>
      </c>
      <c r="AB20" s="36" t="n">
        <f aca="false">D20/((N20+U20)*V20)</f>
        <v>0.0400889420611796</v>
      </c>
      <c r="AC20" s="36" t="n">
        <f aca="false">E20/((N20+U20)*V20)</f>
        <v>0.105267936676454</v>
      </c>
      <c r="AD20" s="36" t="n">
        <f aca="false">(C20+D20+E20)/((N20+U20)*V20)</f>
        <v>0.347510701465612</v>
      </c>
      <c r="AE20" s="36" t="n">
        <f aca="false">(C20+D20+E20)/((K20+U20)*V20)</f>
        <v>0.370503734074586</v>
      </c>
      <c r="AF20" s="37"/>
      <c r="AG20" s="38" t="n">
        <f aca="false">F20/($N20+$U20)</f>
        <v>0.457076312361734</v>
      </c>
      <c r="AH20" s="38" t="n">
        <f aca="false">G20/($N20+$U20)</f>
        <v>0.108706349370439</v>
      </c>
      <c r="AI20" s="39" t="n">
        <f aca="false">I20/($N20+$U20)</f>
        <v>0.958111935824012</v>
      </c>
      <c r="AJ20" s="40" t="n">
        <f aca="false">C20/F20</f>
        <v>0.806195931590358</v>
      </c>
      <c r="AK20" s="40" t="n">
        <f aca="false">D20/G20</f>
        <v>0.672228688805204</v>
      </c>
      <c r="AL20" s="44" t="n">
        <f aca="false">E20/I20</f>
        <v>0.200275220646943</v>
      </c>
      <c r="AM20" s="45"/>
      <c r="AN20" s="42" t="n">
        <f aca="false">AJ20/$V20</f>
        <v>0.442275867859877</v>
      </c>
      <c r="AO20" s="42" t="n">
        <f aca="false">AK20/$V20</f>
        <v>0.368781973576985</v>
      </c>
      <c r="AP20" s="42" t="n">
        <f aca="false">AL20/$V20</f>
        <v>0.109870186082088</v>
      </c>
      <c r="AQ20" s="42" t="n">
        <f aca="false">AM20/$V20</f>
        <v>0</v>
      </c>
      <c r="AR20" s="43"/>
    </row>
    <row r="21" customFormat="false" ht="18.75" hidden="false" customHeight="true" outlineLevel="0" collapsed="false">
      <c r="A21" s="18" t="n">
        <v>2012</v>
      </c>
      <c r="B21" s="18" t="n">
        <v>7</v>
      </c>
      <c r="C21" s="24" t="n">
        <v>89448.46</v>
      </c>
      <c r="D21" s="24" t="n">
        <v>19337.21</v>
      </c>
      <c r="E21" s="25" t="n">
        <v>50074.94</v>
      </c>
      <c r="F21" s="26" t="n">
        <v>110951.25</v>
      </c>
      <c r="G21" s="26" t="n">
        <v>25565</v>
      </c>
      <c r="H21" s="26"/>
      <c r="I21" s="27" t="n">
        <v>247093.2</v>
      </c>
      <c r="J21" s="27"/>
      <c r="K21" s="28" t="n">
        <f aca="false">N21-L21</f>
        <v>223778</v>
      </c>
      <c r="L21" s="29" t="n">
        <v>9964</v>
      </c>
      <c r="M21" s="30" t="n">
        <f aca="false">L21/N21</f>
        <v>0.0426281969008565</v>
      </c>
      <c r="N21" s="29" t="n">
        <v>233742</v>
      </c>
      <c r="O21" s="31" t="n">
        <v>250841</v>
      </c>
      <c r="P21" s="24"/>
      <c r="Q21" s="32"/>
      <c r="R21" s="32" t="e">
        <f aca="false">O21/Q21</f>
        <v>#DIV/0!</v>
      </c>
      <c r="S21" s="33" t="n">
        <v>26</v>
      </c>
      <c r="T21" s="29" t="n">
        <f aca="false">N21/S21</f>
        <v>8990.07692307692</v>
      </c>
      <c r="U21" s="29" t="n">
        <v>14876</v>
      </c>
      <c r="V21" s="34" t="n">
        <f aca="false">'$'!C8</f>
        <v>1.811551</v>
      </c>
      <c r="W21" s="35" t="n">
        <f aca="false">SUM(C21:E21)/V21</f>
        <v>87693.1480261941</v>
      </c>
      <c r="X21" s="35" t="n">
        <f aca="false">C21/$V21</f>
        <v>49376.7274561964</v>
      </c>
      <c r="Y21" s="35" t="n">
        <f aca="false">D21/$V21</f>
        <v>10674.3944829596</v>
      </c>
      <c r="Z21" s="35" t="n">
        <f aca="false">E21/$V21</f>
        <v>27642.0260870381</v>
      </c>
      <c r="AA21" s="36" t="n">
        <f aca="false">C21/((N21+U21)*V21)</f>
        <v>0.198604797143394</v>
      </c>
      <c r="AB21" s="36" t="n">
        <f aca="false">D21/((N21+U21)*V21)</f>
        <v>0.0429349221816587</v>
      </c>
      <c r="AC21" s="36" t="n">
        <f aca="false">E21/((N21+U21)*V21)</f>
        <v>0.111182722437789</v>
      </c>
      <c r="AD21" s="36" t="n">
        <f aca="false">(C21+D21+E21)/((N21+U21)*V21)</f>
        <v>0.352722441762842</v>
      </c>
      <c r="AE21" s="36" t="n">
        <f aca="false">(C21+D21+E21)/((K21+U21)*V21)</f>
        <v>0.367448892648747</v>
      </c>
      <c r="AF21" s="37"/>
      <c r="AG21" s="38" t="n">
        <f aca="false">F21/($N21+$U21)</f>
        <v>0.446271991569396</v>
      </c>
      <c r="AH21" s="38" t="n">
        <f aca="false">G21/($N21+$U21)</f>
        <v>0.102828435591952</v>
      </c>
      <c r="AI21" s="39" t="n">
        <f aca="false">I21/($N21+$U21)</f>
        <v>0.993866896202206</v>
      </c>
      <c r="AJ21" s="40" t="n">
        <f aca="false">C21/F21</f>
        <v>0.806196054573518</v>
      </c>
      <c r="AK21" s="44" t="n">
        <f aca="false">D21/G21</f>
        <v>0.756393897907295</v>
      </c>
      <c r="AL21" s="40" t="n">
        <f aca="false">E21/I21</f>
        <v>0.202656082806002</v>
      </c>
      <c r="AM21" s="41"/>
      <c r="AN21" s="42" t="n">
        <f aca="false">AJ21/$V21</f>
        <v>0.44503083521994</v>
      </c>
      <c r="AO21" s="42" t="n">
        <f aca="false">AK21/$V21</f>
        <v>0.417539389124179</v>
      </c>
      <c r="AP21" s="42" t="n">
        <f aca="false">AL21/$V21</f>
        <v>0.111868825556665</v>
      </c>
      <c r="AQ21" s="42" t="n">
        <f aca="false">AM21/$V21</f>
        <v>0</v>
      </c>
      <c r="AR21" s="43"/>
    </row>
    <row r="22" customFormat="false" ht="18.75" hidden="false" customHeight="true" outlineLevel="0" collapsed="false">
      <c r="A22" s="18" t="n">
        <v>2012</v>
      </c>
      <c r="B22" s="18" t="n">
        <v>8</v>
      </c>
      <c r="C22" s="24" t="n">
        <v>95960</v>
      </c>
      <c r="D22" s="24" t="n">
        <v>21411.85</v>
      </c>
      <c r="E22" s="25" t="n">
        <v>50082.6</v>
      </c>
      <c r="F22" s="26" t="n">
        <v>119033.06</v>
      </c>
      <c r="G22" s="26" t="n">
        <v>28335</v>
      </c>
      <c r="H22" s="26"/>
      <c r="I22" s="27" t="n">
        <v>247131</v>
      </c>
      <c r="J22" s="27"/>
      <c r="K22" s="28" t="n">
        <f aca="false">N22-L22</f>
        <v>234982</v>
      </c>
      <c r="L22" s="29" t="n">
        <v>10034</v>
      </c>
      <c r="M22" s="30" t="n">
        <f aca="false">L22/N22</f>
        <v>0.0409524275965651</v>
      </c>
      <c r="N22" s="29" t="n">
        <v>245016</v>
      </c>
      <c r="O22" s="31" t="n">
        <v>266502</v>
      </c>
      <c r="P22" s="24"/>
      <c r="Q22" s="32"/>
      <c r="R22" s="32" t="e">
        <f aca="false">O22/Q22</f>
        <v>#DIV/0!</v>
      </c>
      <c r="S22" s="33" t="n">
        <v>27</v>
      </c>
      <c r="T22" s="29" t="n">
        <f aca="false">N22/S22</f>
        <v>9074.66666666667</v>
      </c>
      <c r="U22" s="29" t="n">
        <v>11415</v>
      </c>
      <c r="V22" s="34" t="n">
        <f aca="false">'$'!C9</f>
        <v>1.794777</v>
      </c>
      <c r="W22" s="35" t="n">
        <f aca="false">SUM(C22:E22)/V22</f>
        <v>93300.9783388131</v>
      </c>
      <c r="X22" s="35" t="n">
        <f aca="false">C22/$V22</f>
        <v>53466.2523533564</v>
      </c>
      <c r="Y22" s="35" t="n">
        <f aca="false">D22/$V22</f>
        <v>11930.0893648626</v>
      </c>
      <c r="Z22" s="35" t="n">
        <f aca="false">E22/$V22</f>
        <v>27904.6366205941</v>
      </c>
      <c r="AA22" s="36" t="n">
        <f aca="false">C22/((N22+U22)*V22)</f>
        <v>0.208501516405413</v>
      </c>
      <c r="AB22" s="36" t="n">
        <f aca="false">D22/((N22+U22)*V22)</f>
        <v>0.0465235847649567</v>
      </c>
      <c r="AC22" s="36" t="n">
        <f aca="false">E22/((N22+U22)*V22)</f>
        <v>0.108819279340618</v>
      </c>
      <c r="AD22" s="36" t="n">
        <f aca="false">(C22+D22+E22)/((N22+U22)*V22)</f>
        <v>0.363844380510988</v>
      </c>
      <c r="AE22" s="36" t="n">
        <f aca="false">(C22+D22+E22)/((K22+U22)*V22)</f>
        <v>0.378661178256282</v>
      </c>
      <c r="AF22" s="37"/>
      <c r="AG22" s="38" t="n">
        <f aca="false">F22/($N22+$U22)</f>
        <v>0.464191380917284</v>
      </c>
      <c r="AH22" s="38" t="n">
        <f aca="false">G22/($N22+$U22)</f>
        <v>0.110497560747336</v>
      </c>
      <c r="AI22" s="39" t="n">
        <f aca="false">I22/($N22+$U22)</f>
        <v>0.963732934005639</v>
      </c>
      <c r="AJ22" s="40" t="n">
        <f aca="false">C22/F22</f>
        <v>0.806162590460163</v>
      </c>
      <c r="AK22" s="40" t="n">
        <f aca="false">D22/G22</f>
        <v>0.755667901888124</v>
      </c>
      <c r="AL22" s="40" t="n">
        <f aca="false">E22/I22</f>
        <v>0.20265608118771</v>
      </c>
      <c r="AM22" s="41"/>
      <c r="AN22" s="42" t="n">
        <f aca="false">AJ22/$V22</f>
        <v>0.449171451640044</v>
      </c>
      <c r="AO22" s="42" t="n">
        <f aca="false">AK22/$V22</f>
        <v>0.421037210688639</v>
      </c>
      <c r="AP22" s="42" t="n">
        <f aca="false">AL22/$V22</f>
        <v>0.112914351581121</v>
      </c>
      <c r="AQ22" s="42" t="n">
        <f aca="false">AM22/$V22</f>
        <v>0</v>
      </c>
      <c r="AR22" s="43"/>
    </row>
    <row r="23" customFormat="false" ht="18.75" hidden="false" customHeight="true" outlineLevel="0" collapsed="false">
      <c r="A23" s="18" t="n">
        <v>2012</v>
      </c>
      <c r="B23" s="18" t="n">
        <v>9</v>
      </c>
      <c r="C23" s="24" t="n">
        <v>106772.3</v>
      </c>
      <c r="D23" s="24" t="n">
        <v>23886.6</v>
      </c>
      <c r="E23" s="25" t="n">
        <v>56467.7</v>
      </c>
      <c r="F23" s="26" t="n">
        <v>132440</v>
      </c>
      <c r="G23" s="26" t="n">
        <v>31631</v>
      </c>
      <c r="H23" s="26"/>
      <c r="I23" s="27" t="n">
        <v>278638.2</v>
      </c>
      <c r="J23" s="27"/>
      <c r="K23" s="28" t="n">
        <f aca="false">N23-L23</f>
        <v>257320</v>
      </c>
      <c r="L23" s="29" t="n">
        <v>20716</v>
      </c>
      <c r="M23" s="30" t="n">
        <f aca="false">L23/N23</f>
        <v>0.0745083370498784</v>
      </c>
      <c r="N23" s="29" t="n">
        <v>278036</v>
      </c>
      <c r="O23" s="31" t="n">
        <v>293592</v>
      </c>
      <c r="P23" s="24"/>
      <c r="Q23" s="32"/>
      <c r="R23" s="32" t="e">
        <f aca="false">O23/Q23</f>
        <v>#DIV/0!</v>
      </c>
      <c r="S23" s="33" t="n">
        <v>27</v>
      </c>
      <c r="T23" s="29" t="n">
        <f aca="false">N23/S23</f>
        <v>10297.6296296296</v>
      </c>
      <c r="U23" s="29" t="n">
        <v>12924</v>
      </c>
      <c r="V23" s="34" t="n">
        <f aca="false">'$'!C10</f>
        <v>1.801074</v>
      </c>
      <c r="W23" s="35" t="n">
        <f aca="false">SUM(C23:E23)/V23</f>
        <v>103897.230208198</v>
      </c>
      <c r="X23" s="35" t="n">
        <f aca="false">C23/$V23</f>
        <v>59282.5725095138</v>
      </c>
      <c r="Y23" s="35" t="n">
        <f aca="false">D23/$V23</f>
        <v>13262.4200893467</v>
      </c>
      <c r="Z23" s="35" t="n">
        <f aca="false">E23/$V23</f>
        <v>31352.2376093375</v>
      </c>
      <c r="AA23" s="36" t="n">
        <f aca="false">C23/((N23+U23)*V23)</f>
        <v>0.203748187068717</v>
      </c>
      <c r="AB23" s="36" t="n">
        <f aca="false">D23/((N23+U23)*V23)</f>
        <v>0.0455815922784805</v>
      </c>
      <c r="AC23" s="36" t="n">
        <f aca="false">E23/((N23+U23)*V23)</f>
        <v>0.107754459751641</v>
      </c>
      <c r="AD23" s="36" t="n">
        <f aca="false">(C23+D23+E23)/((N23+U23)*V23)</f>
        <v>0.357084239098838</v>
      </c>
      <c r="AE23" s="36" t="n">
        <f aca="false">(C23+D23+E23)/((K23+U23)*V23)</f>
        <v>0.384457121002494</v>
      </c>
      <c r="AF23" s="37"/>
      <c r="AG23" s="38" t="n">
        <f aca="false">F23/($N23+$U23)</f>
        <v>0.455182843002475</v>
      </c>
      <c r="AH23" s="38" t="n">
        <f aca="false">G23/($N23+$U23)</f>
        <v>0.108712537805884</v>
      </c>
      <c r="AI23" s="39" t="n">
        <f aca="false">I23/($N23+$U23)</f>
        <v>0.957651223535881</v>
      </c>
      <c r="AJ23" s="40" t="n">
        <f aca="false">C23/F23</f>
        <v>0.806193748112353</v>
      </c>
      <c r="AK23" s="40" t="n">
        <f aca="false">D23/G23</f>
        <v>0.755164237614998</v>
      </c>
      <c r="AL23" s="40" t="n">
        <f aca="false">E23/I23</f>
        <v>0.202655989020888</v>
      </c>
      <c r="AM23" s="41"/>
      <c r="AN23" s="42" t="n">
        <f aca="false">AJ23/$V23</f>
        <v>0.44761833667709</v>
      </c>
      <c r="AO23" s="42" t="n">
        <f aca="false">AK23/$V23</f>
        <v>0.419285513873943</v>
      </c>
      <c r="AP23" s="42" t="n">
        <f aca="false">AL23/$V23</f>
        <v>0.112519523917889</v>
      </c>
      <c r="AQ23" s="42" t="n">
        <f aca="false">AM23/$V23</f>
        <v>0</v>
      </c>
      <c r="AR23" s="43"/>
    </row>
    <row r="24" customFormat="false" ht="18.75" hidden="false" customHeight="true" outlineLevel="0" collapsed="false">
      <c r="A24" s="18" t="n">
        <v>2012</v>
      </c>
      <c r="B24" s="18" t="n">
        <v>10</v>
      </c>
      <c r="C24" s="24" t="n">
        <v>120537</v>
      </c>
      <c r="D24" s="24" t="n">
        <v>24909.9</v>
      </c>
      <c r="E24" s="25" t="n">
        <v>52992.7</v>
      </c>
      <c r="F24" s="26" t="n">
        <v>135923.13</v>
      </c>
      <c r="G24" s="26" t="n">
        <v>33007</v>
      </c>
      <c r="H24" s="26"/>
      <c r="I24" s="27" t="n">
        <v>244272.6</v>
      </c>
      <c r="J24" s="27"/>
      <c r="K24" s="28" t="n">
        <f aca="false">N24-L24</f>
        <v>242823</v>
      </c>
      <c r="L24" s="29" t="n">
        <v>24260</v>
      </c>
      <c r="M24" s="30" t="n">
        <f aca="false">L24/N24</f>
        <v>0.0908331866872845</v>
      </c>
      <c r="N24" s="29" t="n">
        <v>267083</v>
      </c>
      <c r="O24" s="31" t="n">
        <v>288011</v>
      </c>
      <c r="P24" s="24"/>
      <c r="Q24" s="32"/>
      <c r="R24" s="32" t="e">
        <f aca="false">O24/Q24</f>
        <v>#DIV/0!</v>
      </c>
      <c r="S24" s="33" t="n">
        <v>24</v>
      </c>
      <c r="T24" s="29" t="n">
        <f aca="false">N24/S24</f>
        <v>11128.4583333333</v>
      </c>
      <c r="U24" s="29" t="n">
        <v>13504</v>
      </c>
      <c r="V24" s="34" t="n">
        <f aca="false">'$'!C11</f>
        <v>1.80206</v>
      </c>
      <c r="W24" s="35" t="n">
        <f aca="false">SUM(C24:E24)/V24</f>
        <v>110118.198062218</v>
      </c>
      <c r="X24" s="35" t="n">
        <f aca="false">C24/$V24</f>
        <v>66888.4498851315</v>
      </c>
      <c r="Y24" s="35" t="n">
        <f aca="false">D24/$V24</f>
        <v>13823.0136621422</v>
      </c>
      <c r="Z24" s="35" t="n">
        <f aca="false">E24/$V24</f>
        <v>29406.734514944</v>
      </c>
      <c r="AA24" s="36" t="n">
        <f aca="false">C24/((N24+U24)*V24)</f>
        <v>0.238387558529552</v>
      </c>
      <c r="AB24" s="36" t="n">
        <f aca="false">D24/((N24+U24)*V24)</f>
        <v>0.0492646261663663</v>
      </c>
      <c r="AC24" s="36" t="n">
        <f aca="false">E24/((N24+U24)*V24)</f>
        <v>0.104804337032521</v>
      </c>
      <c r="AD24" s="36" t="n">
        <f aca="false">(C24+D24+E24)/((N24+U24)*V24)</f>
        <v>0.39245652172844</v>
      </c>
      <c r="AE24" s="36" t="n">
        <f aca="false">(C24+D24+E24)/((K24+U24)*V24)</f>
        <v>0.429600463713217</v>
      </c>
      <c r="AF24" s="37"/>
      <c r="AG24" s="38" t="n">
        <f aca="false">F24/($N24+$U24)</f>
        <v>0.484424189288884</v>
      </c>
      <c r="AH24" s="38" t="n">
        <f aca="false">G24/($N24+$U24)</f>
        <v>0.117635528374444</v>
      </c>
      <c r="AI24" s="39" t="n">
        <f aca="false">I24/($N24+$U24)</f>
        <v>0.870577040276278</v>
      </c>
      <c r="AJ24" s="44" t="n">
        <f aca="false">C24/F24</f>
        <v>0.886802709737482</v>
      </c>
      <c r="AK24" s="40" t="n">
        <f aca="false">D24/G24</f>
        <v>0.754685369770049</v>
      </c>
      <c r="AL24" s="44" t="n">
        <f aca="false">E24/I24</f>
        <v>0.216940827583609</v>
      </c>
      <c r="AM24" s="45"/>
      <c r="AN24" s="42" t="n">
        <f aca="false">AJ24/$V24</f>
        <v>0.492104985259915</v>
      </c>
      <c r="AO24" s="42" t="n">
        <f aca="false">AK24/$V24</f>
        <v>0.418790367562705</v>
      </c>
      <c r="AP24" s="42" t="n">
        <f aca="false">AL24/$V24</f>
        <v>0.120384908151565</v>
      </c>
      <c r="AQ24" s="42" t="n">
        <f aca="false">AM24/$V24</f>
        <v>0</v>
      </c>
      <c r="AR24" s="43"/>
    </row>
    <row r="25" customFormat="false" ht="18.75" hidden="false" customHeight="true" outlineLevel="0" collapsed="false">
      <c r="A25" s="18" t="n">
        <v>2012</v>
      </c>
      <c r="B25" s="18" t="n">
        <v>11</v>
      </c>
      <c r="C25" s="24" t="n">
        <v>133941.28</v>
      </c>
      <c r="D25" s="24" t="n">
        <v>20424.56</v>
      </c>
      <c r="E25" s="25" t="n">
        <v>54423.41</v>
      </c>
      <c r="F25" s="26" t="n">
        <v>151033.95</v>
      </c>
      <c r="G25" s="26" t="n">
        <v>27017</v>
      </c>
      <c r="H25" s="26"/>
      <c r="I25" s="27" t="n">
        <v>250867.8</v>
      </c>
      <c r="J25" s="27"/>
      <c r="K25" s="28" t="n">
        <f aca="false">N25-L25</f>
        <v>254074</v>
      </c>
      <c r="L25" s="29" t="n">
        <v>22254</v>
      </c>
      <c r="M25" s="30" t="n">
        <f aca="false">L25/N25</f>
        <v>0.0805347268463565</v>
      </c>
      <c r="N25" s="29" t="n">
        <v>276328</v>
      </c>
      <c r="O25" s="31" t="n">
        <v>305084</v>
      </c>
      <c r="P25" s="24"/>
      <c r="Q25" s="32"/>
      <c r="R25" s="32" t="e">
        <f aca="false">O25/Q25</f>
        <v>#DIV/0!</v>
      </c>
      <c r="S25" s="33" t="n">
        <v>24</v>
      </c>
      <c r="T25" s="29" t="n">
        <f aca="false">N25/S25</f>
        <v>11513.6666666667</v>
      </c>
      <c r="U25" s="29" t="n">
        <v>18838</v>
      </c>
      <c r="V25" s="34" t="n">
        <f aca="false">'$'!C12</f>
        <v>1.793263</v>
      </c>
      <c r="W25" s="35" t="n">
        <f aca="false">SUM(C25:E25)/V25</f>
        <v>116429.798640802</v>
      </c>
      <c r="X25" s="35" t="n">
        <f aca="false">C25/$V25</f>
        <v>74691.3754424198</v>
      </c>
      <c r="Y25" s="35" t="n">
        <f aca="false">D25/$V25</f>
        <v>11389.6065440485</v>
      </c>
      <c r="Z25" s="35" t="n">
        <f aca="false">E25/$V25</f>
        <v>30348.8166543335</v>
      </c>
      <c r="AA25" s="36" t="n">
        <f aca="false">C25/((N25+U25)*V25)</f>
        <v>0.253048709683432</v>
      </c>
      <c r="AB25" s="36" t="n">
        <f aca="false">D25/((N25+U25)*V25)</f>
        <v>0.0385871223109995</v>
      </c>
      <c r="AC25" s="36" t="n">
        <f aca="false">E25/((N25+U25)*V25)</f>
        <v>0.102819486845821</v>
      </c>
      <c r="AD25" s="36" t="n">
        <f aca="false">(C25+D25+E25)/((N25+U25)*V25)</f>
        <v>0.394455318840252</v>
      </c>
      <c r="AE25" s="36" t="n">
        <f aca="false">(C25+D25+E25)/((K25+U25)*V25)</f>
        <v>0.426620297534743</v>
      </c>
      <c r="AF25" s="37"/>
      <c r="AG25" s="38" t="n">
        <f aca="false">F25/($N25+$U25)</f>
        <v>0.511691556615599</v>
      </c>
      <c r="AH25" s="38" t="n">
        <f aca="false">G25/($N25+$U25)</f>
        <v>0.0915315449611405</v>
      </c>
      <c r="AI25" s="39" t="n">
        <f aca="false">I25/($N25+$U25)</f>
        <v>0.849921061368857</v>
      </c>
      <c r="AJ25" s="40" t="n">
        <f aca="false">C25/F25</f>
        <v>0.886828954682043</v>
      </c>
      <c r="AK25" s="40" t="n">
        <f aca="false">D25/G25</f>
        <v>0.755989191990228</v>
      </c>
      <c r="AL25" s="40" t="n">
        <f aca="false">E25/I25</f>
        <v>0.216940595803846</v>
      </c>
      <c r="AM25" s="41"/>
      <c r="AN25" s="42" t="n">
        <f aca="false">AJ25/$V25</f>
        <v>0.494533682277526</v>
      </c>
      <c r="AO25" s="42" t="n">
        <f aca="false">AK25/$V25</f>
        <v>0.421571845284394</v>
      </c>
      <c r="AP25" s="42" t="n">
        <f aca="false">AL25/$V25</f>
        <v>0.120975337027444</v>
      </c>
      <c r="AQ25" s="42" t="n">
        <f aca="false">AM25/$V25</f>
        <v>0</v>
      </c>
      <c r="AR25" s="43"/>
    </row>
    <row r="26" customFormat="false" ht="18.75" hidden="false" customHeight="true" outlineLevel="0" collapsed="false">
      <c r="A26" s="18" t="n">
        <v>2012</v>
      </c>
      <c r="B26" s="18" t="n">
        <v>12</v>
      </c>
      <c r="C26" s="24" t="n">
        <v>137627.44</v>
      </c>
      <c r="D26" s="24" t="n">
        <v>21991.94</v>
      </c>
      <c r="E26" s="25" t="n">
        <v>53909.15</v>
      </c>
      <c r="F26" s="26" t="n">
        <v>155190.49</v>
      </c>
      <c r="G26" s="26" t="n">
        <v>29110</v>
      </c>
      <c r="H26" s="26"/>
      <c r="I26" s="27" t="n">
        <v>248497.2</v>
      </c>
      <c r="J26" s="27"/>
      <c r="K26" s="28" t="n">
        <f aca="false">N26-L26</f>
        <v>269728</v>
      </c>
      <c r="L26" s="29" t="n">
        <v>16728</v>
      </c>
      <c r="M26" s="30" t="n">
        <f aca="false">L26/N26</f>
        <v>0.058396402937973</v>
      </c>
      <c r="N26" s="29" t="n">
        <v>286456</v>
      </c>
      <c r="O26" s="31" t="n">
        <v>315993</v>
      </c>
      <c r="P26" s="24"/>
      <c r="Q26" s="32"/>
      <c r="R26" s="32" t="e">
        <f aca="false">O26/Q26</f>
        <v>#DIV/0!</v>
      </c>
      <c r="S26" s="33" t="n">
        <v>25</v>
      </c>
      <c r="T26" s="29" t="n">
        <f aca="false">N26/S26</f>
        <v>11458.24</v>
      </c>
      <c r="U26" s="29" t="n">
        <v>20857</v>
      </c>
      <c r="V26" s="34" t="n">
        <f aca="false">'$'!C13</f>
        <v>1.787485</v>
      </c>
      <c r="W26" s="35" t="n">
        <f aca="false">SUM(C26:E26)/V26</f>
        <v>119457.52272047</v>
      </c>
      <c r="X26" s="35" t="n">
        <f aca="false">C26/$V26</f>
        <v>76995.0181400124</v>
      </c>
      <c r="Y26" s="35" t="n">
        <f aca="false">D26/$V26</f>
        <v>12303.2864611451</v>
      </c>
      <c r="Z26" s="35" t="n">
        <f aca="false">E26/$V26</f>
        <v>30159.2181193129</v>
      </c>
      <c r="AA26" s="36" t="n">
        <f aca="false">C26/((N26+U26)*V26)</f>
        <v>0.250542665425844</v>
      </c>
      <c r="AB26" s="36" t="n">
        <f aca="false">D26/((N26+U26)*V26)</f>
        <v>0.0400350341871158</v>
      </c>
      <c r="AC26" s="36" t="n">
        <f aca="false">E26/((N26+U26)*V26)</f>
        <v>0.0981384390485039</v>
      </c>
      <c r="AD26" s="36" t="n">
        <f aca="false">(C26+D26+E26)/((N26+U26)*V26)</f>
        <v>0.388716138661464</v>
      </c>
      <c r="AE26" s="36" t="n">
        <f aca="false">(C26+D26+E26)/((K26+U26)*V26)</f>
        <v>0.411093217889672</v>
      </c>
      <c r="AF26" s="37"/>
      <c r="AG26" s="38" t="n">
        <f aca="false">F26/($N26+$U26)</f>
        <v>0.50499162092069</v>
      </c>
      <c r="AH26" s="38" t="n">
        <f aca="false">G26/($N26+$U26)</f>
        <v>0.0947242713455012</v>
      </c>
      <c r="AI26" s="39" t="n">
        <f aca="false">I26/($N26+$U26)</f>
        <v>0.808612717327285</v>
      </c>
      <c r="AJ26" s="40" t="n">
        <f aca="false">C26/F26</f>
        <v>0.88682908340582</v>
      </c>
      <c r="AK26" s="40" t="n">
        <f aca="false">D26/G26</f>
        <v>0.755477155616627</v>
      </c>
      <c r="AL26" s="40" t="n">
        <f aca="false">E26/I26</f>
        <v>0.216940673778216</v>
      </c>
      <c r="AM26" s="41"/>
      <c r="AN26" s="42" t="n">
        <f aca="false">AJ26/$V26</f>
        <v>0.496132321896866</v>
      </c>
      <c r="AO26" s="42" t="n">
        <f aca="false">AK26/$V26</f>
        <v>0.422648109280149</v>
      </c>
      <c r="AP26" s="42" t="n">
        <f aca="false">AL26/$V26</f>
        <v>0.121366430363452</v>
      </c>
      <c r="AQ26" s="42" t="n">
        <f aca="false">AM26/$V26</f>
        <v>0</v>
      </c>
      <c r="AR26" s="43"/>
    </row>
    <row r="27" customFormat="false" ht="18.75" hidden="false" customHeight="true" outlineLevel="0" collapsed="false">
      <c r="A27" s="18" t="n">
        <v>2013</v>
      </c>
      <c r="B27" s="18" t="n">
        <v>1</v>
      </c>
      <c r="C27" s="24" t="n">
        <v>134408.01</v>
      </c>
      <c r="D27" s="24" t="n">
        <v>21240.14</v>
      </c>
      <c r="E27" s="25" t="n">
        <v>60187.02</v>
      </c>
      <c r="F27" s="26" t="n">
        <v>152298.48</v>
      </c>
      <c r="G27" s="26" t="n">
        <v>28106</v>
      </c>
      <c r="H27" s="26"/>
      <c r="I27" s="27" t="n">
        <v>275729.4</v>
      </c>
      <c r="J27" s="27"/>
      <c r="K27" s="28" t="n">
        <f aca="false">N27-L27</f>
        <v>315828</v>
      </c>
      <c r="L27" s="29" t="n">
        <v>16089</v>
      </c>
      <c r="M27" s="30" t="n">
        <f aca="false">L27/N27</f>
        <v>0.0484729616138975</v>
      </c>
      <c r="N27" s="29" t="n">
        <v>331917</v>
      </c>
      <c r="O27" s="31" t="n">
        <v>359248</v>
      </c>
      <c r="P27" s="24"/>
      <c r="Q27" s="32"/>
      <c r="R27" s="32" t="e">
        <f aca="false">O27/Q27</f>
        <v>#DIV/0!</v>
      </c>
      <c r="S27" s="33" t="n">
        <v>25</v>
      </c>
      <c r="T27" s="29" t="n">
        <f aca="false">N27/S27</f>
        <v>13276.68</v>
      </c>
      <c r="U27" s="29" t="n">
        <v>23844</v>
      </c>
      <c r="V27" s="34" t="n">
        <f aca="false">'$'!C14</f>
        <v>1.770204</v>
      </c>
      <c r="W27" s="35" t="n">
        <f aca="false">SUM(C27:E27)/V27</f>
        <v>121926.721440015</v>
      </c>
      <c r="X27" s="35" t="n">
        <f aca="false">C27/$V27</f>
        <v>75927.97779239</v>
      </c>
      <c r="Y27" s="35" t="n">
        <f aca="false">D27/$V27</f>
        <v>11998.6961954667</v>
      </c>
      <c r="Z27" s="35" t="n">
        <f aca="false">E27/$V27</f>
        <v>34000.0474521581</v>
      </c>
      <c r="AA27" s="36" t="n">
        <f aca="false">C27/((N27+U27)*V27)</f>
        <v>0.213424118417674</v>
      </c>
      <c r="AB27" s="36" t="n">
        <f aca="false">D27/((N27+U27)*V27)</f>
        <v>0.0337268452569751</v>
      </c>
      <c r="AC27" s="36" t="n">
        <f aca="false">E27/((N27+U27)*V27)</f>
        <v>0.0955699119694347</v>
      </c>
      <c r="AD27" s="36" t="n">
        <f aca="false">(C27+D27+E27)/((N27+U27)*V27)</f>
        <v>0.342720875644084</v>
      </c>
      <c r="AE27" s="36" t="n">
        <f aca="false">(C27+D27+E27)/((K27+U27)*V27)</f>
        <v>0.358954289549962</v>
      </c>
      <c r="AF27" s="37"/>
      <c r="AG27" s="38" t="n">
        <f aca="false">F27/($N27+$U27)</f>
        <v>0.428092118023055</v>
      </c>
      <c r="AH27" s="38" t="n">
        <f aca="false">G27/($N27+$U27)</f>
        <v>0.0790024763816157</v>
      </c>
      <c r="AI27" s="39" t="n">
        <f aca="false">I27/($N27+$U27)</f>
        <v>0.775041109059172</v>
      </c>
      <c r="AJ27" s="40" t="n">
        <f aca="false">C27/F27</f>
        <v>0.882530213039552</v>
      </c>
      <c r="AK27" s="40" t="n">
        <f aca="false">D27/G27</f>
        <v>0.755715505585996</v>
      </c>
      <c r="AL27" s="40" t="n">
        <f aca="false">E27/I27</f>
        <v>0.218282925215809</v>
      </c>
      <c r="AM27" s="41"/>
      <c r="AN27" s="42" t="n">
        <f aca="false">AJ27/$V27</f>
        <v>0.498547180460304</v>
      </c>
      <c r="AO27" s="42" t="n">
        <f aca="false">AK27/$V27</f>
        <v>0.426908709722719</v>
      </c>
      <c r="AP27" s="42" t="n">
        <f aca="false">AL27/$V27</f>
        <v>0.123309474623156</v>
      </c>
      <c r="AQ27" s="42" t="n">
        <f aca="false">AM27/$V27</f>
        <v>0</v>
      </c>
      <c r="AR27" s="43"/>
    </row>
    <row r="28" customFormat="false" ht="18.75" hidden="false" customHeight="true" outlineLevel="0" collapsed="false">
      <c r="A28" s="18" t="n">
        <v>2013</v>
      </c>
      <c r="B28" s="18" t="n">
        <v>2</v>
      </c>
      <c r="C28" s="24" t="n">
        <v>117963.92</v>
      </c>
      <c r="D28" s="24" t="n">
        <v>19520.14</v>
      </c>
      <c r="E28" s="25" t="n">
        <v>51306.48</v>
      </c>
      <c r="F28" s="26" t="n">
        <v>133665.57</v>
      </c>
      <c r="G28" s="26" t="n">
        <v>25817</v>
      </c>
      <c r="H28" s="26"/>
      <c r="I28" s="27" t="n">
        <v>235045.8</v>
      </c>
      <c r="J28" s="27"/>
      <c r="K28" s="28" t="n">
        <f aca="false">N28-L28</f>
        <v>255007</v>
      </c>
      <c r="L28" s="29" t="n">
        <v>20776</v>
      </c>
      <c r="M28" s="30" t="n">
        <f aca="false">L28/N28</f>
        <v>0.0753345927776549</v>
      </c>
      <c r="N28" s="29" t="n">
        <v>275783</v>
      </c>
      <c r="O28" s="31" t="n">
        <v>308615</v>
      </c>
      <c r="P28" s="24"/>
      <c r="Q28" s="32"/>
      <c r="R28" s="32" t="e">
        <f aca="false">O28/Q28</f>
        <v>#DIV/0!</v>
      </c>
      <c r="S28" s="33" t="n">
        <v>23</v>
      </c>
      <c r="T28" s="29" t="n">
        <f aca="false">N28/S28</f>
        <v>11990.5652173913</v>
      </c>
      <c r="U28" s="29" t="n">
        <v>18806</v>
      </c>
      <c r="V28" s="34" t="n">
        <f aca="false">'$'!C15</f>
        <v>1.775661</v>
      </c>
      <c r="W28" s="35" t="n">
        <f aca="false">SUM(C28:E28)/V28</f>
        <v>106321.274162129</v>
      </c>
      <c r="X28" s="35" t="n">
        <f aca="false">C28/$V28</f>
        <v>66433.8069034574</v>
      </c>
      <c r="Y28" s="35" t="n">
        <f aca="false">D28/$V28</f>
        <v>10993.1681779349</v>
      </c>
      <c r="Z28" s="35" t="n">
        <f aca="false">E28/$V28</f>
        <v>28894.2990807367</v>
      </c>
      <c r="AA28" s="36" t="n">
        <f aca="false">C28/((N28+U28)*V28)</f>
        <v>0.225513535479795</v>
      </c>
      <c r="AB28" s="36" t="n">
        <f aca="false">D28/((N28+U28)*V28)</f>
        <v>0.0373169676326505</v>
      </c>
      <c r="AC28" s="36" t="n">
        <f aca="false">E28/((N28+U28)*V28)</f>
        <v>0.0980834283721955</v>
      </c>
      <c r="AD28" s="36" t="n">
        <f aca="false">(C28+D28+E28)/((N28+U28)*V28)</f>
        <v>0.360913931484641</v>
      </c>
      <c r="AE28" s="36" t="n">
        <f aca="false">(C28+D28+E28)/((K28+U28)*V28)</f>
        <v>0.388298854189279</v>
      </c>
      <c r="AF28" s="37"/>
      <c r="AG28" s="38" t="n">
        <f aca="false">F28/($N28+$U28)</f>
        <v>0.45373578103731</v>
      </c>
      <c r="AH28" s="38" t="n">
        <f aca="false">G28/($N28+$U28)</f>
        <v>0.0876373523790773</v>
      </c>
      <c r="AI28" s="39" t="n">
        <f aca="false">I28/($N28+$U28)</f>
        <v>0.797877042252087</v>
      </c>
      <c r="AJ28" s="40" t="n">
        <f aca="false">C28/F28</f>
        <v>0.88253033297954</v>
      </c>
      <c r="AK28" s="40" t="n">
        <f aca="false">D28/G28</f>
        <v>0.756096370608514</v>
      </c>
      <c r="AL28" s="40" t="n">
        <f aca="false">E28/I28</f>
        <v>0.218282904863648</v>
      </c>
      <c r="AM28" s="41"/>
      <c r="AN28" s="42" t="n">
        <f aca="false">AJ28/$V28</f>
        <v>0.497015101970218</v>
      </c>
      <c r="AO28" s="42" t="n">
        <f aca="false">AK28/$V28</f>
        <v>0.425811216560207</v>
      </c>
      <c r="AP28" s="42" t="n">
        <f aca="false">AL28/$V28</f>
        <v>0.12293050580243</v>
      </c>
      <c r="AQ28" s="42" t="n">
        <f aca="false">AM28/$V28</f>
        <v>0</v>
      </c>
      <c r="AR28" s="43"/>
    </row>
    <row r="29" customFormat="false" ht="18.75" hidden="false" customHeight="true" outlineLevel="0" collapsed="false">
      <c r="A29" s="18" t="n">
        <v>2013</v>
      </c>
      <c r="B29" s="18" t="n">
        <v>3</v>
      </c>
      <c r="C29" s="24" t="n">
        <v>138414.37</v>
      </c>
      <c r="D29" s="24" t="n">
        <v>19359.91</v>
      </c>
      <c r="E29" s="25" t="n">
        <v>59360.32</v>
      </c>
      <c r="F29" s="26" t="n">
        <v>156838.09</v>
      </c>
      <c r="G29" s="26" t="n">
        <v>25595</v>
      </c>
      <c r="H29" s="26"/>
      <c r="I29" s="27" t="n">
        <v>271942.2</v>
      </c>
      <c r="J29" s="27"/>
      <c r="K29" s="28" t="n">
        <f aca="false">N29-L29</f>
        <v>308592</v>
      </c>
      <c r="L29" s="29" t="n">
        <v>20093</v>
      </c>
      <c r="M29" s="30" t="n">
        <f aca="false">L29/N29</f>
        <v>0.0611314784672255</v>
      </c>
      <c r="N29" s="29" t="n">
        <v>328685</v>
      </c>
      <c r="O29" s="31" t="n">
        <v>369432</v>
      </c>
      <c r="P29" s="24"/>
      <c r="Q29" s="32"/>
      <c r="R29" s="32" t="e">
        <f aca="false">O29/Q29</f>
        <v>#DIV/0!</v>
      </c>
      <c r="S29" s="33" t="n">
        <v>26</v>
      </c>
      <c r="T29" s="29" t="n">
        <f aca="false">N29/S29</f>
        <v>12641.7307692308</v>
      </c>
      <c r="U29" s="29" t="n">
        <v>11783</v>
      </c>
      <c r="V29" s="34" t="n">
        <f aca="false">'$'!C16</f>
        <v>1.807595</v>
      </c>
      <c r="W29" s="35" t="n">
        <f aca="false">SUM(C29:E29)/V29</f>
        <v>120123.478987273</v>
      </c>
      <c r="X29" s="35" t="n">
        <f aca="false">C29/$V29</f>
        <v>76573.7734392936</v>
      </c>
      <c r="Y29" s="35" t="n">
        <f aca="false">D29/$V29</f>
        <v>10710.3139807313</v>
      </c>
      <c r="Z29" s="35" t="n">
        <f aca="false">E29/$V29</f>
        <v>32839.3915672482</v>
      </c>
      <c r="AA29" s="36" t="n">
        <f aca="false">C29/((N29+U29)*V29)</f>
        <v>0.224907402279491</v>
      </c>
      <c r="AB29" s="36" t="n">
        <f aca="false">D29/((N29+U29)*V29)</f>
        <v>0.0314576229799315</v>
      </c>
      <c r="AC29" s="36" t="n">
        <f aca="false">E29/((N29+U29)*V29)</f>
        <v>0.0964536801321951</v>
      </c>
      <c r="AD29" s="36" t="n">
        <f aca="false">(C29+D29+E29)/((N29+U29)*V29)</f>
        <v>0.352818705391617</v>
      </c>
      <c r="AE29" s="36" t="n">
        <f aca="false">(C29+D29+E29)/((K29+U29)*V29)</f>
        <v>0.374946481427306</v>
      </c>
      <c r="AF29" s="37"/>
      <c r="AG29" s="38" t="n">
        <f aca="false">F29/($N29+$U29)</f>
        <v>0.460654422735764</v>
      </c>
      <c r="AH29" s="38" t="n">
        <f aca="false">G29/($N29+$U29)</f>
        <v>0.0751759343021958</v>
      </c>
      <c r="AI29" s="39" t="n">
        <f aca="false">I29/($N29+$U29)</f>
        <v>0.798730570861285</v>
      </c>
      <c r="AJ29" s="40" t="n">
        <f aca="false">C29/F29</f>
        <v>0.882530321556454</v>
      </c>
      <c r="AK29" s="40" t="n">
        <f aca="false">D29/G29</f>
        <v>0.756394217620629</v>
      </c>
      <c r="AL29" s="40" t="n">
        <f aca="false">E29/I29</f>
        <v>0.21828285569507</v>
      </c>
      <c r="AM29" s="41"/>
      <c r="AN29" s="42" t="n">
        <f aca="false">AJ29/$V29</f>
        <v>0.48823454455033</v>
      </c>
      <c r="AO29" s="42" t="n">
        <f aca="false">AK29/$V29</f>
        <v>0.418453369045958</v>
      </c>
      <c r="AP29" s="42" t="n">
        <f aca="false">AL29/$V29</f>
        <v>0.120758718460203</v>
      </c>
      <c r="AQ29" s="42" t="n">
        <f aca="false">AM29/$V29</f>
        <v>0</v>
      </c>
      <c r="AR29" s="43"/>
    </row>
    <row r="30" customFormat="false" ht="18.75" hidden="false" customHeight="true" outlineLevel="0" collapsed="false">
      <c r="A30" s="18" t="n">
        <v>2013</v>
      </c>
      <c r="B30" s="18" t="n">
        <v>4</v>
      </c>
      <c r="C30" s="24" t="n">
        <v>124586.38</v>
      </c>
      <c r="D30" s="24" t="n">
        <v>21521.6</v>
      </c>
      <c r="E30" s="25" t="n">
        <v>54603.14</v>
      </c>
      <c r="F30" s="26" t="n">
        <v>141169.5</v>
      </c>
      <c r="G30" s="26" t="n">
        <v>28482</v>
      </c>
      <c r="H30" s="26"/>
      <c r="I30" s="27" t="n">
        <v>251368.2</v>
      </c>
      <c r="J30" s="27"/>
      <c r="K30" s="28" t="n">
        <f aca="false">N30-L30</f>
        <v>308827</v>
      </c>
      <c r="L30" s="29" t="n">
        <v>28454</v>
      </c>
      <c r="M30" s="30" t="n">
        <f aca="false">L30/N30</f>
        <v>0.0843628902902921</v>
      </c>
      <c r="N30" s="29" t="n">
        <v>337281</v>
      </c>
      <c r="O30" s="31" t="n">
        <v>384121</v>
      </c>
      <c r="P30" s="24"/>
      <c r="Q30" s="32"/>
      <c r="R30" s="32" t="e">
        <f aca="false">O30/Q30</f>
        <v>#DIV/0!</v>
      </c>
      <c r="S30" s="33" t="n">
        <v>27</v>
      </c>
      <c r="T30" s="29" t="n">
        <f aca="false">N30/S30</f>
        <v>12491.8888888889</v>
      </c>
      <c r="U30" s="29" t="n">
        <v>9600</v>
      </c>
      <c r="V30" s="34" t="n">
        <f aca="false">'$'!C17</f>
        <v>1.795447</v>
      </c>
      <c r="W30" s="35" t="n">
        <f aca="false">SUM(C30:E30)/V30</f>
        <v>111788.941695299</v>
      </c>
      <c r="X30" s="35" t="n">
        <f aca="false">C30/$V30</f>
        <v>69390.1741460483</v>
      </c>
      <c r="Y30" s="35" t="n">
        <f aca="false">D30/$V30</f>
        <v>11986.7642988069</v>
      </c>
      <c r="Z30" s="35" t="n">
        <f aca="false">E30/$V30</f>
        <v>30412.003250444</v>
      </c>
      <c r="AA30" s="36" t="n">
        <f aca="false">C30/((N30+U30)*V30)</f>
        <v>0.200040285129622</v>
      </c>
      <c r="AB30" s="36" t="n">
        <f aca="false">D30/((N30+U30)*V30)</f>
        <v>0.0345558398955461</v>
      </c>
      <c r="AC30" s="36" t="n">
        <f aca="false">E30/((N30+U30)*V30)</f>
        <v>0.0876727271036581</v>
      </c>
      <c r="AD30" s="36" t="n">
        <f aca="false">(C30+D30+E30)/((N30+U30)*V30)</f>
        <v>0.322268852128826</v>
      </c>
      <c r="AE30" s="36" t="n">
        <f aca="false">(C30+D30+E30)/((K30+U30)*V30)</f>
        <v>0.35106615235297</v>
      </c>
      <c r="AF30" s="37"/>
      <c r="AG30" s="38" t="n">
        <f aca="false">F30/($N30+$U30)</f>
        <v>0.406968095686994</v>
      </c>
      <c r="AH30" s="38" t="n">
        <f aca="false">G30/($N30+$U30)</f>
        <v>0.0821088500090809</v>
      </c>
      <c r="AI30" s="39" t="n">
        <f aca="false">I30/($N30+$U30)</f>
        <v>0.724652546550546</v>
      </c>
      <c r="AJ30" s="40" t="n">
        <f aca="false">C30/F30</f>
        <v>0.882530433273476</v>
      </c>
      <c r="AK30" s="40" t="n">
        <f aca="false">D30/G30</f>
        <v>0.755621094024296</v>
      </c>
      <c r="AL30" s="40" t="n">
        <f aca="false">E30/I30</f>
        <v>0.217223737927073</v>
      </c>
      <c r="AM30" s="41"/>
      <c r="AN30" s="42" t="n">
        <f aca="false">AJ30/$V30</f>
        <v>0.491538003223418</v>
      </c>
      <c r="AO30" s="42" t="n">
        <f aca="false">AK30/$V30</f>
        <v>0.42085402355196</v>
      </c>
      <c r="AP30" s="42" t="n">
        <f aca="false">AL30/$V30</f>
        <v>0.120985881469669</v>
      </c>
      <c r="AQ30" s="42" t="n">
        <f aca="false">AM30/$V30</f>
        <v>0</v>
      </c>
      <c r="AR30" s="43"/>
    </row>
    <row r="31" customFormat="false" ht="18.75" hidden="false" customHeight="true" outlineLevel="0" collapsed="false">
      <c r="A31" s="18" t="n">
        <v>2013</v>
      </c>
      <c r="B31" s="18" t="n">
        <v>5</v>
      </c>
      <c r="C31" s="24" t="n">
        <v>116332.24</v>
      </c>
      <c r="D31" s="24" t="n">
        <v>23493.28</v>
      </c>
      <c r="E31" s="25" t="n">
        <v>59737.42</v>
      </c>
      <c r="F31" s="26" t="n">
        <v>131816.7</v>
      </c>
      <c r="G31" s="26" t="n">
        <v>31115</v>
      </c>
      <c r="H31" s="26"/>
      <c r="I31" s="27" t="n">
        <v>275004</v>
      </c>
      <c r="J31" s="27"/>
      <c r="K31" s="28" t="n">
        <f aca="false">N31-L31</f>
        <v>327498</v>
      </c>
      <c r="L31" s="29" t="n">
        <v>16454</v>
      </c>
      <c r="M31" s="30" t="n">
        <f aca="false">L31/N31</f>
        <v>0.0478380704284319</v>
      </c>
      <c r="N31" s="29" t="n">
        <v>343952</v>
      </c>
      <c r="O31" s="31" t="n">
        <v>360929</v>
      </c>
      <c r="P31" s="24"/>
      <c r="Q31" s="32"/>
      <c r="R31" s="32" t="e">
        <f aca="false">O31/Q31</f>
        <v>#DIV/0!</v>
      </c>
      <c r="S31" s="33" t="n">
        <v>26</v>
      </c>
      <c r="T31" s="29" t="n">
        <f aca="false">N31/S31</f>
        <v>13228.9230769231</v>
      </c>
      <c r="U31" s="29" t="n">
        <v>7391</v>
      </c>
      <c r="V31" s="34" t="n">
        <f aca="false">'$'!C18</f>
        <v>1.825108</v>
      </c>
      <c r="W31" s="35" t="n">
        <f aca="false">SUM(C31:E31)/V31</f>
        <v>109343.085450286</v>
      </c>
      <c r="X31" s="35" t="n">
        <f aca="false">C31/$V31</f>
        <v>63739.9211443926</v>
      </c>
      <c r="Y31" s="35" t="n">
        <f aca="false">D31/$V31</f>
        <v>12872.2683808301</v>
      </c>
      <c r="Z31" s="35" t="n">
        <f aca="false">E31/$V31</f>
        <v>32730.8959250631</v>
      </c>
      <c r="AA31" s="36" t="n">
        <f aca="false">C31/((N31+U31)*V31)</f>
        <v>0.181417933883392</v>
      </c>
      <c r="AB31" s="36" t="n">
        <f aca="false">D31/((N31+U31)*V31)</f>
        <v>0.0366373270019043</v>
      </c>
      <c r="AC31" s="36" t="n">
        <f aca="false">E31/((N31+U31)*V31)</f>
        <v>0.0931593796519728</v>
      </c>
      <c r="AD31" s="36" t="n">
        <f aca="false">(C31+D31+E31)/((N31+U31)*V31)</f>
        <v>0.311214640537269</v>
      </c>
      <c r="AE31" s="36" t="n">
        <f aca="false">(C31+D31+E31)/((K31+U31)*V31)</f>
        <v>0.326505455390549</v>
      </c>
      <c r="AF31" s="37"/>
      <c r="AG31" s="38" t="n">
        <f aca="false">F31/($N31+$U31)</f>
        <v>0.375179525421027</v>
      </c>
      <c r="AH31" s="38" t="n">
        <f aca="false">G31/($N31+$U31)</f>
        <v>0.0885601819304782</v>
      </c>
      <c r="AI31" s="39" t="n">
        <f aca="false">I31/($N31+$U31)</f>
        <v>0.782722297014598</v>
      </c>
      <c r="AJ31" s="40" t="n">
        <f aca="false">C31/F31</f>
        <v>0.882530362237865</v>
      </c>
      <c r="AK31" s="40" t="n">
        <f aca="false">D31/G31</f>
        <v>0.755046762011891</v>
      </c>
      <c r="AL31" s="40" t="n">
        <f aca="false">E31/I31</f>
        <v>0.21722382219895</v>
      </c>
      <c r="AM31" s="41"/>
      <c r="AN31" s="42" t="n">
        <f aca="false">AJ31/$V31</f>
        <v>0.483549665136455</v>
      </c>
      <c r="AO31" s="42" t="n">
        <f aca="false">AK31/$V31</f>
        <v>0.413699771198138</v>
      </c>
      <c r="AP31" s="42" t="n">
        <f aca="false">AL31/$V31</f>
        <v>0.119019708531742</v>
      </c>
      <c r="AQ31" s="42" t="n">
        <f aca="false">AM31/$V31</f>
        <v>0</v>
      </c>
      <c r="AR31" s="43"/>
    </row>
    <row r="32" customFormat="false" ht="18.75" hidden="false" customHeight="true" outlineLevel="0" collapsed="false">
      <c r="A32" s="18" t="n">
        <v>2013</v>
      </c>
      <c r="B32" s="18" t="n">
        <v>6</v>
      </c>
      <c r="C32" s="24" t="n">
        <v>94184.19</v>
      </c>
      <c r="D32" s="24" t="n">
        <v>17082.05</v>
      </c>
      <c r="E32" s="25" t="n">
        <v>52045.23</v>
      </c>
      <c r="F32" s="26" t="n">
        <v>106720.63</v>
      </c>
      <c r="G32" s="26" t="n">
        <v>22553</v>
      </c>
      <c r="H32" s="26"/>
      <c r="I32" s="27" t="n">
        <v>239592.5</v>
      </c>
      <c r="J32" s="27"/>
      <c r="K32" s="28" t="n">
        <f aca="false">N32-L32</f>
        <v>259718</v>
      </c>
      <c r="L32" s="29" t="n">
        <v>19007</v>
      </c>
      <c r="M32" s="30" t="n">
        <f aca="false">L32/N32</f>
        <v>0.0681926630191049</v>
      </c>
      <c r="N32" s="29" t="n">
        <v>278725</v>
      </c>
      <c r="O32" s="31" t="n">
        <v>297162</v>
      </c>
      <c r="P32" s="24"/>
      <c r="Q32" s="32"/>
      <c r="R32" s="32" t="e">
        <f aca="false">O32/Q32</f>
        <v>#DIV/0!</v>
      </c>
      <c r="S32" s="33" t="n">
        <v>24</v>
      </c>
      <c r="T32" s="29" t="n">
        <f aca="false">N32/S32</f>
        <v>11613.5416666667</v>
      </c>
      <c r="U32" s="29" t="n">
        <v>4290</v>
      </c>
      <c r="V32" s="34" t="n">
        <f aca="false">'$'!C19</f>
        <v>1.897836</v>
      </c>
      <c r="W32" s="35" t="n">
        <f aca="false">SUM(C32:E32)/V32</f>
        <v>86051.4132938779</v>
      </c>
      <c r="X32" s="35" t="n">
        <f aca="false">C32/$V32</f>
        <v>49627.1490265755</v>
      </c>
      <c r="Y32" s="35" t="n">
        <f aca="false">D32/$V32</f>
        <v>9000.80407369235</v>
      </c>
      <c r="Z32" s="35" t="n">
        <f aca="false">E32/$V32</f>
        <v>27423.46019361</v>
      </c>
      <c r="AA32" s="36" t="n">
        <f aca="false">C32/((N32+U32)*V32)</f>
        <v>0.175351656366537</v>
      </c>
      <c r="AB32" s="36" t="n">
        <f aca="false">D32/((N32+U32)*V32)</f>
        <v>0.0318032757051476</v>
      </c>
      <c r="AC32" s="36" t="n">
        <f aca="false">E32/((N32+U32)*V32)</f>
        <v>0.0968975502839425</v>
      </c>
      <c r="AD32" s="36" t="n">
        <f aca="false">(C32+D32+E32)/((N32+U32)*V32)</f>
        <v>0.304052482355627</v>
      </c>
      <c r="AE32" s="36" t="n">
        <f aca="false">(C32+D32+E32)/((K32+U32)*V32)</f>
        <v>0.325942446039051</v>
      </c>
      <c r="AF32" s="37"/>
      <c r="AG32" s="38" t="n">
        <f aca="false">F32/($N32+$U32)</f>
        <v>0.377084712824409</v>
      </c>
      <c r="AH32" s="38" t="n">
        <f aca="false">G32/($N32+$U32)</f>
        <v>0.0796883557408618</v>
      </c>
      <c r="AI32" s="39" t="n">
        <f aca="false">I32/($N32+$U32)</f>
        <v>0.846571736480398</v>
      </c>
      <c r="AJ32" s="40" t="n">
        <f aca="false">C32/F32</f>
        <v>0.882530303653567</v>
      </c>
      <c r="AK32" s="40" t="n">
        <f aca="false">D32/G32</f>
        <v>0.757418081851638</v>
      </c>
      <c r="AL32" s="40" t="n">
        <f aca="false">E32/I32</f>
        <v>0.217223953170487</v>
      </c>
      <c r="AM32" s="41"/>
      <c r="AN32" s="42" t="n">
        <f aca="false">AJ32/$V32</f>
        <v>0.46501926597112</v>
      </c>
      <c r="AO32" s="42" t="n">
        <f aca="false">AK32/$V32</f>
        <v>0.399095644645606</v>
      </c>
      <c r="AP32" s="42" t="n">
        <f aca="false">AL32/$V32</f>
        <v>0.11445875890777</v>
      </c>
      <c r="AQ32" s="42" t="n">
        <f aca="false">AM32/$V32</f>
        <v>0</v>
      </c>
      <c r="AR32" s="43"/>
    </row>
    <row r="33" customFormat="false" ht="18.75" hidden="false" customHeight="true" outlineLevel="0" collapsed="false">
      <c r="A33" s="18" t="n">
        <v>2013</v>
      </c>
      <c r="B33" s="18" t="n">
        <v>7</v>
      </c>
      <c r="C33" s="24" t="n">
        <v>86102.28</v>
      </c>
      <c r="D33" s="24" t="n">
        <v>14828.92</v>
      </c>
      <c r="E33" s="25" t="n">
        <v>49216.71</v>
      </c>
      <c r="F33" s="26" t="n">
        <v>97562.98</v>
      </c>
      <c r="G33" s="26" t="n">
        <v>19544</v>
      </c>
      <c r="H33" s="26"/>
      <c r="I33" s="27" t="n">
        <v>226571.4</v>
      </c>
      <c r="J33" s="27"/>
      <c r="K33" s="28" t="n">
        <f aca="false">N33-L33</f>
        <v>272173</v>
      </c>
      <c r="L33" s="29" t="n">
        <v>21642</v>
      </c>
      <c r="M33" s="30" t="n">
        <f aca="false">L33/N33</f>
        <v>0.0736585946939401</v>
      </c>
      <c r="N33" s="29" t="n">
        <v>293815</v>
      </c>
      <c r="O33" s="31" t="n">
        <v>344962</v>
      </c>
      <c r="P33" s="24"/>
      <c r="Q33" s="32"/>
      <c r="R33" s="32" t="e">
        <f aca="false">O33/Q33</f>
        <v>#DIV/0!</v>
      </c>
      <c r="S33" s="33" t="n">
        <v>23</v>
      </c>
      <c r="T33" s="29" t="n">
        <f aca="false">N33/S33</f>
        <v>12774.5652173913</v>
      </c>
      <c r="U33" s="29" t="n">
        <v>4180</v>
      </c>
      <c r="V33" s="34" t="n">
        <f aca="false">'$'!C20</f>
        <v>1.934933</v>
      </c>
      <c r="W33" s="35" t="n">
        <f aca="false">SUM(C33:E33)/V33</f>
        <v>77598.5059947812</v>
      </c>
      <c r="X33" s="35" t="n">
        <f aca="false">C33/$V33</f>
        <v>44498.8431123972</v>
      </c>
      <c r="Y33" s="35" t="n">
        <f aca="false">D33/$V33</f>
        <v>7663.7899090046</v>
      </c>
      <c r="Z33" s="35" t="n">
        <f aca="false">E33/$V33</f>
        <v>25435.8729733794</v>
      </c>
      <c r="AA33" s="36" t="n">
        <f aca="false">C33/((N33+U33)*V33)</f>
        <v>0.14932748238191</v>
      </c>
      <c r="AB33" s="36" t="n">
        <f aca="false">D33/((N33+U33)*V33)</f>
        <v>0.0257178473095341</v>
      </c>
      <c r="AC33" s="36" t="n">
        <f aca="false">E33/((N33+U33)*V33)</f>
        <v>0.0853567105937329</v>
      </c>
      <c r="AD33" s="36" t="n">
        <f aca="false">(C33+D33+E33)/((N33+U33)*V33)</f>
        <v>0.260402040285177</v>
      </c>
      <c r="AE33" s="36" t="n">
        <f aca="false">(C33+D33+E33)/((K33+U33)*V33)</f>
        <v>0.280794874652279</v>
      </c>
      <c r="AF33" s="37"/>
      <c r="AG33" s="49" t="n">
        <f aca="false">F33/($N33+$U33)</f>
        <v>0.327398043591335</v>
      </c>
      <c r="AH33" s="49" t="n">
        <f aca="false">G33/($N33+$U33)</f>
        <v>0.0655849930367959</v>
      </c>
      <c r="AI33" s="50" t="n">
        <f aca="false">I33/($N33+$U33)</f>
        <v>0.760319468447457</v>
      </c>
      <c r="AJ33" s="40" t="n">
        <f aca="false">C33/F33</f>
        <v>0.882530238416252</v>
      </c>
      <c r="AK33" s="40" t="n">
        <f aca="false">D33/G33</f>
        <v>0.75874539500614</v>
      </c>
      <c r="AL33" s="40" t="n">
        <f aca="false">E33/I33</f>
        <v>0.217223842020661</v>
      </c>
      <c r="AM33" s="41"/>
      <c r="AN33" s="42" t="n">
        <f aca="false">AJ33/$V33</f>
        <v>0.456103771250091</v>
      </c>
      <c r="AO33" s="42" t="n">
        <f aca="false">AK33/$V33</f>
        <v>0.392130060837321</v>
      </c>
      <c r="AP33" s="42" t="n">
        <f aca="false">AL33/$V33</f>
        <v>0.112264270659843</v>
      </c>
      <c r="AQ33" s="42" t="n">
        <f aca="false">AM33/$V33</f>
        <v>0</v>
      </c>
      <c r="AR33" s="43"/>
    </row>
    <row r="34" customFormat="false" ht="18.75" hidden="false" customHeight="true" outlineLevel="0" collapsed="false">
      <c r="A34" s="18" t="n">
        <v>2013</v>
      </c>
      <c r="B34" s="18" t="n">
        <v>8</v>
      </c>
      <c r="C34" s="24" t="n">
        <v>90886.11</v>
      </c>
      <c r="D34" s="24" t="n">
        <v>17078.31</v>
      </c>
      <c r="E34" s="25" t="n">
        <v>49201.07</v>
      </c>
      <c r="F34" s="26" t="n">
        <v>103497.5</v>
      </c>
      <c r="G34" s="26" t="n">
        <v>22548</v>
      </c>
      <c r="H34" s="26"/>
      <c r="I34" s="27" t="n">
        <v>226499.4</v>
      </c>
      <c r="J34" s="27"/>
      <c r="K34" s="28" t="n">
        <f aca="false">N34-L34</f>
        <v>253481</v>
      </c>
      <c r="L34" s="29" t="n">
        <v>27211</v>
      </c>
      <c r="M34" s="30" t="n">
        <f aca="false">L34/N34</f>
        <v>0.0969425562538298</v>
      </c>
      <c r="N34" s="29" t="n">
        <v>280692</v>
      </c>
      <c r="O34" s="31" t="n">
        <v>300253</v>
      </c>
      <c r="P34" s="24"/>
      <c r="Q34" s="32"/>
      <c r="R34" s="32" t="e">
        <f aca="false">O34/Q34</f>
        <v>#DIV/0!</v>
      </c>
      <c r="S34" s="33" t="n">
        <v>21</v>
      </c>
      <c r="T34" s="29" t="n">
        <f aca="false">N34/S34</f>
        <v>13366.2857142857</v>
      </c>
      <c r="U34" s="29" t="n">
        <v>7306</v>
      </c>
      <c r="V34" s="34" t="n">
        <f aca="false">'$'!C21</f>
        <v>1.959233</v>
      </c>
      <c r="W34" s="35" t="n">
        <f aca="false">SUM(C34:E34)/V34</f>
        <v>80217.8658689395</v>
      </c>
      <c r="X34" s="35" t="n">
        <f aca="false">C34/$V34</f>
        <v>46388.6173824144</v>
      </c>
      <c r="Y34" s="35" t="n">
        <f aca="false">D34/$V34</f>
        <v>8716.83459802892</v>
      </c>
      <c r="Z34" s="35" t="n">
        <f aca="false">E34/$V34</f>
        <v>25112.4138884962</v>
      </c>
      <c r="AA34" s="36" t="n">
        <f aca="false">C34/((N34+U34)*V34)</f>
        <v>0.161072706693847</v>
      </c>
      <c r="AB34" s="36" t="n">
        <f aca="false">D34/((N34+U34)*V34)</f>
        <v>0.0302669969861906</v>
      </c>
      <c r="AC34" s="36" t="n">
        <f aca="false">E34/((N34+U34)*V34)</f>
        <v>0.0871964870884387</v>
      </c>
      <c r="AD34" s="36" t="n">
        <f aca="false">(C34+D34+E34)/((N34+U34)*V34)</f>
        <v>0.278536190768476</v>
      </c>
      <c r="AE34" s="36" t="n">
        <f aca="false">(C34+D34+E34)/((K34+U34)*V34)</f>
        <v>0.307599174302935</v>
      </c>
      <c r="AF34" s="37"/>
      <c r="AG34" s="38" t="n">
        <f aca="false">F34/($N34+$U34)</f>
        <v>0.359368815061216</v>
      </c>
      <c r="AH34" s="38" t="n">
        <f aca="false">G34/($N34+$U34)</f>
        <v>0.078292210362572</v>
      </c>
      <c r="AI34" s="39" t="n">
        <f aca="false">I34/($N34+$U34)</f>
        <v>0.786461711539663</v>
      </c>
      <c r="AJ34" s="40" t="n">
        <f aca="false">C34/F34</f>
        <v>0.878147877968067</v>
      </c>
      <c r="AK34" s="40" t="n">
        <f aca="false">D34/G34</f>
        <v>0.757420170303353</v>
      </c>
      <c r="AL34" s="40" t="n">
        <f aca="false">E34/I34</f>
        <v>0.217223842535565</v>
      </c>
      <c r="AM34" s="41"/>
      <c r="AN34" s="42" t="n">
        <f aca="false">AJ34/$V34</f>
        <v>0.448210028091639</v>
      </c>
      <c r="AO34" s="42" t="n">
        <f aca="false">AK34/$V34</f>
        <v>0.38659014538003</v>
      </c>
      <c r="AP34" s="42" t="n">
        <f aca="false">AL34/$V34</f>
        <v>0.110871878197011</v>
      </c>
      <c r="AQ34" s="42" t="n">
        <f aca="false">AM34/$V34</f>
        <v>0</v>
      </c>
      <c r="AR34" s="43"/>
    </row>
    <row r="35" customFormat="false" ht="18.75" hidden="false" customHeight="true" outlineLevel="0" collapsed="false">
      <c r="A35" s="18" t="n">
        <v>2013</v>
      </c>
      <c r="B35" s="18" t="n">
        <v>9</v>
      </c>
      <c r="C35" s="24" t="n">
        <v>101911.31</v>
      </c>
      <c r="D35" s="24" t="n">
        <v>17132.97</v>
      </c>
      <c r="E35" s="25" t="n">
        <v>54518.79</v>
      </c>
      <c r="F35" s="26" t="n">
        <v>116052.56</v>
      </c>
      <c r="G35" s="26" t="n">
        <v>22621</v>
      </c>
      <c r="H35" s="26"/>
      <c r="I35" s="27" t="n">
        <v>251440.2</v>
      </c>
      <c r="J35" s="27"/>
      <c r="K35" s="28" t="n">
        <f aca="false">N35-L35</f>
        <v>262887</v>
      </c>
      <c r="L35" s="29" t="n">
        <v>18195</v>
      </c>
      <c r="M35" s="30" t="n">
        <f aca="false">L35/N35</f>
        <v>0.0647319999146157</v>
      </c>
      <c r="N35" s="29" t="n">
        <v>281082</v>
      </c>
      <c r="O35" s="31" t="n">
        <v>313746</v>
      </c>
      <c r="P35" s="24"/>
      <c r="Q35" s="32"/>
      <c r="R35" s="32" t="e">
        <f aca="false">O35/Q35</f>
        <v>#DIV/0!</v>
      </c>
      <c r="S35" s="33" t="n">
        <v>23</v>
      </c>
      <c r="T35" s="29" t="n">
        <f aca="false">N35/S35</f>
        <v>12220.9565217391</v>
      </c>
      <c r="U35" s="29" t="n">
        <v>7111</v>
      </c>
      <c r="V35" s="34" t="n">
        <f aca="false">'$'!C22</f>
        <v>2.01943</v>
      </c>
      <c r="W35" s="35" t="n">
        <f aca="false">SUM(C35:E35)/V35</f>
        <v>85946.5641294821</v>
      </c>
      <c r="X35" s="35" t="n">
        <f aca="false">C35/$V35</f>
        <v>50465.3837964178</v>
      </c>
      <c r="Y35" s="35" t="n">
        <f aca="false">D35/$V35</f>
        <v>8484.0623344211</v>
      </c>
      <c r="Z35" s="35" t="n">
        <f aca="false">E35/$V35</f>
        <v>26997.1179986432</v>
      </c>
      <c r="AA35" s="36" t="n">
        <f aca="false">C35/((N35+U35)*V35)</f>
        <v>0.175109679264999</v>
      </c>
      <c r="AB35" s="36" t="n">
        <f aca="false">D35/((N35+U35)*V35)</f>
        <v>0.0294388216730493</v>
      </c>
      <c r="AC35" s="36" t="n">
        <f aca="false">E35/((N35+U35)*V35)</f>
        <v>0.0936772163051954</v>
      </c>
      <c r="AD35" s="36" t="n">
        <f aca="false">(C35+D35+E35)/((N35+U35)*V35)</f>
        <v>0.298225717243244</v>
      </c>
      <c r="AE35" s="36" t="n">
        <f aca="false">(C35+D35+E35)/((K35+U35)*V35)</f>
        <v>0.318322965834866</v>
      </c>
      <c r="AF35" s="37"/>
      <c r="AG35" s="38" t="n">
        <f aca="false">F35/($N35+$U35)</f>
        <v>0.402690419267644</v>
      </c>
      <c r="AH35" s="38" t="n">
        <f aca="false">G35/($N35+$U35)</f>
        <v>0.0784925379866964</v>
      </c>
      <c r="AI35" s="39" t="n">
        <f aca="false">I35/($N35+$U35)</f>
        <v>0.87247157286957</v>
      </c>
      <c r="AJ35" s="40" t="n">
        <f aca="false">C35/F35</f>
        <v>0.87814788402772</v>
      </c>
      <c r="AK35" s="40" t="n">
        <f aca="false">D35/G35</f>
        <v>0.757392246142965</v>
      </c>
      <c r="AL35" s="40" t="n">
        <f aca="false">E35/I35</f>
        <v>0.216826068385246</v>
      </c>
      <c r="AM35" s="41"/>
      <c r="AN35" s="42" t="n">
        <f aca="false">AJ35/$V35</f>
        <v>0.434849380284397</v>
      </c>
      <c r="AO35" s="42" t="n">
        <f aca="false">AK35/$V35</f>
        <v>0.375052488149114</v>
      </c>
      <c r="AP35" s="42" t="n">
        <f aca="false">AL35/$V35</f>
        <v>0.107369935271461</v>
      </c>
      <c r="AQ35" s="42" t="n">
        <f aca="false">AM35/$V35</f>
        <v>0</v>
      </c>
      <c r="AR35" s="43"/>
    </row>
    <row r="36" customFormat="false" ht="18.75" hidden="false" customHeight="true" outlineLevel="0" collapsed="false">
      <c r="A36" s="18" t="n">
        <v>2013</v>
      </c>
      <c r="B36" s="18" t="n">
        <v>10</v>
      </c>
      <c r="C36" s="24" t="n">
        <v>116052.01</v>
      </c>
      <c r="D36" s="24" t="n">
        <v>15183.8</v>
      </c>
      <c r="E36" s="25" t="n">
        <v>51618.79</v>
      </c>
      <c r="F36" s="26" t="n">
        <v>132155.42</v>
      </c>
      <c r="G36" s="26" t="n">
        <v>20016</v>
      </c>
      <c r="H36" s="26"/>
      <c r="I36" s="27" t="n">
        <v>236640.6</v>
      </c>
      <c r="J36" s="27"/>
      <c r="K36" s="28" t="n">
        <f aca="false">N36-L36</f>
        <v>261284</v>
      </c>
      <c r="L36" s="29" t="n">
        <v>23794</v>
      </c>
      <c r="M36" s="30" t="n">
        <f aca="false">L36/N36</f>
        <v>0.0834648762794744</v>
      </c>
      <c r="N36" s="29" t="n">
        <v>285078</v>
      </c>
      <c r="O36" s="31" t="n">
        <v>318170</v>
      </c>
      <c r="P36" s="24"/>
      <c r="Q36" s="32"/>
      <c r="R36" s="32" t="e">
        <f aca="false">O36/Q36</f>
        <v>#DIV/0!</v>
      </c>
      <c r="S36" s="33" t="n">
        <v>20</v>
      </c>
      <c r="T36" s="29" t="n">
        <f aca="false">N36/S36</f>
        <v>14253.9</v>
      </c>
      <c r="U36" s="29" t="n">
        <v>14750</v>
      </c>
      <c r="V36" s="34" t="n">
        <f aca="false">'$'!C23</f>
        <v>1.983254</v>
      </c>
      <c r="W36" s="35" t="n">
        <f aca="false">SUM(C36:E36)/V36</f>
        <v>92199.2846100398</v>
      </c>
      <c r="X36" s="35" t="n">
        <f aca="false">C36/$V36</f>
        <v>58515.95912576</v>
      </c>
      <c r="Y36" s="35" t="n">
        <f aca="false">D36/$V36</f>
        <v>7656.00371914036</v>
      </c>
      <c r="Z36" s="35" t="n">
        <f aca="false">E36/$V36</f>
        <v>26027.3217651395</v>
      </c>
      <c r="AA36" s="36" t="n">
        <f aca="false">C36/((N36+U36)*V36)</f>
        <v>0.195165091738463</v>
      </c>
      <c r="AB36" s="36" t="n">
        <f aca="false">D36/((N36+U36)*V36)</f>
        <v>0.0255346522644328</v>
      </c>
      <c r="AC36" s="36" t="n">
        <f aca="false">E36/((N36+U36)*V36)</f>
        <v>0.0868075088555422</v>
      </c>
      <c r="AD36" s="36" t="n">
        <f aca="false">(C36+D36+E36)/((N36+U36)*V36)</f>
        <v>0.307507252858438</v>
      </c>
      <c r="AE36" s="36" t="n">
        <f aca="false">(C36+D36+E36)/((K36+U36)*V36)</f>
        <v>0.334014232341088</v>
      </c>
      <c r="AF36" s="37"/>
      <c r="AG36" s="38" t="n">
        <f aca="false">F36/($N36+$U36)</f>
        <v>0.440770775244474</v>
      </c>
      <c r="AH36" s="38" t="n">
        <f aca="false">G36/($N36+$U36)</f>
        <v>0.0667582747441867</v>
      </c>
      <c r="AI36" s="39" t="n">
        <f aca="false">I36/($N36+$U36)</f>
        <v>0.789254505916726</v>
      </c>
      <c r="AJ36" s="40" t="n">
        <f aca="false">C36/F36</f>
        <v>0.878147941264914</v>
      </c>
      <c r="AK36" s="40" t="n">
        <f aca="false">D36/G36</f>
        <v>0.758583133493205</v>
      </c>
      <c r="AL36" s="40" t="n">
        <f aca="false">E36/I36</f>
        <v>0.218131588577784</v>
      </c>
      <c r="AM36" s="41"/>
      <c r="AN36" s="42" t="n">
        <f aca="false">AJ36/$V36</f>
        <v>0.442781379119827</v>
      </c>
      <c r="AO36" s="42" t="n">
        <f aca="false">AK36/$V36</f>
        <v>0.382494190604534</v>
      </c>
      <c r="AP36" s="42" t="n">
        <f aca="false">AL36/$V36</f>
        <v>0.109986713037152</v>
      </c>
      <c r="AQ36" s="42" t="n">
        <f aca="false">AM36/$V36</f>
        <v>0</v>
      </c>
      <c r="AR36" s="43"/>
    </row>
    <row r="37" customFormat="false" ht="18.75" hidden="false" customHeight="true" outlineLevel="0" collapsed="false">
      <c r="A37" s="18" t="n">
        <v>2013</v>
      </c>
      <c r="B37" s="18" t="n">
        <v>11</v>
      </c>
      <c r="C37" s="24" t="n">
        <v>136323.44</v>
      </c>
      <c r="D37" s="24" t="n">
        <v>19402.59</v>
      </c>
      <c r="E37" s="25" t="n">
        <v>55547.51</v>
      </c>
      <c r="F37" s="26" t="n">
        <v>155239.72</v>
      </c>
      <c r="G37" s="26" t="n">
        <v>25552</v>
      </c>
      <c r="H37" s="26"/>
      <c r="I37" s="27" t="n">
        <v>257509.8</v>
      </c>
      <c r="J37" s="27"/>
      <c r="K37" s="28" t="n">
        <f aca="false">N37-L37</f>
        <v>311141</v>
      </c>
      <c r="L37" s="29" t="n">
        <v>18926</v>
      </c>
      <c r="M37" s="30" t="n">
        <f aca="false">L37/N37</f>
        <v>0.057339873419639</v>
      </c>
      <c r="N37" s="29" t="n">
        <v>330067</v>
      </c>
      <c r="O37" s="31" t="n">
        <v>348789</v>
      </c>
      <c r="P37" s="24"/>
      <c r="Q37" s="32"/>
      <c r="R37" s="32" t="e">
        <f aca="false">O37/Q37</f>
        <v>#DIV/0!</v>
      </c>
      <c r="S37" s="33" t="n">
        <v>25</v>
      </c>
      <c r="T37" s="29" t="n">
        <f aca="false">N37/S37</f>
        <v>13202.68</v>
      </c>
      <c r="U37" s="29" t="n">
        <v>16500</v>
      </c>
      <c r="V37" s="34" t="n">
        <f aca="false">'$'!C24</f>
        <v>2.024689</v>
      </c>
      <c r="W37" s="35" t="n">
        <f aca="false">SUM(C37:E37)/V37</f>
        <v>104348.638235304</v>
      </c>
      <c r="X37" s="35" t="n">
        <f aca="false">C37/$V37</f>
        <v>67330.557927662</v>
      </c>
      <c r="Y37" s="35" t="n">
        <f aca="false">D37/$V37</f>
        <v>9582.99768507657</v>
      </c>
      <c r="Z37" s="35" t="n">
        <f aca="false">E37/$V37</f>
        <v>27435.0826225657</v>
      </c>
      <c r="AA37" s="36" t="n">
        <f aca="false">C37/((N37+U37)*V37)</f>
        <v>0.194278618355648</v>
      </c>
      <c r="AB37" s="36" t="n">
        <f aca="false">D37/((N37+U37)*V37)</f>
        <v>0.027651212276635</v>
      </c>
      <c r="AC37" s="36" t="n">
        <f aca="false">E37/((N37+U37)*V37)</f>
        <v>0.0791624206071719</v>
      </c>
      <c r="AD37" s="36" t="n">
        <f aca="false">(C37+D37+E37)/((N37+U37)*V37)</f>
        <v>0.301092251239455</v>
      </c>
      <c r="AE37" s="36" t="n">
        <f aca="false">(C37+D37+E37)/((K37+U37)*V37)</f>
        <v>0.318484677544338</v>
      </c>
      <c r="AF37" s="37"/>
      <c r="AG37" s="38" t="n">
        <f aca="false">F37/($N37+$U37)</f>
        <v>0.447935666119394</v>
      </c>
      <c r="AH37" s="38" t="n">
        <f aca="false">G37/($N37+$U37)</f>
        <v>0.0737288893633843</v>
      </c>
      <c r="AI37" s="39" t="n">
        <f aca="false">I37/($N37+$U37)</f>
        <v>0.743030351995429</v>
      </c>
      <c r="AJ37" s="40" t="n">
        <f aca="false">C37/F37</f>
        <v>0.878147937911766</v>
      </c>
      <c r="AK37" s="40" t="n">
        <f aca="false">D37/G37</f>
        <v>0.759337429555416</v>
      </c>
      <c r="AL37" s="40" t="n">
        <f aca="false">E37/I37</f>
        <v>0.215710275880763</v>
      </c>
      <c r="AM37" s="41"/>
      <c r="AN37" s="42" t="n">
        <f aca="false">AJ37/$V37</f>
        <v>0.433719913483881</v>
      </c>
      <c r="AO37" s="42" t="n">
        <f aca="false">AK37/$V37</f>
        <v>0.37503904528321</v>
      </c>
      <c r="AP37" s="42" t="n">
        <f aca="false">AL37/$V37</f>
        <v>0.106539955460203</v>
      </c>
      <c r="AQ37" s="42" t="n">
        <f aca="false">AM37/$V37</f>
        <v>0</v>
      </c>
      <c r="AR37" s="43"/>
    </row>
    <row r="38" customFormat="false" ht="18.75" hidden="false" customHeight="true" outlineLevel="0" collapsed="false">
      <c r="A38" s="18" t="n">
        <v>2013</v>
      </c>
      <c r="B38" s="18" t="n">
        <v>12</v>
      </c>
      <c r="C38" s="24" t="n">
        <v>144901.35</v>
      </c>
      <c r="D38" s="24" t="n">
        <v>17593.48</v>
      </c>
      <c r="E38" s="25" t="n">
        <v>57320.02</v>
      </c>
      <c r="F38" s="26" t="n">
        <v>165007.89</v>
      </c>
      <c r="G38" s="26" t="n">
        <v>23236</v>
      </c>
      <c r="H38" s="26"/>
      <c r="I38" s="27" t="n">
        <v>265726.8</v>
      </c>
      <c r="J38" s="27"/>
      <c r="K38" s="28" t="n">
        <f aca="false">N38-L38</f>
        <v>327767</v>
      </c>
      <c r="L38" s="29" t="n">
        <v>46819</v>
      </c>
      <c r="M38" s="30" t="n">
        <f aca="false">L38/N38</f>
        <v>0.124988654140838</v>
      </c>
      <c r="N38" s="29" t="n">
        <v>374586</v>
      </c>
      <c r="O38" s="31" t="n">
        <v>346382</v>
      </c>
      <c r="P38" s="24"/>
      <c r="Q38" s="18"/>
      <c r="R38" s="32" t="e">
        <f aca="false">O38/Q38</f>
        <v>#DIV/0!</v>
      </c>
      <c r="S38" s="51" t="n">
        <v>27</v>
      </c>
      <c r="T38" s="29" t="n">
        <f aca="false">N38/S38</f>
        <v>13873.5555555556</v>
      </c>
      <c r="U38" s="29" t="n">
        <v>21500</v>
      </c>
      <c r="V38" s="34" t="n">
        <f aca="false">'$'!C25</f>
        <v>2.067259</v>
      </c>
      <c r="W38" s="35" t="n">
        <f aca="false">SUM(C38:E38)/V38</f>
        <v>106331.548199814</v>
      </c>
      <c r="X38" s="35" t="n">
        <f aca="false">C38/$V38</f>
        <v>70093.4667596078</v>
      </c>
      <c r="Y38" s="35" t="n">
        <f aca="false">D38/$V38</f>
        <v>8510.53496441423</v>
      </c>
      <c r="Z38" s="35" t="n">
        <f aca="false">E38/$V38</f>
        <v>27727.5464757923</v>
      </c>
      <c r="AA38" s="36" t="n">
        <f aca="false">C38/((N38+U38)*V38)</f>
        <v>0.176965272086385</v>
      </c>
      <c r="AB38" s="36" t="n">
        <f aca="false">D38/((N38+U38)*V38)</f>
        <v>0.0214865836318735</v>
      </c>
      <c r="AC38" s="36" t="n">
        <f aca="false">E38/((N38+U38)*V38)</f>
        <v>0.0700038538998913</v>
      </c>
      <c r="AD38" s="36" t="n">
        <f aca="false">(C38+D38+E38)/((N38+U38)*V38)</f>
        <v>0.268455709618149</v>
      </c>
      <c r="AE38" s="36" t="n">
        <f aca="false">(C38+D38+E38)/((K38+U38)*V38)</f>
        <v>0.304442011984569</v>
      </c>
      <c r="AF38" s="37"/>
      <c r="AG38" s="38" t="n">
        <f aca="false">F38/($N38+$U38)</f>
        <v>0.416596118014775</v>
      </c>
      <c r="AH38" s="38" t="n">
        <f aca="false">G38/($N38+$U38)</f>
        <v>0.0586640275091773</v>
      </c>
      <c r="AI38" s="39" t="n">
        <f aca="false">I38/($N38+$U38)</f>
        <v>0.670881576223345</v>
      </c>
      <c r="AJ38" s="40" t="n">
        <f aca="false">C38/F38</f>
        <v>0.878148008558863</v>
      </c>
      <c r="AK38" s="40" t="n">
        <f aca="false">D38/G38</f>
        <v>0.757164744362197</v>
      </c>
      <c r="AL38" s="40" t="n">
        <f aca="false">E38/I38</f>
        <v>0.215710346114882</v>
      </c>
      <c r="AM38" s="41"/>
      <c r="AN38" s="42" t="n">
        <f aca="false">AJ38/$V38</f>
        <v>0.424788576834767</v>
      </c>
      <c r="AO38" s="42" t="n">
        <f aca="false">AK38/$V38</f>
        <v>0.366265061302041</v>
      </c>
      <c r="AP38" s="42" t="n">
        <f aca="false">AL38/$V38</f>
        <v>0.104346066997353</v>
      </c>
      <c r="AQ38" s="42" t="n">
        <f aca="false">AM38/$V38</f>
        <v>0</v>
      </c>
      <c r="AR38" s="43"/>
    </row>
    <row r="39" customFormat="false" ht="18.75" hidden="false" customHeight="true" outlineLevel="0" collapsed="false">
      <c r="A39" s="18" t="n">
        <v>2014</v>
      </c>
      <c r="B39" s="18" t="n">
        <v>1</v>
      </c>
      <c r="C39" s="24" t="n">
        <v>127934.63</v>
      </c>
      <c r="D39" s="24" t="n">
        <v>16162.53</v>
      </c>
      <c r="E39" s="25" t="n">
        <v>51983.86</v>
      </c>
      <c r="F39" s="26" t="n">
        <v>145686.88</v>
      </c>
      <c r="G39" s="26" t="n">
        <v>21325</v>
      </c>
      <c r="H39" s="26"/>
      <c r="I39" s="27" t="n">
        <v>243129.6</v>
      </c>
      <c r="J39" s="27"/>
      <c r="K39" s="28" t="n">
        <f aca="false">N39-L39</f>
        <v>265489</v>
      </c>
      <c r="L39" s="29" t="n">
        <v>36684</v>
      </c>
      <c r="M39" s="30" t="n">
        <f aca="false">L39/N39</f>
        <v>0.121400654591906</v>
      </c>
      <c r="N39" s="29" t="n">
        <v>302173</v>
      </c>
      <c r="O39" s="31" t="n">
        <v>299530</v>
      </c>
      <c r="P39" s="24" t="n">
        <v>255844</v>
      </c>
      <c r="Q39" s="32" t="n">
        <v>152</v>
      </c>
      <c r="R39" s="32" t="n">
        <f aca="false">O39/Q39</f>
        <v>1970.59210526316</v>
      </c>
      <c r="S39" s="33" t="n">
        <v>26</v>
      </c>
      <c r="T39" s="29" t="n">
        <f aca="false">N39/S39</f>
        <v>11622.0384615385</v>
      </c>
      <c r="U39" s="29" t="n">
        <v>19300</v>
      </c>
      <c r="V39" s="34" t="n">
        <f aca="false">'$'!C26</f>
        <v>2.221045</v>
      </c>
      <c r="W39" s="35" t="n">
        <f aca="false">SUM(C39:E39)/V39</f>
        <v>88283.2270395242</v>
      </c>
      <c r="X39" s="35" t="n">
        <f aca="false">C39/$V39</f>
        <v>57601.0976814968</v>
      </c>
      <c r="Y39" s="35" t="n">
        <f aca="false">D39/$V39</f>
        <v>7276.9934872999</v>
      </c>
      <c r="Z39" s="35" t="n">
        <f aca="false">E39/$V39</f>
        <v>23405.1358707275</v>
      </c>
      <c r="AA39" s="36" t="n">
        <f aca="false">C39/((N39+U39)*V39)</f>
        <v>0.179178648538125</v>
      </c>
      <c r="AB39" s="36" t="n">
        <f aca="false">D39/((N39+U39)*V39)</f>
        <v>0.0226364064394207</v>
      </c>
      <c r="AC39" s="36" t="n">
        <f aca="false">E39/((N39+U39)*V39)</f>
        <v>0.0728059148691415</v>
      </c>
      <c r="AD39" s="36" t="n">
        <f aca="false">(C39+D39+E39)/((N39+U39)*V39)</f>
        <v>0.274620969846688</v>
      </c>
      <c r="AE39" s="36" t="n">
        <f aca="false">(C39+D39+E39)/((K39+U39)*V39)</f>
        <v>0.309995214139325</v>
      </c>
      <c r="AF39" s="37" t="n">
        <f aca="false">(P39/V39)/K39</f>
        <v>0.433881713886954</v>
      </c>
      <c r="AG39" s="38" t="n">
        <f aca="false">F39/($N39+$U39)</f>
        <v>0.453185430813785</v>
      </c>
      <c r="AH39" s="38" t="n">
        <f aca="false">G39/($N39+$U39)</f>
        <v>0.0663352754352621</v>
      </c>
      <c r="AI39" s="39" t="n">
        <f aca="false">I39/($N39+$U39)</f>
        <v>0.756298662718175</v>
      </c>
      <c r="AJ39" s="40" t="n">
        <f aca="false">C39/F39</f>
        <v>0.878147915584437</v>
      </c>
      <c r="AK39" s="40" t="n">
        <f aca="false">D39/G39</f>
        <v>0.757914654161782</v>
      </c>
      <c r="AL39" s="40" t="n">
        <f aca="false">E39/I39</f>
        <v>0.21381131709179</v>
      </c>
      <c r="AM39" s="41"/>
      <c r="AN39" s="42" t="n">
        <f aca="false">AJ39/$V39</f>
        <v>0.395376012455595</v>
      </c>
      <c r="AO39" s="42" t="n">
        <f aca="false">AK39/$V39</f>
        <v>0.341242367516994</v>
      </c>
      <c r="AP39" s="42" t="n">
        <f aca="false">AL39/$V39</f>
        <v>0.0962660896522987</v>
      </c>
      <c r="AQ39" s="42" t="n">
        <f aca="false">AM39/$V39</f>
        <v>0</v>
      </c>
      <c r="AR39" s="43"/>
    </row>
    <row r="40" customFormat="false" ht="18.75" hidden="false" customHeight="true" outlineLevel="0" collapsed="false">
      <c r="A40" s="18" t="n">
        <v>2014</v>
      </c>
      <c r="B40" s="18" t="n">
        <v>2</v>
      </c>
      <c r="C40" s="24" t="n">
        <v>111388.09</v>
      </c>
      <c r="D40" s="24" t="n">
        <v>15455.88</v>
      </c>
      <c r="E40" s="25" t="n">
        <v>51159.5</v>
      </c>
      <c r="F40" s="26" t="n">
        <v>126844.32</v>
      </c>
      <c r="G40" s="26" t="n">
        <v>20381</v>
      </c>
      <c r="H40" s="26"/>
      <c r="I40" s="27" t="n">
        <v>239274</v>
      </c>
      <c r="J40" s="27"/>
      <c r="K40" s="28" t="n">
        <f aca="false">N40-L40</f>
        <v>268978</v>
      </c>
      <c r="L40" s="29" t="n">
        <v>38284</v>
      </c>
      <c r="M40" s="30" t="n">
        <f aca="false">L40/N40</f>
        <v>0.12459724925308</v>
      </c>
      <c r="N40" s="29" t="n">
        <v>307262</v>
      </c>
      <c r="O40" s="31" t="n">
        <v>324366</v>
      </c>
      <c r="P40" s="24" t="n">
        <v>271774</v>
      </c>
      <c r="Q40" s="32" t="n">
        <v>189</v>
      </c>
      <c r="R40" s="32" t="n">
        <f aca="false">O40/Q40</f>
        <v>1716.22222222222</v>
      </c>
      <c r="S40" s="33" t="n">
        <v>25</v>
      </c>
      <c r="T40" s="29" t="n">
        <f aca="false">N40/S40</f>
        <v>12290.48</v>
      </c>
      <c r="U40" s="29" t="n">
        <v>16360</v>
      </c>
      <c r="V40" s="34" t="n">
        <f aca="false">'$'!C27</f>
        <v>2.206518</v>
      </c>
      <c r="W40" s="35" t="n">
        <f aca="false">SUM(C40:E40)/V40</f>
        <v>80671.6600544387</v>
      </c>
      <c r="X40" s="35" t="n">
        <f aca="false">C40/$V40</f>
        <v>50481.3874167353</v>
      </c>
      <c r="Y40" s="35" t="n">
        <f aca="false">D40/$V40</f>
        <v>7004.64714087988</v>
      </c>
      <c r="Z40" s="35" t="n">
        <f aca="false">E40/$V40</f>
        <v>23185.6254968235</v>
      </c>
      <c r="AA40" s="36" t="n">
        <f aca="false">C40/((N40+U40)*V40)</f>
        <v>0.155988738147392</v>
      </c>
      <c r="AB40" s="36" t="n">
        <f aca="false">D40/((N40+U40)*V40)</f>
        <v>0.0216445332544755</v>
      </c>
      <c r="AC40" s="36" t="n">
        <f aca="false">E40/((N40+U40)*V40)</f>
        <v>0.0716441573713267</v>
      </c>
      <c r="AD40" s="36" t="n">
        <f aca="false">(C40+D40+E40)/((N40+U40)*V40)</f>
        <v>0.249277428773194</v>
      </c>
      <c r="AE40" s="36" t="n">
        <f aca="false">(C40+D40+E40)/((K40+U40)*V40)</f>
        <v>0.282723156587762</v>
      </c>
      <c r="AF40" s="37" t="n">
        <f aca="false">(P40/V40)/K40</f>
        <v>0.457913736568344</v>
      </c>
      <c r="AG40" s="38" t="n">
        <f aca="false">F40/($N40+$U40)</f>
        <v>0.39195209225578</v>
      </c>
      <c r="AH40" s="38" t="n">
        <f aca="false">G40/($N40+$U40)</f>
        <v>0.0629777950819166</v>
      </c>
      <c r="AI40" s="39" t="n">
        <f aca="false">I40/($N40+$U40)</f>
        <v>0.739362589687969</v>
      </c>
      <c r="AJ40" s="40" t="n">
        <f aca="false">C40/F40</f>
        <v>0.878148032170459</v>
      </c>
      <c r="AK40" s="40" t="n">
        <f aca="false">D40/G40</f>
        <v>0.758347480496541</v>
      </c>
      <c r="AL40" s="40" t="n">
        <f aca="false">E40/I40</f>
        <v>0.213811362705517</v>
      </c>
      <c r="AM40" s="41"/>
      <c r="AN40" s="42" t="n">
        <f aca="false">AJ40/$V40</f>
        <v>0.397979092928523</v>
      </c>
      <c r="AO40" s="42" t="n">
        <f aca="false">AK40/$V40</f>
        <v>0.343685154844212</v>
      </c>
      <c r="AP40" s="42" t="n">
        <f aca="false">AL40/$V40</f>
        <v>0.0968998950860666</v>
      </c>
      <c r="AQ40" s="42" t="n">
        <f aca="false">AM40/$V40</f>
        <v>0</v>
      </c>
      <c r="AR40" s="43"/>
    </row>
    <row r="41" customFormat="false" ht="18.75" hidden="false" customHeight="true" outlineLevel="0" collapsed="false">
      <c r="A41" s="18" t="n">
        <v>2014</v>
      </c>
      <c r="B41" s="18" t="n">
        <v>3</v>
      </c>
      <c r="C41" s="24" t="n">
        <v>105817.6</v>
      </c>
      <c r="D41" s="24" t="n">
        <v>16157.2</v>
      </c>
      <c r="E41" s="25" t="n">
        <v>53320.85</v>
      </c>
      <c r="F41" s="26" t="n">
        <v>120500.87</v>
      </c>
      <c r="G41" s="26" t="n">
        <v>21316</v>
      </c>
      <c r="H41" s="26"/>
      <c r="I41" s="27" t="n">
        <v>249382.8</v>
      </c>
      <c r="J41" s="27"/>
      <c r="K41" s="28" t="n">
        <f aca="false">N41-L41</f>
        <v>258151</v>
      </c>
      <c r="L41" s="29" t="n">
        <v>24534</v>
      </c>
      <c r="M41" s="30" t="n">
        <f aca="false">L41/N41</f>
        <v>0.0867891823053929</v>
      </c>
      <c r="N41" s="29" t="n">
        <v>282685</v>
      </c>
      <c r="O41" s="31" t="n">
        <v>298591</v>
      </c>
      <c r="P41" s="24" t="n">
        <v>273537</v>
      </c>
      <c r="Q41" s="32" t="n">
        <v>170</v>
      </c>
      <c r="R41" s="32" t="n">
        <f aca="false">O41/Q41</f>
        <v>1756.41764705882</v>
      </c>
      <c r="S41" s="33" t="n">
        <v>26</v>
      </c>
      <c r="T41" s="29" t="n">
        <f aca="false">N41/S41</f>
        <v>10872.5</v>
      </c>
      <c r="U41" s="29" t="n">
        <v>23500</v>
      </c>
      <c r="V41" s="34" t="n">
        <f aca="false">'$'!C28</f>
        <v>2.21216</v>
      </c>
      <c r="W41" s="35" t="n">
        <f aca="false">SUM(C41:E41)/V41</f>
        <v>79241.849594966</v>
      </c>
      <c r="X41" s="35" t="n">
        <f aca="false">C41/$V41</f>
        <v>47834.5146824823</v>
      </c>
      <c r="Y41" s="35" t="n">
        <f aca="false">D41/$V41</f>
        <v>7303.81165919283</v>
      </c>
      <c r="Z41" s="35" t="n">
        <f aca="false">E41/$V41</f>
        <v>24103.5232532909</v>
      </c>
      <c r="AA41" s="36" t="n">
        <f aca="false">C41/((N41+U41)*V41)</f>
        <v>0.156227492145214</v>
      </c>
      <c r="AB41" s="36" t="n">
        <f aca="false">D41/((N41+U41)*V41)</f>
        <v>0.0238542438695326</v>
      </c>
      <c r="AC41" s="36" t="n">
        <f aca="false">E41/((N41+U41)*V41)</f>
        <v>0.0787220904136091</v>
      </c>
      <c r="AD41" s="36" t="n">
        <f aca="false">(C41+D41+E41)/((N41+U41)*V41)</f>
        <v>0.258803826428355</v>
      </c>
      <c r="AE41" s="36" t="n">
        <f aca="false">(C41+D41+E41)/((K41+U41)*V41)</f>
        <v>0.281347659319392</v>
      </c>
      <c r="AF41" s="37" t="n">
        <f aca="false">(P41/V41)/K41</f>
        <v>0.478989212484561</v>
      </c>
      <c r="AG41" s="38" t="n">
        <f aca="false">F41/($N41+$U41)</f>
        <v>0.393555758773291</v>
      </c>
      <c r="AH41" s="38" t="n">
        <f aca="false">G41/($N41+$U41)</f>
        <v>0.0696180413802113</v>
      </c>
      <c r="AI41" s="39" t="n">
        <f aca="false">I41/($N41+$U41)</f>
        <v>0.814484053758349</v>
      </c>
      <c r="AJ41" s="40" t="n">
        <f aca="false">C41/F41</f>
        <v>0.878148016690668</v>
      </c>
      <c r="AK41" s="40" t="n">
        <f aca="false">D41/G41</f>
        <v>0.757984612497654</v>
      </c>
      <c r="AL41" s="40" t="n">
        <f aca="false">E41/I41</f>
        <v>0.213811257231854</v>
      </c>
      <c r="AM41" s="41"/>
      <c r="AN41" s="42" t="n">
        <f aca="false">AJ41/$V41</f>
        <v>0.396964060778003</v>
      </c>
      <c r="AO41" s="42" t="n">
        <f aca="false">AK41/$V41</f>
        <v>0.342644570237982</v>
      </c>
      <c r="AP41" s="42" t="n">
        <f aca="false">AL41/$V41</f>
        <v>0.0966527092216901</v>
      </c>
      <c r="AQ41" s="42" t="n">
        <f aca="false">AM41/$V41</f>
        <v>0</v>
      </c>
      <c r="AR41" s="43"/>
    </row>
    <row r="42" customFormat="false" ht="18.75" hidden="false" customHeight="true" outlineLevel="0" collapsed="false">
      <c r="A42" s="18" t="n">
        <v>2014</v>
      </c>
      <c r="B42" s="18" t="n">
        <v>4</v>
      </c>
      <c r="C42" s="24" t="n">
        <v>92453.46</v>
      </c>
      <c r="D42" s="24" t="n">
        <v>15017.61</v>
      </c>
      <c r="E42" s="25" t="n">
        <v>44728.08</v>
      </c>
      <c r="F42" s="26" t="n">
        <v>105282.33</v>
      </c>
      <c r="G42" s="26" t="n">
        <v>19796</v>
      </c>
      <c r="H42" s="26"/>
      <c r="I42" s="27" t="n">
        <v>209194.2</v>
      </c>
      <c r="J42" s="27"/>
      <c r="K42" s="28" t="n">
        <f aca="false">N42-L42</f>
        <v>214967</v>
      </c>
      <c r="L42" s="29" t="n">
        <v>9499</v>
      </c>
      <c r="M42" s="30" t="n">
        <f aca="false">L42/N42</f>
        <v>0.0423182130033056</v>
      </c>
      <c r="N42" s="29" t="n">
        <v>224466</v>
      </c>
      <c r="O42" s="31" t="n">
        <v>242297</v>
      </c>
      <c r="P42" s="24" t="n">
        <v>301209</v>
      </c>
      <c r="Q42" s="32" t="n">
        <v>176</v>
      </c>
      <c r="R42" s="32" t="n">
        <f aca="false">O42/Q42</f>
        <v>1376.6875</v>
      </c>
      <c r="S42" s="33" t="n">
        <v>28</v>
      </c>
      <c r="T42" s="29" t="n">
        <f aca="false">N42/S42</f>
        <v>8016.64285714286</v>
      </c>
      <c r="U42" s="29" t="n">
        <v>20200</v>
      </c>
      <c r="V42" s="34" t="n">
        <f aca="false">'$'!C29</f>
        <v>2.124484</v>
      </c>
      <c r="W42" s="35" t="n">
        <f aca="false">SUM(C42:E42)/V42</f>
        <v>71640.5254169954</v>
      </c>
      <c r="X42" s="35" t="n">
        <f aca="false">C42/$V42</f>
        <v>43518.0778014803</v>
      </c>
      <c r="Y42" s="35" t="n">
        <f aca="false">D42/$V42</f>
        <v>7068.82706577221</v>
      </c>
      <c r="Z42" s="35" t="n">
        <f aca="false">E42/$V42</f>
        <v>21053.6205497429</v>
      </c>
      <c r="AA42" s="36" t="n">
        <f aca="false">C42/((N42+U42)*V42)</f>
        <v>0.177867287655335</v>
      </c>
      <c r="AB42" s="36" t="n">
        <f aca="false">D42/((N42+U42)*V42)</f>
        <v>0.0288917424806561</v>
      </c>
      <c r="AC42" s="36" t="n">
        <f aca="false">E42/((N42+U42)*V42)</f>
        <v>0.0860504547004607</v>
      </c>
      <c r="AD42" s="36" t="n">
        <f aca="false">(C42+D42+E42)/((N42+U42)*V42)</f>
        <v>0.292809484836452</v>
      </c>
      <c r="AE42" s="36" t="n">
        <f aca="false">(C42+D42+E42)/((K42+U42)*V42)</f>
        <v>0.304636813060486</v>
      </c>
      <c r="AF42" s="37" t="n">
        <f aca="false">(P42/V42)/K42</f>
        <v>0.6595423448514</v>
      </c>
      <c r="AG42" s="38" t="n">
        <f aca="false">F42/($N42+$U42)</f>
        <v>0.430310423189164</v>
      </c>
      <c r="AH42" s="38" t="n">
        <f aca="false">G42/($N42+$U42)</f>
        <v>0.0809103022079079</v>
      </c>
      <c r="AI42" s="39" t="n">
        <f aca="false">I42/($N42+$U42)</f>
        <v>0.855019495965929</v>
      </c>
      <c r="AJ42" s="40" t="n">
        <f aca="false">C42/F42</f>
        <v>0.878147928527038</v>
      </c>
      <c r="AK42" s="40" t="n">
        <f aca="false">D42/G42</f>
        <v>0.758618407759143</v>
      </c>
      <c r="AL42" s="40" t="n">
        <f aca="false">E42/I42</f>
        <v>0.213811281574728</v>
      </c>
      <c r="AM42" s="41"/>
      <c r="AN42" s="42" t="n">
        <f aca="false">AJ42/$V42</f>
        <v>0.413346454257616</v>
      </c>
      <c r="AO42" s="42" t="n">
        <f aca="false">AK42/$V42</f>
        <v>0.35708360607053</v>
      </c>
      <c r="AP42" s="42" t="n">
        <f aca="false">AL42/$V42</f>
        <v>0.100641511809328</v>
      </c>
      <c r="AQ42" s="42" t="n">
        <f aca="false">AM42/$V42</f>
        <v>0</v>
      </c>
      <c r="AR42" s="43"/>
    </row>
    <row r="43" customFormat="false" ht="18.75" hidden="false" customHeight="true" outlineLevel="0" collapsed="false">
      <c r="A43" s="18" t="n">
        <v>2014</v>
      </c>
      <c r="B43" s="18" t="n">
        <v>5</v>
      </c>
      <c r="C43" s="24" t="n">
        <v>92428.83</v>
      </c>
      <c r="D43" s="24" t="n">
        <v>16685.19</v>
      </c>
      <c r="E43" s="25" t="n">
        <v>50530.24</v>
      </c>
      <c r="F43" s="26" t="n">
        <v>105254.28</v>
      </c>
      <c r="G43" s="26" t="n">
        <v>22023</v>
      </c>
      <c r="H43" s="26"/>
      <c r="I43" s="27" t="n">
        <v>236331</v>
      </c>
      <c r="J43" s="27"/>
      <c r="K43" s="28" t="n">
        <f aca="false">N43-L43</f>
        <v>226364</v>
      </c>
      <c r="L43" s="29" t="n">
        <v>20665</v>
      </c>
      <c r="M43" s="30" t="n">
        <f aca="false">L43/N43</f>
        <v>0.0836541458695133</v>
      </c>
      <c r="N43" s="29" t="n">
        <v>247029</v>
      </c>
      <c r="O43" s="31" t="n">
        <v>265210</v>
      </c>
      <c r="P43" s="24" t="n">
        <v>326302</v>
      </c>
      <c r="Q43" s="32" t="n">
        <v>174</v>
      </c>
      <c r="R43" s="32" t="n">
        <f aca="false">O43/Q43</f>
        <v>1524.19540229885</v>
      </c>
      <c r="S43" s="33" t="n">
        <v>27</v>
      </c>
      <c r="T43" s="29" t="n">
        <f aca="false">N43/S43</f>
        <v>9149.22222222222</v>
      </c>
      <c r="U43" s="29" t="n">
        <v>22638</v>
      </c>
      <c r="V43" s="34" t="n">
        <f aca="false">'$'!C30</f>
        <v>2.090432</v>
      </c>
      <c r="W43" s="35" t="n">
        <f aca="false">SUM(C43:E43)/V43</f>
        <v>76369.0280286563</v>
      </c>
      <c r="X43" s="35" t="n">
        <f aca="false">C43/$V43</f>
        <v>44215.1813596424</v>
      </c>
      <c r="Y43" s="35" t="n">
        <f aca="false">D43/$V43</f>
        <v>7981.69469277164</v>
      </c>
      <c r="Z43" s="35" t="n">
        <f aca="false">E43/$V43</f>
        <v>24172.1519762422</v>
      </c>
      <c r="AA43" s="36" t="n">
        <f aca="false">C43/((N43+U43)*V43)</f>
        <v>0.163962150947808</v>
      </c>
      <c r="AB43" s="36" t="n">
        <f aca="false">D43/((N43+U43)*V43)</f>
        <v>0.0295983368108506</v>
      </c>
      <c r="AC43" s="36" t="n">
        <f aca="false">E43/((N43+U43)*V43)</f>
        <v>0.0896370411516508</v>
      </c>
      <c r="AD43" s="36" t="n">
        <f aca="false">(C43+D43+E43)/((N43+U43)*V43)</f>
        <v>0.283197528910309</v>
      </c>
      <c r="AE43" s="36" t="n">
        <f aca="false">(C43+D43+E43)/((K43+U43)*V43)</f>
        <v>0.306700460352352</v>
      </c>
      <c r="AF43" s="37" t="n">
        <f aca="false">(P43/V43)/K43</f>
        <v>0.689566780199462</v>
      </c>
      <c r="AG43" s="38" t="n">
        <f aca="false">F43/($N43+$U43)</f>
        <v>0.390312051530221</v>
      </c>
      <c r="AH43" s="38" t="n">
        <f aca="false">G43/($N43+$U43)</f>
        <v>0.0816673897807296</v>
      </c>
      <c r="AI43" s="39" t="n">
        <f aca="false">I43/($N43+$U43)</f>
        <v>0.876380869739345</v>
      </c>
      <c r="AJ43" s="40" t="n">
        <f aca="false">C43/F43</f>
        <v>0.878147947997934</v>
      </c>
      <c r="AK43" s="40" t="n">
        <f aca="false">D43/G43</f>
        <v>0.757625664078463</v>
      </c>
      <c r="AL43" s="40" t="n">
        <f aca="false">E43/I43</f>
        <v>0.213811307022777</v>
      </c>
      <c r="AM43" s="41"/>
      <c r="AN43" s="42" t="n">
        <f aca="false">AJ43/$V43</f>
        <v>0.420079652434489</v>
      </c>
      <c r="AO43" s="42" t="n">
        <f aca="false">AK43/$V43</f>
        <v>0.36242540492992</v>
      </c>
      <c r="AP43" s="42" t="n">
        <f aca="false">AL43/$V43</f>
        <v>0.102280919457211</v>
      </c>
      <c r="AQ43" s="42" t="n">
        <f aca="false">AM43/$V43</f>
        <v>0</v>
      </c>
      <c r="AR43" s="43"/>
    </row>
    <row r="44" customFormat="false" ht="18.75" hidden="false" customHeight="true" outlineLevel="0" collapsed="false">
      <c r="A44" s="18" t="n">
        <v>2014</v>
      </c>
      <c r="B44" s="18" t="n">
        <v>6</v>
      </c>
      <c r="C44" s="24" t="n">
        <v>93343.73</v>
      </c>
      <c r="D44" s="24" t="n">
        <v>16543.67</v>
      </c>
      <c r="E44" s="25" t="n">
        <v>54216.81</v>
      </c>
      <c r="F44" s="26" t="n">
        <v>106296.13</v>
      </c>
      <c r="G44" s="26" t="n">
        <v>21834</v>
      </c>
      <c r="H44" s="26"/>
      <c r="I44" s="27" t="n">
        <v>253573.2</v>
      </c>
      <c r="J44" s="27"/>
      <c r="K44" s="28" t="n">
        <f aca="false">N44-L44</f>
        <v>261451</v>
      </c>
      <c r="L44" s="29" t="n">
        <v>19440</v>
      </c>
      <c r="M44" s="30" t="n">
        <f aca="false">L44/N44</f>
        <v>0.0692083406018705</v>
      </c>
      <c r="N44" s="29" t="n">
        <v>280891</v>
      </c>
      <c r="O44" s="31" t="n">
        <v>286121</v>
      </c>
      <c r="P44" s="24" t="n">
        <v>285636</v>
      </c>
      <c r="Q44" s="32" t="n">
        <v>172</v>
      </c>
      <c r="R44" s="32" t="n">
        <f aca="false">O44/Q44</f>
        <v>1663.49418604651</v>
      </c>
      <c r="S44" s="33" t="n">
        <v>25</v>
      </c>
      <c r="T44" s="29" t="n">
        <f aca="false">N44/S44</f>
        <v>11235.64</v>
      </c>
      <c r="U44" s="29" t="n">
        <v>25200</v>
      </c>
      <c r="V44" s="34" t="n">
        <f aca="false">'$'!C31</f>
        <v>2.118606</v>
      </c>
      <c r="W44" s="35" t="n">
        <f aca="false">SUM(C44:E44)/V44</f>
        <v>77458.5788957456</v>
      </c>
      <c r="X44" s="35" t="n">
        <f aca="false">C44/$V44</f>
        <v>44059.0322126908</v>
      </c>
      <c r="Y44" s="35" t="n">
        <f aca="false">D44/$V44</f>
        <v>7808.75254766578</v>
      </c>
      <c r="Z44" s="35" t="n">
        <f aca="false">E44/$V44</f>
        <v>25590.794135389</v>
      </c>
      <c r="AA44" s="36" t="n">
        <f aca="false">C44/((N44+U44)*V44)</f>
        <v>0.143940959429355</v>
      </c>
      <c r="AB44" s="36" t="n">
        <f aca="false">D44/((N44+U44)*V44)</f>
        <v>0.0255112125076065</v>
      </c>
      <c r="AC44" s="36" t="n">
        <f aca="false">E44/((N44+U44)*V44)</f>
        <v>0.0836051832147598</v>
      </c>
      <c r="AD44" s="36" t="n">
        <f aca="false">(C44+D44+E44)/((N44+U44)*V44)</f>
        <v>0.253057355151722</v>
      </c>
      <c r="AE44" s="36" t="n">
        <f aca="false">(C44+D44+E44)/((K44+U44)*V44)</f>
        <v>0.27021911277388</v>
      </c>
      <c r="AF44" s="37" t="n">
        <f aca="false">(P44/V44)/K44</f>
        <v>0.515670678225508</v>
      </c>
      <c r="AG44" s="38" t="n">
        <f aca="false">F44/($N44+$U44)</f>
        <v>0.3472697008406</v>
      </c>
      <c r="AH44" s="38" t="n">
        <f aca="false">G44/($N44+$U44)</f>
        <v>0.0713317281462049</v>
      </c>
      <c r="AI44" s="39" t="n">
        <f aca="false">I44/($N44+$U44)</f>
        <v>0.828424226782231</v>
      </c>
      <c r="AJ44" s="40" t="n">
        <f aca="false">C44/F44</f>
        <v>0.878147962677475</v>
      </c>
      <c r="AK44" s="40" t="n">
        <f aca="false">D44/G44</f>
        <v>0.757702207566181</v>
      </c>
      <c r="AL44" s="40" t="n">
        <f aca="false">E44/I44</f>
        <v>0.213811278163465</v>
      </c>
      <c r="AM44" s="41"/>
      <c r="AN44" s="42" t="n">
        <f aca="false">AJ44/$V44</f>
        <v>0.414493285999131</v>
      </c>
      <c r="AO44" s="42" t="n">
        <f aca="false">AK44/$V44</f>
        <v>0.357641868080323</v>
      </c>
      <c r="AP44" s="42" t="n">
        <f aca="false">AL44/$V44</f>
        <v>0.100920736636951</v>
      </c>
      <c r="AQ44" s="42" t="n">
        <f aca="false">AM44/$V44</f>
        <v>0</v>
      </c>
      <c r="AR44" s="43"/>
    </row>
    <row r="45" customFormat="false" ht="18.75" hidden="false" customHeight="true" outlineLevel="0" collapsed="false">
      <c r="A45" s="18" t="n">
        <v>2014</v>
      </c>
      <c r="B45" s="18" t="n">
        <v>7</v>
      </c>
      <c r="C45" s="24" t="n">
        <v>78040.75</v>
      </c>
      <c r="D45" s="24" t="n">
        <v>16448.06</v>
      </c>
      <c r="E45" s="25" t="n">
        <v>48507.79</v>
      </c>
      <c r="F45" s="26" t="n">
        <v>88869.71</v>
      </c>
      <c r="G45" s="26" t="n">
        <v>21471</v>
      </c>
      <c r="H45" s="26"/>
      <c r="I45" s="27" t="n">
        <v>226872</v>
      </c>
      <c r="J45" s="27"/>
      <c r="K45" s="28" t="n">
        <f aca="false">N45-L45</f>
        <v>204265</v>
      </c>
      <c r="L45" s="29" t="n">
        <v>16676</v>
      </c>
      <c r="M45" s="30" t="n">
        <f aca="false">L45/N45</f>
        <v>0.0754771635866589</v>
      </c>
      <c r="N45" s="29" t="n">
        <v>220941</v>
      </c>
      <c r="O45" s="31" t="n">
        <v>245392</v>
      </c>
      <c r="P45" s="24" t="n">
        <v>285636</v>
      </c>
      <c r="Q45" s="32" t="n">
        <v>174</v>
      </c>
      <c r="R45" s="32" t="n">
        <f aca="false">O45/Q45</f>
        <v>1410.29885057471</v>
      </c>
      <c r="S45" s="33" t="n">
        <v>25</v>
      </c>
      <c r="T45" s="29" t="n">
        <f aca="false">N45/S45</f>
        <v>8837.64</v>
      </c>
      <c r="U45" s="29" t="n">
        <v>31162</v>
      </c>
      <c r="V45" s="34" t="n">
        <f aca="false">'$'!C32</f>
        <v>2.119044</v>
      </c>
      <c r="W45" s="35" t="n">
        <f aca="false">SUM(C45:E45)/V45</f>
        <v>67481.6568226049</v>
      </c>
      <c r="X45" s="35" t="n">
        <f aca="false">C45/$V45</f>
        <v>36828.2819988636</v>
      </c>
      <c r="Y45" s="35" t="n">
        <f aca="false">D45/$V45</f>
        <v>7762.01909917869</v>
      </c>
      <c r="Z45" s="35" t="n">
        <f aca="false">E45/$V45</f>
        <v>22891.3557245626</v>
      </c>
      <c r="AA45" s="36" t="n">
        <f aca="false">C45/((N45+U45)*V45)</f>
        <v>0.146084267140271</v>
      </c>
      <c r="AB45" s="36" t="n">
        <f aca="false">D45/((N45+U45)*V45)</f>
        <v>0.0307890786669682</v>
      </c>
      <c r="AC45" s="36" t="n">
        <f aca="false">E45/((N45+U45)*V45)</f>
        <v>0.090801599840393</v>
      </c>
      <c r="AD45" s="36" t="n">
        <f aca="false">(C45+D45+E45)/((N45+U45)*V45)</f>
        <v>0.267674945647632</v>
      </c>
      <c r="AE45" s="36" t="n">
        <f aca="false">(C45+D45+E45)/((K45+U45)*V45)</f>
        <v>0.28663516428704</v>
      </c>
      <c r="AF45" s="37" t="n">
        <f aca="false">(P45/V45)/K45</f>
        <v>0.659901339266081</v>
      </c>
      <c r="AG45" s="38" t="n">
        <f aca="false">F45/($N45+$U45)</f>
        <v>0.352513496467714</v>
      </c>
      <c r="AH45" s="38" t="n">
        <f aca="false">G45/($N45+$U45)</f>
        <v>0.0851675703978136</v>
      </c>
      <c r="AI45" s="39" t="n">
        <f aca="false">I45/($N45+$U45)</f>
        <v>0.899917890703403</v>
      </c>
      <c r="AJ45" s="40" t="n">
        <f aca="false">C45/F45</f>
        <v>0.878147908888191</v>
      </c>
      <c r="AK45" s="40" t="n">
        <f aca="false">D45/G45</f>
        <v>0.766059335848354</v>
      </c>
      <c r="AL45" s="40" t="n">
        <f aca="false">E45/I45</f>
        <v>0.213811268027787</v>
      </c>
      <c r="AM45" s="41"/>
      <c r="AN45" s="42" t="n">
        <f aca="false">AJ45/$V45</f>
        <v>0.414407586104013</v>
      </c>
      <c r="AO45" s="42" t="n">
        <f aca="false">AK45/$V45</f>
        <v>0.36151176466763</v>
      </c>
      <c r="AP45" s="42" t="n">
        <f aca="false">AL45/$V45</f>
        <v>0.100899871842107</v>
      </c>
      <c r="AQ45" s="42" t="n">
        <f aca="false">AM45/$V45</f>
        <v>0</v>
      </c>
      <c r="AR45" s="43"/>
    </row>
    <row r="46" customFormat="false" ht="18.75" hidden="false" customHeight="true" outlineLevel="0" collapsed="false">
      <c r="A46" s="18" t="n">
        <v>2014</v>
      </c>
      <c r="B46" s="18" t="n">
        <v>8</v>
      </c>
      <c r="C46" s="24" t="n">
        <v>83325.68</v>
      </c>
      <c r="D46" s="24" t="n">
        <v>18280.89</v>
      </c>
      <c r="E46" s="25" t="n">
        <v>55710.05</v>
      </c>
      <c r="F46" s="26" t="n">
        <v>94887.96</v>
      </c>
      <c r="G46" s="26" t="n">
        <v>24154</v>
      </c>
      <c r="H46" s="26"/>
      <c r="I46" s="27" t="n">
        <v>260557</v>
      </c>
      <c r="J46" s="27"/>
      <c r="K46" s="28" t="n">
        <f aca="false">N46-L46</f>
        <v>250415</v>
      </c>
      <c r="L46" s="29" t="n">
        <v>20500</v>
      </c>
      <c r="M46" s="30" t="n">
        <f aca="false">L46/N46</f>
        <v>0.0756694904305779</v>
      </c>
      <c r="N46" s="29" t="n">
        <v>270915</v>
      </c>
      <c r="O46" s="31" t="n">
        <v>267822</v>
      </c>
      <c r="P46" s="24" t="n">
        <v>307878</v>
      </c>
      <c r="Q46" s="32" t="n">
        <v>174</v>
      </c>
      <c r="R46" s="32" t="n">
        <f aca="false">O46/Q46</f>
        <v>1539.20689655172</v>
      </c>
      <c r="S46" s="33" t="n">
        <v>28</v>
      </c>
      <c r="T46" s="29" t="n">
        <f aca="false">N46/S46</f>
        <v>9675.53571428571</v>
      </c>
      <c r="U46" s="29" t="n">
        <v>18828</v>
      </c>
      <c r="V46" s="34" t="n">
        <f aca="false">'$'!C33</f>
        <v>2.15926</v>
      </c>
      <c r="W46" s="35" t="n">
        <f aca="false">SUM(C46:E46)/V46</f>
        <v>72856.7286940896</v>
      </c>
      <c r="X46" s="35" t="n">
        <f aca="false">C46/$V46</f>
        <v>38589.9243259265</v>
      </c>
      <c r="Y46" s="35" t="n">
        <f aca="false">D46/$V46</f>
        <v>8466.27548326742</v>
      </c>
      <c r="Z46" s="35" t="n">
        <f aca="false">E46/$V46</f>
        <v>25800.5288848957</v>
      </c>
      <c r="AA46" s="36" t="n">
        <f aca="false">C46/((N46+U46)*V46)</f>
        <v>0.133186735575757</v>
      </c>
      <c r="AB46" s="36" t="n">
        <f aca="false">D46/((N46+U46)*V46)</f>
        <v>0.0292199483102868</v>
      </c>
      <c r="AC46" s="36" t="n">
        <f aca="false">E46/((N46+U46)*V46)</f>
        <v>0.0890462543871491</v>
      </c>
      <c r="AD46" s="36" t="n">
        <f aca="false">(C46+D46+E46)/((N46+U46)*V46)</f>
        <v>0.251452938273193</v>
      </c>
      <c r="AE46" s="36" t="n">
        <f aca="false">(C46+D46+E46)/((K46+U46)*V46)</f>
        <v>0.270598413678683</v>
      </c>
      <c r="AF46" s="37" t="n">
        <f aca="false">(P46/V46)/K46</f>
        <v>0.569394643540149</v>
      </c>
      <c r="AG46" s="38" t="n">
        <f aca="false">F46/($N46+$U46)</f>
        <v>0.327490086041768</v>
      </c>
      <c r="AH46" s="38" t="n">
        <f aca="false">G46/($N46+$U46)</f>
        <v>0.0833635325098449</v>
      </c>
      <c r="AI46" s="39" t="n">
        <f aca="false">I46/($N46+$U46)</f>
        <v>0.899269352495142</v>
      </c>
      <c r="AJ46" s="40" t="n">
        <f aca="false">C46/F46</f>
        <v>0.87814808116857</v>
      </c>
      <c r="AK46" s="40" t="n">
        <f aca="false">D46/G46</f>
        <v>0.756847313074439</v>
      </c>
      <c r="AL46" s="40" t="n">
        <f aca="false">E46/I46</f>
        <v>0.213811373327141</v>
      </c>
      <c r="AM46" s="41"/>
      <c r="AN46" s="42" t="n">
        <f aca="false">AJ46/$V46</f>
        <v>0.406689366342436</v>
      </c>
      <c r="AO46" s="42" t="n">
        <f aca="false">AK46/$V46</f>
        <v>0.350512357508794</v>
      </c>
      <c r="AP46" s="42" t="n">
        <f aca="false">AL46/$V46</f>
        <v>0.099020670658995</v>
      </c>
      <c r="AQ46" s="42" t="n">
        <f aca="false">AM46/$V46</f>
        <v>0</v>
      </c>
      <c r="AR46" s="43"/>
    </row>
    <row r="47" customFormat="false" ht="18.75" hidden="false" customHeight="true" outlineLevel="0" collapsed="false">
      <c r="A47" s="18" t="n">
        <v>2014</v>
      </c>
      <c r="B47" s="18" t="n">
        <v>9</v>
      </c>
      <c r="C47" s="24" t="n">
        <v>96420.6</v>
      </c>
      <c r="D47" s="24" t="n">
        <v>21985.19</v>
      </c>
      <c r="E47" s="25" t="n">
        <v>48077.52</v>
      </c>
      <c r="F47" s="26" t="n">
        <v>109799.95</v>
      </c>
      <c r="G47" s="26" t="n">
        <v>29101</v>
      </c>
      <c r="H47" s="26"/>
      <c r="I47" s="27" t="n">
        <v>224859.6</v>
      </c>
      <c r="J47" s="27"/>
      <c r="K47" s="28" t="n">
        <f aca="false">N47-L47</f>
        <v>315453</v>
      </c>
      <c r="L47" s="29" t="n">
        <v>18625</v>
      </c>
      <c r="M47" s="30" t="n">
        <f aca="false">L47/N47</f>
        <v>0.0557504534869102</v>
      </c>
      <c r="N47" s="29" t="n">
        <v>334078</v>
      </c>
      <c r="O47" s="31" t="n">
        <v>412224</v>
      </c>
      <c r="P47" s="24" t="n">
        <v>326395</v>
      </c>
      <c r="Q47" s="32" t="n">
        <v>187</v>
      </c>
      <c r="R47" s="32" t="n">
        <f aca="false">O47/Q47</f>
        <v>2204.4064171123</v>
      </c>
      <c r="S47" s="33" t="n">
        <v>28</v>
      </c>
      <c r="T47" s="29" t="n">
        <f aca="false">N47/S47</f>
        <v>11931.3571428571</v>
      </c>
      <c r="U47" s="29" t="n">
        <v>30300</v>
      </c>
      <c r="V47" s="34" t="n">
        <f aca="false">'$'!C34</f>
        <v>2.213771</v>
      </c>
      <c r="W47" s="35" t="n">
        <f aca="false">SUM(C47:E47)/V47</f>
        <v>75203.492140786</v>
      </c>
      <c r="X47" s="35" t="n">
        <f aca="false">C47/$V47</f>
        <v>43554.9115062037</v>
      </c>
      <c r="Y47" s="35" t="n">
        <f aca="false">D47/$V47</f>
        <v>9931.10398501019</v>
      </c>
      <c r="Z47" s="35" t="n">
        <f aca="false">E47/$V47</f>
        <v>21717.4766495722</v>
      </c>
      <c r="AA47" s="36" t="n">
        <f aca="false">C47/((N47+U47)*V47)</f>
        <v>0.119532220677987</v>
      </c>
      <c r="AB47" s="36" t="n">
        <f aca="false">D47/((N47+U47)*V47)</f>
        <v>0.0272549494892946</v>
      </c>
      <c r="AC47" s="36" t="n">
        <f aca="false">E47/((N47+U47)*V47)</f>
        <v>0.0596015035198946</v>
      </c>
      <c r="AD47" s="36" t="n">
        <f aca="false">(C47+D47+E47)/((N47+U47)*V47)</f>
        <v>0.206388673687177</v>
      </c>
      <c r="AE47" s="36" t="n">
        <f aca="false">(C47+D47+E47)/((K47+U47)*V47)</f>
        <v>0.21750640526846</v>
      </c>
      <c r="AF47" s="37" t="n">
        <f aca="false">(P47/V47)/K47</f>
        <v>0.46738647550532</v>
      </c>
      <c r="AG47" s="38" t="n">
        <f aca="false">F47/($N47+$U47)</f>
        <v>0.301335289177722</v>
      </c>
      <c r="AH47" s="38" t="n">
        <f aca="false">G47/($N47+$U47)</f>
        <v>0.0798648656065954</v>
      </c>
      <c r="AI47" s="52" t="n">
        <f aca="false">I47/($N47+$U47)</f>
        <v>0.617105313712683</v>
      </c>
      <c r="AJ47" s="40" t="n">
        <f aca="false">C47/F47</f>
        <v>0.878147940868826</v>
      </c>
      <c r="AK47" s="40" t="n">
        <f aca="false">D47/G47</f>
        <v>0.755478849524071</v>
      </c>
      <c r="AL47" s="40" t="n">
        <f aca="false">E47/I47</f>
        <v>0.21381128490845</v>
      </c>
      <c r="AM47" s="41"/>
      <c r="AN47" s="42" t="n">
        <f aca="false">AJ47/$V47</f>
        <v>0.396675148815675</v>
      </c>
      <c r="AO47" s="42" t="n">
        <f aca="false">AK47/$V47</f>
        <v>0.341263323769293</v>
      </c>
      <c r="AP47" s="42" t="n">
        <f aca="false">AL47/$V47</f>
        <v>0.0965823858513141</v>
      </c>
      <c r="AQ47" s="42" t="n">
        <f aca="false">AM47/$V47</f>
        <v>0</v>
      </c>
      <c r="AR47" s="43"/>
    </row>
    <row r="48" customFormat="false" ht="18.75" hidden="false" customHeight="true" outlineLevel="0" collapsed="false">
      <c r="A48" s="18" t="n">
        <v>2014</v>
      </c>
      <c r="B48" s="18" t="n">
        <v>10</v>
      </c>
      <c r="C48" s="24" t="n">
        <v>115280.36</v>
      </c>
      <c r="D48" s="24" t="n">
        <v>21704.39</v>
      </c>
      <c r="E48" s="25" t="n">
        <v>61831.92</v>
      </c>
      <c r="F48" s="26" t="n">
        <v>119678.67</v>
      </c>
      <c r="G48" s="26" t="n">
        <v>28726</v>
      </c>
      <c r="H48" s="26"/>
      <c r="I48" s="27" t="n">
        <v>276514.2</v>
      </c>
      <c r="J48" s="27"/>
      <c r="K48" s="28" t="n">
        <f aca="false">N48-L48</f>
        <v>289761</v>
      </c>
      <c r="L48" s="29" t="n">
        <v>16714</v>
      </c>
      <c r="M48" s="30" t="n">
        <f aca="false">L48/N48</f>
        <v>0.0545362590749653</v>
      </c>
      <c r="N48" s="29" t="n">
        <v>306475</v>
      </c>
      <c r="O48" s="31" t="n">
        <v>392664</v>
      </c>
      <c r="P48" s="24" t="n">
        <v>335869</v>
      </c>
      <c r="Q48" s="32" t="n">
        <v>212</v>
      </c>
      <c r="R48" s="32" t="n">
        <f aca="false">O48/Q48</f>
        <v>1852.18867924528</v>
      </c>
      <c r="S48" s="33" t="n">
        <v>25</v>
      </c>
      <c r="T48" s="29" t="n">
        <f aca="false">N48/S48</f>
        <v>12259</v>
      </c>
      <c r="U48" s="29" t="n">
        <v>48007</v>
      </c>
      <c r="V48" s="34" t="n">
        <f aca="false">'$'!C35</f>
        <v>2.25606</v>
      </c>
      <c r="W48" s="35" t="n">
        <f aca="false">SUM(C48:E48)/V48</f>
        <v>88125.612793986</v>
      </c>
      <c r="X48" s="35" t="n">
        <f aca="false">C48/$V48</f>
        <v>51098.0913628184</v>
      </c>
      <c r="Y48" s="35" t="n">
        <f aca="false">D48/$V48</f>
        <v>9620.48438428056</v>
      </c>
      <c r="Z48" s="35" t="n">
        <f aca="false">E48/$V48</f>
        <v>27407.037046887</v>
      </c>
      <c r="AA48" s="36" t="n">
        <f aca="false">C48/((N48+U48)*V48)</f>
        <v>0.144148620699551</v>
      </c>
      <c r="AB48" s="36" t="n">
        <f aca="false">D48/((N48+U48)*V48)</f>
        <v>0.0271395568301932</v>
      </c>
      <c r="AC48" s="36" t="n">
        <f aca="false">E48/((N48+U48)*V48)</f>
        <v>0.0773157368974646</v>
      </c>
      <c r="AD48" s="36" t="n">
        <f aca="false">(C48+D48+E48)/((N48+U48)*V48)</f>
        <v>0.248603914427209</v>
      </c>
      <c r="AE48" s="36" t="n">
        <f aca="false">(C48+D48+E48)/((K48+U48)*V48)</f>
        <v>0.260905748306488</v>
      </c>
      <c r="AF48" s="37" t="n">
        <f aca="false">(P48/V48)/K48</f>
        <v>0.513782542916995</v>
      </c>
      <c r="AG48" s="38" t="n">
        <f aca="false">F48/($N48+$U48)</f>
        <v>0.337615647621036</v>
      </c>
      <c r="AH48" s="38" t="n">
        <f aca="false">G48/($N48+$U48)</f>
        <v>0.0810365547474907</v>
      </c>
      <c r="AI48" s="39" t="n">
        <f aca="false">I48/($N48+$U48)</f>
        <v>0.780051455363037</v>
      </c>
      <c r="AJ48" s="44" t="n">
        <f aca="false">C48/F48</f>
        <v>0.963249006694342</v>
      </c>
      <c r="AK48" s="40" t="n">
        <f aca="false">D48/G48</f>
        <v>0.755566037735849</v>
      </c>
      <c r="AL48" s="40" t="n">
        <f aca="false">E48/I48</f>
        <v>0.223612096593954</v>
      </c>
      <c r="AM48" s="41"/>
      <c r="AN48" s="42" t="n">
        <f aca="false">AJ48/$V48</f>
        <v>0.426960722097082</v>
      </c>
      <c r="AO48" s="42" t="n">
        <f aca="false">AK48/$V48</f>
        <v>0.334905116768104</v>
      </c>
      <c r="AP48" s="42" t="n">
        <f aca="false">AL48/$V48</f>
        <v>0.0991162010735327</v>
      </c>
      <c r="AQ48" s="42" t="n">
        <f aca="false">AM48/$V48</f>
        <v>0</v>
      </c>
      <c r="AR48" s="43"/>
    </row>
    <row r="49" customFormat="false" ht="18.75" hidden="false" customHeight="true" outlineLevel="0" collapsed="false">
      <c r="A49" s="18" t="n">
        <v>2014</v>
      </c>
      <c r="B49" s="18" t="n">
        <v>11</v>
      </c>
      <c r="C49" s="24" t="n">
        <v>126066.04</v>
      </c>
      <c r="D49" s="24" t="n">
        <v>22161.16</v>
      </c>
      <c r="E49" s="25" t="n">
        <v>69876.31</v>
      </c>
      <c r="F49" s="26" t="n">
        <v>130875.86</v>
      </c>
      <c r="G49" s="26" t="n">
        <v>29336</v>
      </c>
      <c r="H49" s="26"/>
      <c r="I49" s="27" t="n">
        <v>312489</v>
      </c>
      <c r="J49" s="27"/>
      <c r="K49" s="28" t="n">
        <f aca="false">N49-L49</f>
        <v>308134</v>
      </c>
      <c r="L49" s="29" t="n">
        <v>16022</v>
      </c>
      <c r="M49" s="30" t="n">
        <f aca="false">L49/N49</f>
        <v>0.0494268191858241</v>
      </c>
      <c r="N49" s="29" t="n">
        <v>324156</v>
      </c>
      <c r="O49" s="31" t="n">
        <v>414277</v>
      </c>
      <c r="P49" s="24" t="n">
        <v>317701</v>
      </c>
      <c r="Q49" s="32" t="n">
        <v>202</v>
      </c>
      <c r="R49" s="32" t="n">
        <f aca="false">O49/Q49</f>
        <v>2050.87623762376</v>
      </c>
      <c r="S49" s="33" t="n">
        <v>27</v>
      </c>
      <c r="T49" s="29" t="n">
        <f aca="false">N49/S49</f>
        <v>12005.7777777778</v>
      </c>
      <c r="U49" s="29" t="n">
        <v>62310</v>
      </c>
      <c r="V49" s="34" t="n">
        <f aca="false">'$'!C36</f>
        <v>2.232761</v>
      </c>
      <c r="W49" s="35" t="n">
        <f aca="false">SUM(C49:E49)/V49</f>
        <v>97683.3212332175</v>
      </c>
      <c r="X49" s="35" t="n">
        <f aca="false">C49/$V49</f>
        <v>56461.9500251034</v>
      </c>
      <c r="Y49" s="35" t="n">
        <f aca="false">D49/$V49</f>
        <v>9925.45104469309</v>
      </c>
      <c r="Z49" s="35" t="n">
        <f aca="false">E49/$V49</f>
        <v>31295.920163421</v>
      </c>
      <c r="AA49" s="36" t="n">
        <f aca="false">C49/((N49+U49)*V49)</f>
        <v>0.146098104426013</v>
      </c>
      <c r="AB49" s="36" t="n">
        <f aca="false">D49/((N49+U49)*V49)</f>
        <v>0.0256825983260962</v>
      </c>
      <c r="AC49" s="36" t="n">
        <f aca="false">E49/((N49+U49)*V49)</f>
        <v>0.0809797502585505</v>
      </c>
      <c r="AD49" s="36" t="n">
        <f aca="false">(C49+D49+E49)/((N49+U49)*V49)</f>
        <v>0.252760453010659</v>
      </c>
      <c r="AE49" s="36" t="n">
        <f aca="false">(C49+D49+E49)/((K49+U49)*V49)</f>
        <v>0.263692545251691</v>
      </c>
      <c r="AF49" s="37" t="n">
        <f aca="false">(P49/V49)/K49</f>
        <v>0.461781704507167</v>
      </c>
      <c r="AG49" s="38" t="n">
        <f aca="false">F49/($N49+$U49)</f>
        <v>0.338647798253921</v>
      </c>
      <c r="AH49" s="38" t="n">
        <f aca="false">G49/($N49+$U49)</f>
        <v>0.0759083593382083</v>
      </c>
      <c r="AI49" s="39" t="n">
        <f aca="false">I49/($N49+$U49)</f>
        <v>0.808580832466504</v>
      </c>
      <c r="AJ49" s="40" t="n">
        <f aca="false">C49/F49</f>
        <v>0.963248990302719</v>
      </c>
      <c r="AK49" s="40" t="n">
        <f aca="false">D49/G49</f>
        <v>0.755425415871284</v>
      </c>
      <c r="AL49" s="40" t="n">
        <f aca="false">E49/I49</f>
        <v>0.223612063144623</v>
      </c>
      <c r="AM49" s="41"/>
      <c r="AN49" s="42" t="n">
        <f aca="false">AJ49/$V49</f>
        <v>0.431416076464395</v>
      </c>
      <c r="AO49" s="42" t="n">
        <f aca="false">AK49/$V49</f>
        <v>0.338336891351687</v>
      </c>
      <c r="AP49" s="42" t="n">
        <f aca="false">AL49/$V49</f>
        <v>0.100150469819485</v>
      </c>
      <c r="AQ49" s="42" t="n">
        <f aca="false">AM49/$V49</f>
        <v>0</v>
      </c>
      <c r="AR49" s="43"/>
    </row>
    <row r="50" customFormat="false" ht="18.75" hidden="false" customHeight="true" outlineLevel="0" collapsed="false">
      <c r="A50" s="18" t="n">
        <v>2014</v>
      </c>
      <c r="B50" s="18" t="n">
        <v>12</v>
      </c>
      <c r="C50" s="24" t="n">
        <v>131972.06</v>
      </c>
      <c r="D50" s="24" t="n">
        <f aca="false">27809.83-6094.95</f>
        <v>21714.88</v>
      </c>
      <c r="E50" s="25" t="n">
        <v>72037.74</v>
      </c>
      <c r="F50" s="26" t="n">
        <v>137007.2</v>
      </c>
      <c r="G50" s="26" t="n">
        <v>28740</v>
      </c>
      <c r="H50" s="26"/>
      <c r="I50" s="27" t="n">
        <v>322155</v>
      </c>
      <c r="J50" s="27"/>
      <c r="K50" s="28" t="n">
        <f aca="false">N50-L50</f>
        <v>311688</v>
      </c>
      <c r="L50" s="29" t="n">
        <v>16323</v>
      </c>
      <c r="M50" s="30" t="n">
        <f aca="false">L50/N50</f>
        <v>0.0497635750020579</v>
      </c>
      <c r="N50" s="29" t="n">
        <v>328011</v>
      </c>
      <c r="O50" s="31" t="n">
        <v>395378</v>
      </c>
      <c r="P50" s="24" t="n">
        <v>335338</v>
      </c>
      <c r="Q50" s="32" t="n">
        <v>221</v>
      </c>
      <c r="R50" s="32" t="n">
        <f aca="false">O50/Q50</f>
        <v>1789.0407239819</v>
      </c>
      <c r="S50" s="33" t="n">
        <v>28</v>
      </c>
      <c r="T50" s="29" t="n">
        <f aca="false">N50/S50</f>
        <v>11714.6785714286</v>
      </c>
      <c r="U50" s="29" t="n">
        <v>67366</v>
      </c>
      <c r="V50" s="34" t="n">
        <f aca="false">'$'!C37</f>
        <v>2.29694</v>
      </c>
      <c r="W50" s="35" t="n">
        <f aca="false">SUM(C50:E50)/V50</f>
        <v>98271.9095840553</v>
      </c>
      <c r="X50" s="35" t="n">
        <f aca="false">C50/$V50</f>
        <v>57455.5974470382</v>
      </c>
      <c r="Y50" s="35" t="n">
        <f aca="false">D50/$V50</f>
        <v>9453.82987801161</v>
      </c>
      <c r="Z50" s="35" t="n">
        <f aca="false">E50/$V50</f>
        <v>31362.4822590055</v>
      </c>
      <c r="AA50" s="36" t="n">
        <f aca="false">C50/((N50+U50)*V50)</f>
        <v>0.145318512323778</v>
      </c>
      <c r="AB50" s="36" t="n">
        <f aca="false">D50/((N50+U50)*V50)</f>
        <v>0.0239109252131804</v>
      </c>
      <c r="AC50" s="36" t="n">
        <f aca="false">E50/((N50+U50)*V50)</f>
        <v>0.0793229810004261</v>
      </c>
      <c r="AD50" s="36" t="n">
        <f aca="false">(C50+D50+E50)/((N50+U50)*V50)</f>
        <v>0.248552418537384</v>
      </c>
      <c r="AE50" s="36" t="n">
        <f aca="false">(C50+D50+E50)/((K50+U50)*V50)</f>
        <v>0.259255698618285</v>
      </c>
      <c r="AF50" s="37" t="n">
        <f aca="false">(P50/V50)/K50</f>
        <v>0.468395848045875</v>
      </c>
      <c r="AG50" s="38" t="n">
        <f aca="false">F50/($N50+$U50)</f>
        <v>0.346522938865943</v>
      </c>
      <c r="AH50" s="38" t="n">
        <f aca="false">G50/($N50+$U50)</f>
        <v>0.0726901160158532</v>
      </c>
      <c r="AI50" s="39" t="n">
        <f aca="false">I50/($N50+$U50)</f>
        <v>0.814804604213194</v>
      </c>
      <c r="AJ50" s="40" t="n">
        <f aca="false">C50/F50</f>
        <v>0.963249084719635</v>
      </c>
      <c r="AK50" s="40" t="n">
        <f aca="false">D50/G50</f>
        <v>0.755562978427279</v>
      </c>
      <c r="AL50" s="40" t="n">
        <f aca="false">E50/I50</f>
        <v>0.223612050100107</v>
      </c>
      <c r="AM50" s="41"/>
      <c r="AN50" s="42" t="n">
        <f aca="false">AJ50/$V50</f>
        <v>0.41936188351443</v>
      </c>
      <c r="AO50" s="42" t="n">
        <f aca="false">AK50/$V50</f>
        <v>0.328943280376187</v>
      </c>
      <c r="AP50" s="42" t="n">
        <f aca="false">AL50/$V50</f>
        <v>0.097352151166381</v>
      </c>
      <c r="AQ50" s="42" t="n">
        <f aca="false">AM50/$V50</f>
        <v>0</v>
      </c>
      <c r="AR50" s="43"/>
    </row>
    <row r="51" customFormat="false" ht="18.75" hidden="false" customHeight="true" outlineLevel="0" collapsed="false">
      <c r="A51" s="18" t="n">
        <v>2015</v>
      </c>
      <c r="B51" s="18" t="n">
        <v>1</v>
      </c>
      <c r="C51" s="24" t="n">
        <v>124111.64</v>
      </c>
      <c r="D51" s="24" t="n">
        <v>24642.82</v>
      </c>
      <c r="E51" s="25" t="n">
        <v>61903.96</v>
      </c>
      <c r="F51" s="26" t="n">
        <v>128846.89</v>
      </c>
      <c r="G51" s="26" t="n">
        <v>26173</v>
      </c>
      <c r="H51" s="26"/>
      <c r="I51" s="27" t="n">
        <v>276836.4</v>
      </c>
      <c r="J51" s="27"/>
      <c r="K51" s="28" t="n">
        <f aca="false">N51-L51</f>
        <v>259351</v>
      </c>
      <c r="L51" s="29" t="n">
        <v>29157</v>
      </c>
      <c r="M51" s="30" t="n">
        <f aca="false">L51/N51</f>
        <v>0.101061322389674</v>
      </c>
      <c r="N51" s="29" t="n">
        <v>288508</v>
      </c>
      <c r="O51" s="31" t="n">
        <v>292253</v>
      </c>
      <c r="P51" s="24" t="n">
        <v>351348</v>
      </c>
      <c r="Q51" s="32" t="n">
        <v>222</v>
      </c>
      <c r="R51" s="32" t="n">
        <f aca="false">O51/Q51</f>
        <v>1316.45495495496</v>
      </c>
      <c r="S51" s="33" t="n">
        <v>28</v>
      </c>
      <c r="T51" s="29" t="n">
        <f aca="false">N51/S51</f>
        <v>10303.8571428571</v>
      </c>
      <c r="U51" s="29" t="n">
        <v>50582</v>
      </c>
      <c r="V51" s="34" t="n">
        <f aca="false">'$'!C38</f>
        <v>2.33742</v>
      </c>
      <c r="W51" s="35" t="n">
        <f aca="false">SUM(C51:E51)/V51</f>
        <v>90124.3336670346</v>
      </c>
      <c r="X51" s="35" t="n">
        <f aca="false">C51/$V51</f>
        <v>53097.7060177461</v>
      </c>
      <c r="Y51" s="35" t="n">
        <f aca="false">D51/$V51</f>
        <v>10542.7437088756</v>
      </c>
      <c r="Z51" s="35" t="n">
        <f aca="false">E51/$V51</f>
        <v>26483.8839404129</v>
      </c>
      <c r="AA51" s="36" t="n">
        <f aca="false">C51/((N51+U51)*V51)</f>
        <v>0.156588828976809</v>
      </c>
      <c r="AB51" s="36" t="n">
        <f aca="false">D51/((N51+U51)*V51)</f>
        <v>0.0310912846408788</v>
      </c>
      <c r="AC51" s="36" t="n">
        <f aca="false">E51/((N51+U51)*V51)</f>
        <v>0.0781028161857116</v>
      </c>
      <c r="AD51" s="36" t="n">
        <f aca="false">(C51+D51+E51)/((N51+U51)*V51)</f>
        <v>0.265782929803399</v>
      </c>
      <c r="AE51" s="36" t="n">
        <f aca="false">(C51+D51+E51)/((K51+U51)*V51)</f>
        <v>0.290786504396223</v>
      </c>
      <c r="AF51" s="37" t="n">
        <f aca="false">(P51/V51)/K51</f>
        <v>0.579579216060758</v>
      </c>
      <c r="AG51" s="38" t="n">
        <f aca="false">F51/($N51+$U51)</f>
        <v>0.379978442301454</v>
      </c>
      <c r="AH51" s="38" t="n">
        <f aca="false">G51/($N51+$U51)</f>
        <v>0.0771859978176885</v>
      </c>
      <c r="AI51" s="39" t="n">
        <f aca="false">I51/($N51+$U51)</f>
        <v>0.816409802707246</v>
      </c>
      <c r="AJ51" s="40" t="n">
        <f aca="false">C51/F51</f>
        <v>0.963249015944428</v>
      </c>
      <c r="AK51" s="44" t="n">
        <f aca="false">D51/G51</f>
        <v>0.941535933977763</v>
      </c>
      <c r="AL51" s="40" t="n">
        <f aca="false">E51/I51</f>
        <v>0.223612068355173</v>
      </c>
      <c r="AM51" s="41"/>
      <c r="AN51" s="42" t="n">
        <f aca="false">AJ51/$V51</f>
        <v>0.412099244442346</v>
      </c>
      <c r="AO51" s="42" t="n">
        <f aca="false">AK51/$V51</f>
        <v>0.402809907495343</v>
      </c>
      <c r="AP51" s="42" t="n">
        <f aca="false">AL51/$V51</f>
        <v>0.0956661910804104</v>
      </c>
      <c r="AQ51" s="42" t="n">
        <f aca="false">AM51/$V51</f>
        <v>0</v>
      </c>
      <c r="AR51" s="43"/>
    </row>
    <row r="52" customFormat="false" ht="18.75" hidden="false" customHeight="true" outlineLevel="0" collapsed="false">
      <c r="A52" s="18" t="n">
        <v>2015</v>
      </c>
      <c r="B52" s="18" t="n">
        <v>2</v>
      </c>
      <c r="C52" s="24" t="n">
        <v>91115.85</v>
      </c>
      <c r="D52" s="24" t="n">
        <v>16089.19</v>
      </c>
      <c r="E52" s="25" t="n">
        <v>46564.2</v>
      </c>
      <c r="F52" s="26" t="n">
        <v>94592.2</v>
      </c>
      <c r="G52" s="26" t="n">
        <v>17016</v>
      </c>
      <c r="H52" s="26"/>
      <c r="I52" s="27" t="n">
        <v>208236.6</v>
      </c>
      <c r="J52" s="27"/>
      <c r="K52" s="28" t="n">
        <f aca="false">N52-L52</f>
        <v>163169</v>
      </c>
      <c r="L52" s="29" t="n">
        <v>21310</v>
      </c>
      <c r="M52" s="30" t="n">
        <f aca="false">L52/N52</f>
        <v>0.115514503005762</v>
      </c>
      <c r="N52" s="29" t="n">
        <v>184479</v>
      </c>
      <c r="O52" s="31" t="n">
        <v>195267</v>
      </c>
      <c r="P52" s="24" t="n">
        <v>266581</v>
      </c>
      <c r="Q52" s="32" t="n">
        <v>192</v>
      </c>
      <c r="R52" s="32" t="n">
        <f aca="false">O52/Q52</f>
        <v>1017.015625</v>
      </c>
      <c r="S52" s="33" t="n">
        <v>23</v>
      </c>
      <c r="T52" s="29" t="n">
        <f aca="false">N52/S52</f>
        <v>8020.82608695652</v>
      </c>
      <c r="U52" s="29" t="n">
        <v>45356</v>
      </c>
      <c r="V52" s="34" t="n">
        <f aca="false">'$'!C39</f>
        <v>2.465029</v>
      </c>
      <c r="W52" s="35" t="n">
        <f aca="false">SUM(C52:E52)/V52</f>
        <v>62380.2965401218</v>
      </c>
      <c r="X52" s="35" t="n">
        <f aca="false">C52/$V52</f>
        <v>36963.3988078842</v>
      </c>
      <c r="Y52" s="35" t="n">
        <f aca="false">D52/$V52</f>
        <v>6526.97797875806</v>
      </c>
      <c r="Z52" s="35" t="n">
        <f aca="false">E52/$V52</f>
        <v>18889.9197534796</v>
      </c>
      <c r="AA52" s="36" t="n">
        <f aca="false">C52/((N52+U52)*V52)</f>
        <v>0.160825804633255</v>
      </c>
      <c r="AB52" s="36" t="n">
        <f aca="false">D52/((N52+U52)*V52)</f>
        <v>0.0283985379892447</v>
      </c>
      <c r="AC52" s="36" t="n">
        <f aca="false">E52/((N52+U52)*V52)</f>
        <v>0.0821890475927495</v>
      </c>
      <c r="AD52" s="36" t="n">
        <f aca="false">(C52+D52+E52)/((N52+U52)*V52)</f>
        <v>0.271413390215249</v>
      </c>
      <c r="AE52" s="36" t="n">
        <f aca="false">(C52+D52+E52)/((K52+U52)*V52)</f>
        <v>0.299150205203797</v>
      </c>
      <c r="AF52" s="37" t="n">
        <f aca="false">(P52/V52)/K52</f>
        <v>0.662780172753696</v>
      </c>
      <c r="AG52" s="38" t="n">
        <f aca="false">F52/($N52+$U52)</f>
        <v>0.411565688428655</v>
      </c>
      <c r="AH52" s="38" t="n">
        <f aca="false">G52/($N52+$U52)</f>
        <v>0.0740357212783083</v>
      </c>
      <c r="AI52" s="39" t="n">
        <f aca="false">I52/($N52+$U52)</f>
        <v>0.906026497269781</v>
      </c>
      <c r="AJ52" s="40" t="n">
        <f aca="false">C52/F52</f>
        <v>0.963249083962526</v>
      </c>
      <c r="AK52" s="40" t="n">
        <f aca="false">D52/G52</f>
        <v>0.945533027738599</v>
      </c>
      <c r="AL52" s="40" t="n">
        <f aca="false">E52/I52</f>
        <v>0.223611987518044</v>
      </c>
      <c r="AM52" s="41"/>
      <c r="AN52" s="42" t="n">
        <f aca="false">AJ52/$V52</f>
        <v>0.390765822212447</v>
      </c>
      <c r="AO52" s="42" t="n">
        <f aca="false">AK52/$V52</f>
        <v>0.383578865700403</v>
      </c>
      <c r="AP52" s="42" t="n">
        <f aca="false">AL52/$V52</f>
        <v>0.0907137350181456</v>
      </c>
      <c r="AQ52" s="42" t="n">
        <f aca="false">AM52/$V52</f>
        <v>0</v>
      </c>
      <c r="AR52" s="43"/>
    </row>
    <row r="53" customFormat="false" ht="18.75" hidden="false" customHeight="true" outlineLevel="0" collapsed="false">
      <c r="A53" s="18" t="n">
        <v>2015</v>
      </c>
      <c r="B53" s="18" t="n">
        <v>3</v>
      </c>
      <c r="C53" s="24" t="n">
        <v>114173.87</v>
      </c>
      <c r="D53" s="24" t="n">
        <v>17228.8</v>
      </c>
      <c r="E53" s="25" t="n">
        <v>59819.4</v>
      </c>
      <c r="F53" s="26" t="n">
        <v>118529.95</v>
      </c>
      <c r="G53" s="26" t="n">
        <v>18236</v>
      </c>
      <c r="H53" s="26"/>
      <c r="I53" s="27" t="n">
        <v>267514.2</v>
      </c>
      <c r="J53" s="27"/>
      <c r="K53" s="28" t="n">
        <f aca="false">N53-L53</f>
        <v>235748</v>
      </c>
      <c r="L53" s="29" t="n">
        <v>42644</v>
      </c>
      <c r="M53" s="30" t="n">
        <f aca="false">L53/N53</f>
        <v>0.153179689071525</v>
      </c>
      <c r="N53" s="29" t="n">
        <v>278392</v>
      </c>
      <c r="O53" s="31" t="n">
        <v>263150</v>
      </c>
      <c r="P53" s="24" t="n">
        <v>334194</v>
      </c>
      <c r="Q53" s="32" t="n">
        <v>190</v>
      </c>
      <c r="R53" s="32" t="n">
        <f aca="false">O53/Q53</f>
        <v>1385</v>
      </c>
      <c r="S53" s="33" t="n">
        <v>27</v>
      </c>
      <c r="T53" s="29" t="n">
        <f aca="false">N53/S53</f>
        <v>10310.8148148148</v>
      </c>
      <c r="U53" s="29" t="n">
        <v>49780</v>
      </c>
      <c r="V53" s="34" t="n">
        <f aca="false">'$'!C40</f>
        <v>2.595899</v>
      </c>
      <c r="W53" s="35" t="n">
        <f aca="false">SUM(C53:E53)/V53</f>
        <v>73663.1394364727</v>
      </c>
      <c r="X53" s="35" t="n">
        <f aca="false">C53/$V53</f>
        <v>43982.4007020304</v>
      </c>
      <c r="Y53" s="35" t="n">
        <f aca="false">D53/$V53</f>
        <v>6636.93001923418</v>
      </c>
      <c r="Z53" s="35" t="n">
        <f aca="false">E53/$V53</f>
        <v>23043.8087152081</v>
      </c>
      <c r="AA53" s="36" t="n">
        <f aca="false">C53/((N53+U53)*V53)</f>
        <v>0.134022405025506</v>
      </c>
      <c r="AB53" s="36" t="n">
        <f aca="false">D53/((N53+U53)*V53)</f>
        <v>0.0202239375060462</v>
      </c>
      <c r="AC53" s="36" t="n">
        <f aca="false">E53/((N53+U53)*V53)</f>
        <v>0.0702186923784116</v>
      </c>
      <c r="AD53" s="36" t="n">
        <f aca="false">(C53+D53+E53)/((N53+U53)*V53)</f>
        <v>0.224465034909964</v>
      </c>
      <c r="AE53" s="36" t="n">
        <f aca="false">(C53+D53+E53)/((K53+U53)*V53)</f>
        <v>0.257989196984088</v>
      </c>
      <c r="AF53" s="37" t="n">
        <f aca="false">(P53/V53)/K53</f>
        <v>0.546088260348301</v>
      </c>
      <c r="AG53" s="38" t="n">
        <f aca="false">F53/($N53+$U53)</f>
        <v>0.361182398254574</v>
      </c>
      <c r="AH53" s="38" t="n">
        <f aca="false">G53/($N53+$U53)</f>
        <v>0.0555684214375389</v>
      </c>
      <c r="AI53" s="39" t="n">
        <f aca="false">I53/($N53+$U53)</f>
        <v>0.815164608802701</v>
      </c>
      <c r="AJ53" s="40" t="n">
        <f aca="false">C53/F53</f>
        <v>0.963249119737248</v>
      </c>
      <c r="AK53" s="40" t="n">
        <f aca="false">D53/G53</f>
        <v>0.944768589602983</v>
      </c>
      <c r="AL53" s="40" t="n">
        <f aca="false">E53/I53</f>
        <v>0.22361205498624</v>
      </c>
      <c r="AM53" s="41"/>
      <c r="AN53" s="42" t="n">
        <f aca="false">AJ53/$V53</f>
        <v>0.371065715475543</v>
      </c>
      <c r="AO53" s="42" t="n">
        <f aca="false">AK53/$V53</f>
        <v>0.363946590219027</v>
      </c>
      <c r="AP53" s="42" t="n">
        <f aca="false">AL53/$V53</f>
        <v>0.0861405066168753</v>
      </c>
      <c r="AQ53" s="42" t="n">
        <f aca="false">AM53/$V53</f>
        <v>0</v>
      </c>
      <c r="AR53" s="43"/>
    </row>
    <row r="54" customFormat="false" ht="18.75" hidden="false" customHeight="true" outlineLevel="0" collapsed="false">
      <c r="A54" s="18" t="n">
        <v>2015</v>
      </c>
      <c r="B54" s="18" t="n">
        <v>4</v>
      </c>
      <c r="C54" s="24" t="n">
        <v>113218.77</v>
      </c>
      <c r="D54" s="24" t="n">
        <v>18008.78</v>
      </c>
      <c r="E54" s="25" t="n">
        <v>53025.99</v>
      </c>
      <c r="F54" s="26" t="n">
        <v>117538.42</v>
      </c>
      <c r="G54" s="26" t="n">
        <v>19071</v>
      </c>
      <c r="H54" s="26"/>
      <c r="I54" s="27" t="n">
        <v>237133.8</v>
      </c>
      <c r="J54" s="27"/>
      <c r="K54" s="28" t="n">
        <f aca="false">N54-L54</f>
        <v>273675</v>
      </c>
      <c r="L54" s="29" t="n">
        <v>32733</v>
      </c>
      <c r="M54" s="30" t="n">
        <f aca="false">L54/N54</f>
        <v>0.106828150701026</v>
      </c>
      <c r="N54" s="29" t="n">
        <v>306408</v>
      </c>
      <c r="O54" s="31" t="n">
        <v>294791</v>
      </c>
      <c r="P54" s="24" t="n">
        <v>341299</v>
      </c>
      <c r="Q54" s="32" t="n">
        <v>172</v>
      </c>
      <c r="R54" s="32" t="n">
        <f aca="false">O54/Q54</f>
        <v>1713.9011627907</v>
      </c>
      <c r="S54" s="33" t="n">
        <v>28</v>
      </c>
      <c r="T54" s="29" t="n">
        <f aca="false">N54/S54</f>
        <v>10943.1428571429</v>
      </c>
      <c r="U54" s="29" t="n">
        <v>31664</v>
      </c>
      <c r="V54" s="34" t="n">
        <f aca="false">'$'!C41</f>
        <v>2.651767</v>
      </c>
      <c r="W54" s="35" t="n">
        <f aca="false">SUM(C54:E54)/V54</f>
        <v>69483.3067912829</v>
      </c>
      <c r="X54" s="35" t="n">
        <f aca="false">C54/$V54</f>
        <v>42695.5950503947</v>
      </c>
      <c r="Y54" s="35" t="n">
        <f aca="false">D54/$V54</f>
        <v>6791.23769169765</v>
      </c>
      <c r="Z54" s="35" t="n">
        <f aca="false">E54/$V54</f>
        <v>19996.4740491906</v>
      </c>
      <c r="AA54" s="36" t="n">
        <f aca="false">C54/((N54+U54)*V54)</f>
        <v>0.126291426235816</v>
      </c>
      <c r="AB54" s="36" t="n">
        <f aca="false">D54/((N54+U54)*V54)</f>
        <v>0.0200881400757757</v>
      </c>
      <c r="AC54" s="36" t="n">
        <f aca="false">E54/((N54+U54)*V54)</f>
        <v>0.0591485661314471</v>
      </c>
      <c r="AD54" s="36" t="n">
        <f aca="false">(C54+D54+E54)/((N54+U54)*V54)</f>
        <v>0.205528132443039</v>
      </c>
      <c r="AE54" s="36" t="n">
        <f aca="false">(C54+D54+E54)/((K54+U54)*V54)</f>
        <v>0.227561191958063</v>
      </c>
      <c r="AF54" s="37" t="n">
        <f aca="false">(P54/V54)/K54</f>
        <v>0.470288682240458</v>
      </c>
      <c r="AG54" s="38" t="n">
        <f aca="false">F54/($N54+$U54)</f>
        <v>0.347672744267493</v>
      </c>
      <c r="AH54" s="38" t="n">
        <f aca="false">G54/($N54+$U54)</f>
        <v>0.0564110603658392</v>
      </c>
      <c r="AI54" s="39" t="n">
        <f aca="false">I54/($N54+$U54)</f>
        <v>0.701429872926477</v>
      </c>
      <c r="AJ54" s="40" t="n">
        <f aca="false">C54/F54</f>
        <v>0.963249038059215</v>
      </c>
      <c r="AK54" s="40" t="n">
        <f aca="false">D54/G54</f>
        <v>0.944301819516543</v>
      </c>
      <c r="AL54" s="40" t="n">
        <f aca="false">E54/I54</f>
        <v>0.223612112655387</v>
      </c>
      <c r="AM54" s="41"/>
      <c r="AN54" s="42" t="n">
        <f aca="false">AJ54/$V54</f>
        <v>0.363247992021627</v>
      </c>
      <c r="AO54" s="42" t="n">
        <f aca="false">AK54/$V54</f>
        <v>0.356102862550346</v>
      </c>
      <c r="AP54" s="42" t="n">
        <f aca="false">AL54/$V54</f>
        <v>0.0843257015625381</v>
      </c>
      <c r="AQ54" s="42" t="n">
        <f aca="false">AM54/$V54</f>
        <v>0</v>
      </c>
      <c r="AR54" s="43"/>
    </row>
    <row r="55" customFormat="false" ht="18.75" hidden="false" customHeight="true" outlineLevel="0" collapsed="false">
      <c r="A55" s="18" t="n">
        <v>2015</v>
      </c>
      <c r="B55" s="18" t="n">
        <v>5</v>
      </c>
      <c r="C55" s="24" t="n">
        <v>97775.74</v>
      </c>
      <c r="D55" s="24" t="n">
        <v>20770.02</v>
      </c>
      <c r="E55" s="25" t="n">
        <v>51776.22</v>
      </c>
      <c r="F55" s="26" t="n">
        <v>101506.2</v>
      </c>
      <c r="G55" s="26" t="n">
        <v>22027</v>
      </c>
      <c r="H55" s="26"/>
      <c r="I55" s="27" t="n">
        <v>231544.8</v>
      </c>
      <c r="J55" s="27"/>
      <c r="K55" s="28" t="n">
        <f aca="false">N55-L55</f>
        <v>250757</v>
      </c>
      <c r="L55" s="29" t="n">
        <v>20522</v>
      </c>
      <c r="M55" s="30" t="n">
        <f aca="false">L55/N55</f>
        <v>0.0756490550319044</v>
      </c>
      <c r="N55" s="29" t="n">
        <v>271279</v>
      </c>
      <c r="O55" s="31" t="n">
        <v>267289</v>
      </c>
      <c r="P55" s="24" t="n">
        <v>316504</v>
      </c>
      <c r="Q55" s="32" t="n">
        <v>177</v>
      </c>
      <c r="R55" s="32" t="n">
        <f aca="false">O55/Q55</f>
        <v>1510.10734463277</v>
      </c>
      <c r="S55" s="33" t="n">
        <v>26</v>
      </c>
      <c r="T55" s="29" t="n">
        <f aca="false">N55/S55</f>
        <v>10433.8076923077</v>
      </c>
      <c r="U55" s="29" t="n">
        <v>30362</v>
      </c>
      <c r="V55" s="34" t="n">
        <f aca="false">'$'!C42</f>
        <v>2.644839</v>
      </c>
      <c r="W55" s="35" t="n">
        <f aca="false">SUM(C55:E55)/V55</f>
        <v>64397.8631591564</v>
      </c>
      <c r="X55" s="35" t="n">
        <f aca="false">C55/$V55</f>
        <v>36968.5035648673</v>
      </c>
      <c r="Y55" s="35" t="n">
        <f aca="false">D55/$V55</f>
        <v>7853.03755729555</v>
      </c>
      <c r="Z55" s="35" t="n">
        <f aca="false">E55/$V55</f>
        <v>19576.3220369936</v>
      </c>
      <c r="AA55" s="36" t="n">
        <f aca="false">C55/((N55+U55)*V55)</f>
        <v>0.122557953212154</v>
      </c>
      <c r="AB55" s="36" t="n">
        <f aca="false">D55/((N55+U55)*V55)</f>
        <v>0.0260343837783841</v>
      </c>
      <c r="AC55" s="36" t="n">
        <f aca="false">E55/((N55+U55)*V55)</f>
        <v>0.0648994070335052</v>
      </c>
      <c r="AD55" s="36" t="n">
        <f aca="false">(C55+D55+E55)/((N55+U55)*V55)</f>
        <v>0.213491744024043</v>
      </c>
      <c r="AE55" s="36" t="n">
        <f aca="false">(C55+D55+E55)/((K55+U55)*V55)</f>
        <v>0.229076879041105</v>
      </c>
      <c r="AF55" s="37" t="n">
        <f aca="false">(P55/V55)/K55</f>
        <v>0.477229077587275</v>
      </c>
      <c r="AG55" s="38" t="n">
        <f aca="false">F55/($N55+$U55)</f>
        <v>0.336513272399972</v>
      </c>
      <c r="AH55" s="38" t="n">
        <f aca="false">G55/($N55+$U55)</f>
        <v>0.0730238926405893</v>
      </c>
      <c r="AI55" s="39" t="n">
        <f aca="false">I55/($N55+$U55)</f>
        <v>0.767617134275513</v>
      </c>
      <c r="AJ55" s="40" t="n">
        <f aca="false">C55/F55</f>
        <v>0.963248944399455</v>
      </c>
      <c r="AK55" s="40" t="n">
        <f aca="false">D55/G55</f>
        <v>0.942934580287829</v>
      </c>
      <c r="AL55" s="40" t="n">
        <f aca="false">E55/I55</f>
        <v>0.2236121044394</v>
      </c>
      <c r="AM55" s="41"/>
      <c r="AN55" s="42" t="n">
        <f aca="false">AJ55/$V55</f>
        <v>0.364199463331967</v>
      </c>
      <c r="AO55" s="42" t="n">
        <f aca="false">AK55/$V55</f>
        <v>0.356518706918579</v>
      </c>
      <c r="AP55" s="42" t="n">
        <f aca="false">AL55/$V55</f>
        <v>0.0845465846652292</v>
      </c>
      <c r="AQ55" s="42" t="n">
        <f aca="false">AM55/$V55</f>
        <v>0</v>
      </c>
      <c r="AR55" s="43"/>
    </row>
    <row r="56" customFormat="false" ht="18.75" hidden="false" customHeight="true" outlineLevel="0" collapsed="false">
      <c r="A56" s="18" t="n">
        <v>2015</v>
      </c>
      <c r="B56" s="18" t="n">
        <v>6</v>
      </c>
      <c r="C56" s="24" t="n">
        <v>102918.73</v>
      </c>
      <c r="D56" s="24" t="n">
        <f aca="false">20091.85</f>
        <v>20091.85</v>
      </c>
      <c r="E56" s="25" t="n">
        <f aca="false">57861.23</f>
        <v>57861.23</v>
      </c>
      <c r="F56" s="26" t="n">
        <v>106845.4</v>
      </c>
      <c r="G56" s="26" t="n">
        <v>21301</v>
      </c>
      <c r="H56" s="26"/>
      <c r="I56" s="27" t="n">
        <v>258757.2</v>
      </c>
      <c r="J56" s="27"/>
      <c r="K56" s="28" t="n">
        <f aca="false">N56-L56</f>
        <v>270643</v>
      </c>
      <c r="L56" s="29" t="n">
        <v>26426</v>
      </c>
      <c r="M56" s="30" t="n">
        <f aca="false">L56/N56</f>
        <v>0.0889557644856919</v>
      </c>
      <c r="N56" s="29" t="n">
        <v>297069</v>
      </c>
      <c r="O56" s="31" t="n">
        <v>302845</v>
      </c>
      <c r="P56" s="24" t="n">
        <v>335388</v>
      </c>
      <c r="Q56" s="32" t="n">
        <v>185</v>
      </c>
      <c r="R56" s="32" t="n">
        <f aca="false">O56/Q56</f>
        <v>1637</v>
      </c>
      <c r="S56" s="33" t="n">
        <v>27</v>
      </c>
      <c r="T56" s="29" t="n">
        <f aca="false">N56/S56</f>
        <v>11002.5555555556</v>
      </c>
      <c r="U56" s="29" t="n">
        <v>39525</v>
      </c>
      <c r="V56" s="34" t="n">
        <f aca="false">'$'!C43</f>
        <v>2.695537</v>
      </c>
      <c r="W56" s="35" t="n">
        <f aca="false">SUM(C56:E56)/V56</f>
        <v>67100.4738573427</v>
      </c>
      <c r="X56" s="35" t="n">
        <f aca="false">C56/$V56</f>
        <v>38181.1601918282</v>
      </c>
      <c r="Y56" s="35" t="n">
        <f aca="false">D56/$V56</f>
        <v>7453.746693145</v>
      </c>
      <c r="Z56" s="35" t="n">
        <f aca="false">E56/$V56</f>
        <v>21465.5669723695</v>
      </c>
      <c r="AA56" s="36" t="n">
        <f aca="false">C56/((N56+U56)*V56)</f>
        <v>0.113433870454697</v>
      </c>
      <c r="AB56" s="36" t="n">
        <f aca="false">D56/((N56+U56)*V56)</f>
        <v>0.022144621392969</v>
      </c>
      <c r="AC56" s="36" t="n">
        <f aca="false">E56/((N56+U56)*V56)</f>
        <v>0.0637728746572117</v>
      </c>
      <c r="AD56" s="36" t="n">
        <f aca="false">(C56+D56+E56)/((N56+U56)*V56)</f>
        <v>0.199351366504877</v>
      </c>
      <c r="AE56" s="36" t="n">
        <f aca="false">(C56+D56+E56)/((K56+U56)*V56)</f>
        <v>0.216335901373909</v>
      </c>
      <c r="AF56" s="37" t="n">
        <f aca="false">(P56/V56)/K56</f>
        <v>0.459732729552556</v>
      </c>
      <c r="AG56" s="38" t="n">
        <f aca="false">F56/($N56+$U56)</f>
        <v>0.317431089086555</v>
      </c>
      <c r="AH56" s="38" t="n">
        <f aca="false">G56/($N56+$U56)</f>
        <v>0.063283956339091</v>
      </c>
      <c r="AI56" s="39" t="n">
        <f aca="false">I56/($N56+$U56)</f>
        <v>0.768751671152784</v>
      </c>
      <c r="AJ56" s="40" t="n">
        <f aca="false">C56/F56</f>
        <v>0.963249049561329</v>
      </c>
      <c r="AK56" s="40" t="n">
        <f aca="false">D56/G56</f>
        <v>0.943235059386883</v>
      </c>
      <c r="AL56" s="40" t="n">
        <f aca="false">E56/I56</f>
        <v>0.223612057944668</v>
      </c>
      <c r="AM56" s="41"/>
      <c r="AN56" s="42" t="n">
        <f aca="false">AJ56/$V56</f>
        <v>0.357349592886808</v>
      </c>
      <c r="AO56" s="42" t="n">
        <f aca="false">AK56/$V56</f>
        <v>0.34992473091146</v>
      </c>
      <c r="AP56" s="42" t="n">
        <f aca="false">AL56/$V56</f>
        <v>0.0829564045845662</v>
      </c>
      <c r="AQ56" s="42" t="n">
        <f aca="false">AM56/$V56</f>
        <v>0</v>
      </c>
      <c r="AR56" s="43"/>
    </row>
    <row r="57" customFormat="false" ht="18.75" hidden="false" customHeight="true" outlineLevel="0" collapsed="false">
      <c r="A57" s="18" t="n">
        <v>2015</v>
      </c>
      <c r="B57" s="18" t="n">
        <v>7</v>
      </c>
      <c r="C57" s="24" t="n">
        <v>80617.71</v>
      </c>
      <c r="D57" s="24" t="n">
        <v>17563.21</v>
      </c>
      <c r="E57" s="25" t="n">
        <v>50131.59</v>
      </c>
      <c r="F57" s="26" t="n">
        <v>83693.52</v>
      </c>
      <c r="G57" s="26" t="n">
        <v>18594</v>
      </c>
      <c r="H57" s="26"/>
      <c r="I57" s="27" t="n">
        <v>224190</v>
      </c>
      <c r="J57" s="27"/>
      <c r="K57" s="28" t="n">
        <f aca="false">N57-L57</f>
        <v>247440</v>
      </c>
      <c r="L57" s="29" t="n">
        <v>14695</v>
      </c>
      <c r="M57" s="30" t="n">
        <f aca="false">L57/N57</f>
        <v>0.0560589009479848</v>
      </c>
      <c r="N57" s="29" t="n">
        <v>262135</v>
      </c>
      <c r="O57" s="31" t="n">
        <v>320003</v>
      </c>
      <c r="P57" s="24" t="n">
        <v>347868</v>
      </c>
      <c r="Q57" s="32" t="n">
        <v>181</v>
      </c>
      <c r="R57" s="32" t="n">
        <f aca="false">O57/Q57</f>
        <v>1767.97237569061</v>
      </c>
      <c r="S57" s="33" t="n">
        <v>26</v>
      </c>
      <c r="T57" s="29" t="n">
        <f aca="false">N57/S57</f>
        <v>10082.1153846154</v>
      </c>
      <c r="U57" s="29" t="n">
        <v>15852</v>
      </c>
      <c r="V57" s="34" t="n">
        <f aca="false">'$'!C44</f>
        <v>2.697111</v>
      </c>
      <c r="W57" s="35" t="n">
        <f aca="false">SUM(C57:E57)/V57</f>
        <v>54989.3979150283</v>
      </c>
      <c r="X57" s="35" t="n">
        <f aca="false">C57/$V57</f>
        <v>29890.3938325119</v>
      </c>
      <c r="Y57" s="35" t="n">
        <f aca="false">D57/$V57</f>
        <v>6511.8602830955</v>
      </c>
      <c r="Z57" s="35" t="n">
        <f aca="false">E57/$V57</f>
        <v>18587.1437994209</v>
      </c>
      <c r="AA57" s="36" t="n">
        <f aca="false">C57/((N57+U57)*V57)</f>
        <v>0.107524430396069</v>
      </c>
      <c r="AB57" s="36" t="n">
        <f aca="false">D57/((N57+U57)*V57)</f>
        <v>0.0234250532690216</v>
      </c>
      <c r="AC57" s="36" t="n">
        <f aca="false">E57/((N57+U57)*V57)</f>
        <v>0.066863356198027</v>
      </c>
      <c r="AD57" s="36" t="n">
        <f aca="false">(C57+D57+E57)/((N57+U57)*V57)</f>
        <v>0.197812839863117</v>
      </c>
      <c r="AE57" s="36" t="n">
        <f aca="false">(C57+D57+E57)/((K57+U57)*V57)</f>
        <v>0.208853280445393</v>
      </c>
      <c r="AF57" s="37" t="n">
        <f aca="false">(P57/V57)/K57</f>
        <v>0.521249621996927</v>
      </c>
      <c r="AG57" s="38" t="n">
        <f aca="false">F57/($N57+$U57)</f>
        <v>0.30106990614669</v>
      </c>
      <c r="AH57" s="38" t="n">
        <f aca="false">G57/($N57+$U57)</f>
        <v>0.0668880199433786</v>
      </c>
      <c r="AI57" s="39" t="n">
        <f aca="false">I57/($N57+$U57)</f>
        <v>0.806476561853612</v>
      </c>
      <c r="AJ57" s="40" t="n">
        <f aca="false">C57/F57</f>
        <v>0.963249126097218</v>
      </c>
      <c r="AK57" s="40" t="n">
        <f aca="false">D57/G57</f>
        <v>0.944563299989244</v>
      </c>
      <c r="AL57" s="40" t="n">
        <f aca="false">E57/I57</f>
        <v>0.223612070119095</v>
      </c>
      <c r="AM57" s="41"/>
      <c r="AN57" s="42" t="n">
        <f aca="false">AJ57/$V57</f>
        <v>0.357141076543464</v>
      </c>
      <c r="AO57" s="42" t="n">
        <f aca="false">AK57/$V57</f>
        <v>0.350212987151528</v>
      </c>
      <c r="AP57" s="42" t="n">
        <f aca="false">AL57/$V57</f>
        <v>0.0829079967858555</v>
      </c>
      <c r="AQ57" s="42" t="n">
        <f aca="false">AM57/$V57</f>
        <v>0</v>
      </c>
      <c r="AR57" s="43"/>
    </row>
    <row r="58" customFormat="false" ht="18.75" hidden="false" customHeight="true" outlineLevel="0" collapsed="false">
      <c r="A58" s="18" t="n">
        <v>2015</v>
      </c>
      <c r="B58" s="18" t="n">
        <v>8</v>
      </c>
      <c r="C58" s="24" t="n">
        <v>96583.51</v>
      </c>
      <c r="D58" s="24" t="n">
        <v>19457.59</v>
      </c>
      <c r="E58" s="25" t="n">
        <v>66583.06</v>
      </c>
      <c r="F58" s="26" t="n">
        <v>100268.47</v>
      </c>
      <c r="G58" s="26" t="n">
        <v>20622</v>
      </c>
      <c r="H58" s="26"/>
      <c r="I58" s="27" t="n">
        <v>297761.4</v>
      </c>
      <c r="J58" s="27"/>
      <c r="K58" s="28" t="n">
        <f aca="false">N58-L58</f>
        <v>314964</v>
      </c>
      <c r="L58" s="29" t="n">
        <v>9202</v>
      </c>
      <c r="M58" s="30" t="n">
        <f aca="false">L58/N58</f>
        <v>0.028386690769544</v>
      </c>
      <c r="N58" s="29" t="n">
        <v>324166</v>
      </c>
      <c r="O58" s="31" t="n">
        <v>372481</v>
      </c>
      <c r="P58" s="24" t="n">
        <v>338653</v>
      </c>
      <c r="Q58" s="32" t="n">
        <v>177</v>
      </c>
      <c r="R58" s="32" t="n">
        <f aca="false">O58/Q58</f>
        <v>2104.41242937853</v>
      </c>
      <c r="S58" s="33" t="n">
        <v>29</v>
      </c>
      <c r="T58" s="29" t="n">
        <f aca="false">N58/S58</f>
        <v>11178.1379310345</v>
      </c>
      <c r="U58" s="29" t="n">
        <v>26558</v>
      </c>
      <c r="V58" s="34" t="n">
        <f aca="false">'$'!C45</f>
        <v>2.85218</v>
      </c>
      <c r="W58" s="35" t="n">
        <f aca="false">SUM(C58:E58)/V58</f>
        <v>64029.6755464241</v>
      </c>
      <c r="X58" s="35" t="n">
        <f aca="false">C58/$V58</f>
        <v>33863.048615445</v>
      </c>
      <c r="Y58" s="35" t="n">
        <f aca="false">D58/$V58</f>
        <v>6822.0063249865</v>
      </c>
      <c r="Z58" s="35" t="n">
        <f aca="false">E58/$V58</f>
        <v>23344.6206059926</v>
      </c>
      <c r="AA58" s="36" t="n">
        <f aca="false">C58/((N58+U58)*V58)</f>
        <v>0.0965518430887109</v>
      </c>
      <c r="AB58" s="36" t="n">
        <f aca="false">D58/((N58+U58)*V58)</f>
        <v>0.0194512104246829</v>
      </c>
      <c r="AC58" s="36" t="n">
        <f aca="false">E58/((N58+U58)*V58)</f>
        <v>0.0665612293598174</v>
      </c>
      <c r="AD58" s="36" t="n">
        <f aca="false">(C58+D58+E58)/((N58+U58)*V58)</f>
        <v>0.182564282873211</v>
      </c>
      <c r="AE58" s="36" t="n">
        <f aca="false">(C58+D58+E58)/((K58+U58)*V58)</f>
        <v>0.187483311606351</v>
      </c>
      <c r="AF58" s="37" t="n">
        <f aca="false">(P58/V58)/K58</f>
        <v>0.376978931986782</v>
      </c>
      <c r="AG58" s="38" t="n">
        <f aca="false">F58/($N58+$U58)</f>
        <v>0.285889959056124</v>
      </c>
      <c r="AH58" s="38" t="n">
        <f aca="false">G58/($N58+$U58)</f>
        <v>0.0587983713689397</v>
      </c>
      <c r="AI58" s="39" t="n">
        <f aca="false">I58/($N58+$U58)</f>
        <v>0.84899065932186</v>
      </c>
      <c r="AJ58" s="40" t="n">
        <f aca="false">C58/F58</f>
        <v>0.963249065234565</v>
      </c>
      <c r="AK58" s="40" t="n">
        <f aca="false">D58/G58</f>
        <v>0.943535544564058</v>
      </c>
      <c r="AL58" s="40" t="n">
        <f aca="false">E58/I58</f>
        <v>0.223612127025195</v>
      </c>
      <c r="AM58" s="41"/>
      <c r="AN58" s="42" t="n">
        <f aca="false">AJ58/$V58</f>
        <v>0.337723799071084</v>
      </c>
      <c r="AO58" s="42" t="n">
        <f aca="false">AK58/$V58</f>
        <v>0.330812061147634</v>
      </c>
      <c r="AP58" s="42" t="n">
        <f aca="false">AL58/$V58</f>
        <v>0.0784004259987783</v>
      </c>
      <c r="AQ58" s="42" t="n">
        <f aca="false">AM58/$V58</f>
        <v>0</v>
      </c>
      <c r="AR58" s="43"/>
    </row>
    <row r="59" customFormat="false" ht="18.75" hidden="false" customHeight="true" outlineLevel="0" collapsed="false">
      <c r="A59" s="18" t="n">
        <v>2015</v>
      </c>
      <c r="B59" s="18" t="n">
        <v>9</v>
      </c>
      <c r="C59" s="24" t="n">
        <v>89521.53</v>
      </c>
      <c r="D59" s="24" t="n">
        <v>19060.6</v>
      </c>
      <c r="E59" s="25" t="n">
        <v>61267.2</v>
      </c>
      <c r="F59" s="26" t="n">
        <v>92937.05</v>
      </c>
      <c r="G59" s="26" t="n">
        <v>20197</v>
      </c>
      <c r="H59" s="26"/>
      <c r="I59" s="27" t="n">
        <v>273988.8</v>
      </c>
      <c r="J59" s="27"/>
      <c r="K59" s="28" t="n">
        <f aca="false">N59-L59</f>
        <v>251609</v>
      </c>
      <c r="L59" s="29" t="n">
        <v>19081</v>
      </c>
      <c r="M59" s="30" t="n">
        <f aca="false">L59/N59</f>
        <v>0.0704902286748679</v>
      </c>
      <c r="N59" s="29" t="n">
        <v>270690</v>
      </c>
      <c r="O59" s="31" t="n">
        <v>289073</v>
      </c>
      <c r="P59" s="24" t="n">
        <v>331001</v>
      </c>
      <c r="Q59" s="32" t="n">
        <v>178</v>
      </c>
      <c r="R59" s="32" t="n">
        <f aca="false">O59/Q59</f>
        <v>1624.00561797753</v>
      </c>
      <c r="S59" s="33" t="n">
        <v>24</v>
      </c>
      <c r="T59" s="29" t="n">
        <f aca="false">N59/S59</f>
        <v>11278.75</v>
      </c>
      <c r="U59" s="29" t="n">
        <v>31300</v>
      </c>
      <c r="V59" s="34" t="n">
        <f aca="false">'$'!C46</f>
        <v>3.019192</v>
      </c>
      <c r="W59" s="35" t="n">
        <f aca="false">SUM(C59:E59)/V59</f>
        <v>56256.5514217049</v>
      </c>
      <c r="X59" s="35" t="n">
        <f aca="false">C59/$V59</f>
        <v>29650.8237965654</v>
      </c>
      <c r="Y59" s="35" t="n">
        <f aca="false">D59/$V59</f>
        <v>6313.14603377327</v>
      </c>
      <c r="Z59" s="35" t="n">
        <f aca="false">E59/$V59</f>
        <v>20292.5815913662</v>
      </c>
      <c r="AA59" s="36" t="n">
        <f aca="false">C59/((N59+U59)*V59)</f>
        <v>0.0981847869021009</v>
      </c>
      <c r="AB59" s="36" t="n">
        <f aca="false">D59/((N59+U59)*V59)</f>
        <v>0.0209051492889608</v>
      </c>
      <c r="AC59" s="36" t="n">
        <f aca="false">E59/((N59+U59)*V59)</f>
        <v>0.0671962038192197</v>
      </c>
      <c r="AD59" s="36" t="n">
        <f aca="false">(C59+D59+E59)/((N59+U59)*V59)</f>
        <v>0.186286140010281</v>
      </c>
      <c r="AE59" s="36" t="n">
        <f aca="false">(C59+D59+E59)/((K59+U59)*V59)</f>
        <v>0.198850342059478</v>
      </c>
      <c r="AF59" s="37" t="n">
        <f aca="false">(P59/V59)/K59</f>
        <v>0.435724923278909</v>
      </c>
      <c r="AG59" s="38" t="n">
        <f aca="false">F59/($N59+$U59)</f>
        <v>0.307748766515448</v>
      </c>
      <c r="AH59" s="38" t="n">
        <f aca="false">G59/($N59+$U59)</f>
        <v>0.0668796980032451</v>
      </c>
      <c r="AI59" s="39" t="n">
        <f aca="false">I59/($N59+$U59)</f>
        <v>0.907277724427961</v>
      </c>
      <c r="AJ59" s="40" t="n">
        <f aca="false">C59/F59</f>
        <v>0.963249102483885</v>
      </c>
      <c r="AK59" s="40" t="n">
        <f aca="false">D59/G59</f>
        <v>0.943734217953161</v>
      </c>
      <c r="AL59" s="40" t="n">
        <f aca="false">E59/I59</f>
        <v>0.22361206005501</v>
      </c>
      <c r="AM59" s="41"/>
      <c r="AN59" s="42" t="n">
        <f aca="false">AJ59/$V59</f>
        <v>0.319042016037365</v>
      </c>
      <c r="AO59" s="42" t="n">
        <f aca="false">AK59/$V59</f>
        <v>0.312578404405272</v>
      </c>
      <c r="AP59" s="42" t="n">
        <f aca="false">AL59/$V59</f>
        <v>0.0740635441717551</v>
      </c>
      <c r="AQ59" s="42" t="n">
        <f aca="false">AM59/$V59</f>
        <v>0</v>
      </c>
      <c r="AR59" s="43"/>
    </row>
    <row r="60" customFormat="false" ht="18.75" hidden="false" customHeight="true" outlineLevel="0" collapsed="false">
      <c r="A60" s="18" t="n">
        <v>2015</v>
      </c>
      <c r="B60" s="18" t="n">
        <v>10</v>
      </c>
      <c r="C60" s="24" t="n">
        <v>102049.67</v>
      </c>
      <c r="D60" s="24" t="n">
        <v>19950.79</v>
      </c>
      <c r="E60" s="25" t="n">
        <v>73231.98</v>
      </c>
      <c r="F60" s="26" t="n">
        <v>105943.18</v>
      </c>
      <c r="G60" s="26" t="n">
        <v>21150</v>
      </c>
      <c r="H60" s="26"/>
      <c r="I60" s="27" t="n">
        <v>327495.6</v>
      </c>
      <c r="J60" s="27"/>
      <c r="K60" s="28" t="n">
        <f aca="false">N60-L60</f>
        <v>308025</v>
      </c>
      <c r="L60" s="29" t="n">
        <v>21572</v>
      </c>
      <c r="M60" s="30" t="n">
        <f aca="false">L60/N60</f>
        <v>0.0654496248448863</v>
      </c>
      <c r="N60" s="29" t="n">
        <v>329597</v>
      </c>
      <c r="O60" s="31" t="n">
        <v>367569</v>
      </c>
      <c r="P60" s="24" t="n">
        <v>376679</v>
      </c>
      <c r="Q60" s="32" t="n">
        <v>189</v>
      </c>
      <c r="R60" s="32" t="n">
        <f aca="false">O60/Q60</f>
        <v>1944.80952380952</v>
      </c>
      <c r="S60" s="33" t="n">
        <v>28</v>
      </c>
      <c r="T60" s="29" t="n">
        <f aca="false">N60/S60</f>
        <v>11771.3214285714</v>
      </c>
      <c r="U60" s="29" t="n">
        <v>46080</v>
      </c>
      <c r="V60" s="34" t="n">
        <f aca="false">'$'!C47</f>
        <v>2.924633</v>
      </c>
      <c r="W60" s="35" t="n">
        <f aca="false">SUM(C60:E60)/V60</f>
        <v>66754.5090272865</v>
      </c>
      <c r="X60" s="35" t="n">
        <f aca="false">C60/$V60</f>
        <v>34893.1541154052</v>
      </c>
      <c r="Y60" s="35" t="n">
        <f aca="false">D60/$V60</f>
        <v>6821.6388175884</v>
      </c>
      <c r="Z60" s="35" t="n">
        <f aca="false">E60/$V60</f>
        <v>25039.7160942929</v>
      </c>
      <c r="AA60" s="36" t="n">
        <f aca="false">C60/((N60+U60)*V60)</f>
        <v>0.0928807302959863</v>
      </c>
      <c r="AB60" s="36" t="n">
        <f aca="false">D60/((N60+U60)*V60)</f>
        <v>0.0181582551436164</v>
      </c>
      <c r="AC60" s="36" t="n">
        <f aca="false">E60/((N60+U60)*V60)</f>
        <v>0.0666522467286868</v>
      </c>
      <c r="AD60" s="36" t="n">
        <f aca="false">(C60+D60+E60)/((N60+U60)*V60)</f>
        <v>0.17769123216829</v>
      </c>
      <c r="AE60" s="36" t="n">
        <f aca="false">(C60+D60+E60)/((K60+U60)*V60)</f>
        <v>0.188516143593811</v>
      </c>
      <c r="AF60" s="37" t="n">
        <f aca="false">(P60/V60)/K60</f>
        <v>0.418132636172726</v>
      </c>
      <c r="AG60" s="38" t="n">
        <f aca="false">F60/($N60+$U60)</f>
        <v>0.282006031777298</v>
      </c>
      <c r="AH60" s="38" t="n">
        <f aca="false">G60/($N60+$U60)</f>
        <v>0.0562983626892251</v>
      </c>
      <c r="AI60" s="39" t="n">
        <f aca="false">I60/($N60+$U60)</f>
        <v>0.871747804630041</v>
      </c>
      <c r="AJ60" s="40" t="n">
        <f aca="false">C60/F60</f>
        <v>0.963249073701582</v>
      </c>
      <c r="AK60" s="40" t="n">
        <f aca="false">D60/G60</f>
        <v>0.943299763593381</v>
      </c>
      <c r="AL60" s="40" t="n">
        <f aca="false">E60/I60</f>
        <v>0.223612103490856</v>
      </c>
      <c r="AM60" s="41"/>
      <c r="AN60" s="42" t="n">
        <f aca="false">AJ60/$V60</f>
        <v>0.329357247114965</v>
      </c>
      <c r="AO60" s="42" t="n">
        <f aca="false">AK60/$V60</f>
        <v>0.32253611430678</v>
      </c>
      <c r="AP60" s="42" t="n">
        <f aca="false">AL60/$V60</f>
        <v>0.0764581756038642</v>
      </c>
      <c r="AQ60" s="42" t="n">
        <f aca="false">AM60/$V60</f>
        <v>0</v>
      </c>
      <c r="AR60" s="43"/>
    </row>
    <row r="61" customFormat="false" ht="18.75" hidden="false" customHeight="true" outlineLevel="0" collapsed="false">
      <c r="A61" s="18" t="n">
        <v>2015</v>
      </c>
      <c r="B61" s="18" t="n">
        <v>11</v>
      </c>
      <c r="C61" s="24" t="n">
        <v>113018.41</v>
      </c>
      <c r="D61" s="24" t="n">
        <v>18547.75</v>
      </c>
      <c r="E61" s="25" t="n">
        <v>75827.7</v>
      </c>
      <c r="F61" s="26" t="n">
        <v>117330.42</v>
      </c>
      <c r="G61" s="26" t="n">
        <v>19648</v>
      </c>
      <c r="H61" s="26"/>
      <c r="I61" s="27" t="n">
        <v>339103.8</v>
      </c>
      <c r="J61" s="27"/>
      <c r="K61" s="28" t="n">
        <f aca="false">N61-L61</f>
        <v>298426</v>
      </c>
      <c r="L61" s="29" t="n">
        <v>30494</v>
      </c>
      <c r="M61" s="30" t="n">
        <f aca="false">L61/N61</f>
        <v>0.0927094734281892</v>
      </c>
      <c r="N61" s="29" t="n">
        <v>328920</v>
      </c>
      <c r="O61" s="31" t="n">
        <v>348269</v>
      </c>
      <c r="P61" s="24" t="n">
        <v>358898</v>
      </c>
      <c r="Q61" s="32" t="n">
        <v>186</v>
      </c>
      <c r="R61" s="32" t="n">
        <f aca="false">O61/Q61</f>
        <v>1872.41397849462</v>
      </c>
      <c r="S61" s="33" t="n">
        <v>28</v>
      </c>
      <c r="T61" s="29" t="n">
        <f aca="false">N61/S61</f>
        <v>11747.1428571429</v>
      </c>
      <c r="U61" s="29" t="n">
        <v>51672</v>
      </c>
      <c r="V61" s="34" t="n">
        <f aca="false">'$'!C48</f>
        <v>2.88002</v>
      </c>
      <c r="W61" s="35" t="n">
        <f aca="false">SUM(C61:E61)/V61</f>
        <v>72011.2568662718</v>
      </c>
      <c r="X61" s="35" t="n">
        <f aca="false">C61/$V61</f>
        <v>39242.2309567295</v>
      </c>
      <c r="Y61" s="35" t="n">
        <f aca="false">D61/$V61</f>
        <v>6440.14624898438</v>
      </c>
      <c r="Z61" s="35" t="n">
        <f aca="false">E61/$V61</f>
        <v>26328.8796605579</v>
      </c>
      <c r="AA61" s="36" t="n">
        <f aca="false">C61/((N61+U61)*V61)</f>
        <v>0.103108396804792</v>
      </c>
      <c r="AB61" s="36" t="n">
        <f aca="false">D61/((N61+U61)*V61)</f>
        <v>0.0169213915399808</v>
      </c>
      <c r="AC61" s="36" t="n">
        <f aca="false">E61/((N61+U61)*V61)</f>
        <v>0.0691787522085538</v>
      </c>
      <c r="AD61" s="36" t="n">
        <f aca="false">(C61+D61+E61)/((N61+U61)*V61)</f>
        <v>0.189208540553327</v>
      </c>
      <c r="AE61" s="36" t="n">
        <f aca="false">(C61+D61+E61)/((K61+U61)*V61)</f>
        <v>0.205688855309861</v>
      </c>
      <c r="AF61" s="37" t="n">
        <f aca="false">(P61/V61)/K61</f>
        <v>0.417579218026512</v>
      </c>
      <c r="AG61" s="38" t="n">
        <f aca="false">F61/($N61+$U61)</f>
        <v>0.308283989153739</v>
      </c>
      <c r="AH61" s="38" t="n">
        <f aca="false">G61/($N61+$U61)</f>
        <v>0.0516248370958927</v>
      </c>
      <c r="AI61" s="39" t="n">
        <f aca="false">I61/($N61+$U61)</f>
        <v>0.890990351872872</v>
      </c>
      <c r="AJ61" s="40" t="n">
        <f aca="false">C61/F61</f>
        <v>0.963249002262158</v>
      </c>
      <c r="AK61" s="40" t="n">
        <f aca="false">D61/G61</f>
        <v>0.944001934039088</v>
      </c>
      <c r="AL61" s="40" t="n">
        <f aca="false">E61/I61</f>
        <v>0.223612062147342</v>
      </c>
      <c r="AM61" s="41"/>
      <c r="AN61" s="42" t="n">
        <f aca="false">AJ61/$V61</f>
        <v>0.334459136485913</v>
      </c>
      <c r="AO61" s="42" t="n">
        <f aca="false">AK61/$V61</f>
        <v>0.327776173095703</v>
      </c>
      <c r="AP61" s="42" t="n">
        <f aca="false">AL61/$V61</f>
        <v>0.0776425379502026</v>
      </c>
      <c r="AQ61" s="42" t="n">
        <f aca="false">AM61/$V61</f>
        <v>0</v>
      </c>
      <c r="AR61" s="43"/>
    </row>
    <row r="62" customFormat="false" ht="18.75" hidden="false" customHeight="true" outlineLevel="0" collapsed="false">
      <c r="A62" s="18" t="n">
        <v>2015</v>
      </c>
      <c r="B62" s="18" t="n">
        <v>12</v>
      </c>
      <c r="C62" s="24" t="n">
        <v>121239.34</v>
      </c>
      <c r="D62" s="24" t="n">
        <v>17793</v>
      </c>
      <c r="E62" s="25" t="n">
        <v>76691.48</v>
      </c>
      <c r="F62" s="26" t="n">
        <v>125916.92</v>
      </c>
      <c r="G62" s="26" t="n">
        <v>18840</v>
      </c>
      <c r="H62" s="26"/>
      <c r="I62" s="27" t="n">
        <v>342966.6</v>
      </c>
      <c r="J62" s="27"/>
      <c r="K62" s="28" t="n">
        <f aca="false">N62-L62</f>
        <v>290131</v>
      </c>
      <c r="L62" s="29" t="n">
        <v>31800</v>
      </c>
      <c r="M62" s="30" t="n">
        <f aca="false">L62/N62</f>
        <v>0.0987789308889172</v>
      </c>
      <c r="N62" s="29" t="n">
        <v>321931</v>
      </c>
      <c r="O62" s="31" t="n">
        <v>359789</v>
      </c>
      <c r="P62" s="24" t="n">
        <v>329812</v>
      </c>
      <c r="Q62" s="32" t="n">
        <v>167</v>
      </c>
      <c r="R62" s="32" t="n">
        <f aca="false">O62/Q62</f>
        <v>2154.4251497006</v>
      </c>
      <c r="S62" s="33" t="n">
        <v>29</v>
      </c>
      <c r="T62" s="29" t="n">
        <f aca="false">N62/S62</f>
        <v>11101.0689655172</v>
      </c>
      <c r="U62" s="29" t="n">
        <v>68114</v>
      </c>
      <c r="V62" s="34" t="n">
        <f aca="false">'$'!C49</f>
        <v>2.92173</v>
      </c>
      <c r="W62" s="35" t="n">
        <f aca="false">SUM(C62:E62)/V62</f>
        <v>73834.2762678276</v>
      </c>
      <c r="X62" s="35" t="n">
        <f aca="false">C62/$V62</f>
        <v>41495.7371146547</v>
      </c>
      <c r="Y62" s="35" t="n">
        <f aca="false">D62/$V62</f>
        <v>6089.88510231952</v>
      </c>
      <c r="Z62" s="35" t="n">
        <f aca="false">E62/$V62</f>
        <v>26248.6540508534</v>
      </c>
      <c r="AA62" s="36" t="n">
        <f aca="false">C62/((N62+U62)*V62)</f>
        <v>0.106387050506107</v>
      </c>
      <c r="AB62" s="36" t="n">
        <f aca="false">D62/((N62+U62)*V62)</f>
        <v>0.0156132884726622</v>
      </c>
      <c r="AC62" s="36" t="n">
        <f aca="false">E62/((N62+U62)*V62)</f>
        <v>0.0672964761780139</v>
      </c>
      <c r="AD62" s="36" t="n">
        <f aca="false">(C62+D62+E62)/((N62+U62)*V62)</f>
        <v>0.189296815156783</v>
      </c>
      <c r="AE62" s="36" t="n">
        <f aca="false">(C62+D62+E62)/((K62+U62)*V62)</f>
        <v>0.206099949106973</v>
      </c>
      <c r="AF62" s="37" t="n">
        <f aca="false">(P62/V62)/K62</f>
        <v>0.389074025495194</v>
      </c>
      <c r="AG62" s="38" t="n">
        <f aca="false">F62/($N62+$U62)</f>
        <v>0.322826648207258</v>
      </c>
      <c r="AH62" s="38" t="n">
        <f aca="false">G62/($N62+$U62)</f>
        <v>0.0483021189862708</v>
      </c>
      <c r="AI62" s="39" t="n">
        <f aca="false">I62/($N62+$U62)</f>
        <v>0.879300080759912</v>
      </c>
      <c r="AJ62" s="40" t="n">
        <f aca="false">C62/F62</f>
        <v>0.962851855016784</v>
      </c>
      <c r="AK62" s="40" t="n">
        <f aca="false">D62/G62</f>
        <v>0.944426751592357</v>
      </c>
      <c r="AL62" s="40" t="n">
        <f aca="false">E62/I62</f>
        <v>0.22361209517195</v>
      </c>
      <c r="AM62" s="41"/>
      <c r="AN62" s="42" t="n">
        <f aca="false">AJ62/$V62</f>
        <v>0.329548539740765</v>
      </c>
      <c r="AO62" s="42" t="n">
        <f aca="false">AK62/$V62</f>
        <v>0.323242309040314</v>
      </c>
      <c r="AP62" s="42" t="n">
        <f aca="false">AL62/$V62</f>
        <v>0.0765341407905418</v>
      </c>
      <c r="AQ62" s="42" t="n">
        <f aca="false">AM62/$V62</f>
        <v>0</v>
      </c>
      <c r="AR62" s="43"/>
    </row>
    <row r="63" customFormat="false" ht="18.75" hidden="false" customHeight="true" outlineLevel="0" collapsed="false">
      <c r="A63" s="18" t="n">
        <v>2016</v>
      </c>
      <c r="B63" s="18" t="n">
        <v>1</v>
      </c>
      <c r="C63" s="24" t="n">
        <v>108912.94</v>
      </c>
      <c r="D63" s="24" t="n">
        <v>17399.18</v>
      </c>
      <c r="E63" s="25" t="n">
        <v>72464.27</v>
      </c>
      <c r="F63" s="26" t="n">
        <v>113068.31</v>
      </c>
      <c r="G63" s="26" t="n">
        <v>16744</v>
      </c>
      <c r="H63" s="26"/>
      <c r="I63" s="27" t="n">
        <v>319743</v>
      </c>
      <c r="J63" s="27"/>
      <c r="K63" s="28" t="n">
        <f aca="false">N63-L63</f>
        <v>259190</v>
      </c>
      <c r="L63" s="29" t="n">
        <v>25847</v>
      </c>
      <c r="M63" s="30" t="n">
        <f aca="false">L63/N63</f>
        <v>0.0906794556496174</v>
      </c>
      <c r="N63" s="29" t="n">
        <v>285037</v>
      </c>
      <c r="O63" s="31" t="n">
        <v>299497</v>
      </c>
      <c r="P63" s="24" t="n">
        <v>384549</v>
      </c>
      <c r="Q63" s="32" t="n">
        <v>150</v>
      </c>
      <c r="R63" s="32" t="n">
        <f aca="false">O63/Q63</f>
        <v>1996.64666666667</v>
      </c>
      <c r="S63" s="33" t="n">
        <v>28</v>
      </c>
      <c r="T63" s="29" t="n">
        <f aca="false">N63/S63</f>
        <v>10179.8928571429</v>
      </c>
      <c r="U63" s="29" t="n">
        <v>47036</v>
      </c>
      <c r="V63" s="34" t="n">
        <f aca="false">'$'!C50</f>
        <v>3.001791</v>
      </c>
      <c r="W63" s="35" t="n">
        <f aca="false">SUM(C63:E63)/V63</f>
        <v>66219.2637661983</v>
      </c>
      <c r="X63" s="35" t="n">
        <f aca="false">C63/$V63</f>
        <v>36282.6525897373</v>
      </c>
      <c r="Y63" s="35" t="n">
        <f aca="false">D63/$V63</f>
        <v>5796.26629568814</v>
      </c>
      <c r="Z63" s="35" t="n">
        <f aca="false">E63/$V63</f>
        <v>24140.3448807728</v>
      </c>
      <c r="AA63" s="36" t="n">
        <f aca="false">C63/((N63+U63)*V63)</f>
        <v>0.109261073889588</v>
      </c>
      <c r="AB63" s="36" t="n">
        <f aca="false">D63/((N63+U63)*V63)</f>
        <v>0.0174547954687317</v>
      </c>
      <c r="AC63" s="36" t="n">
        <f aca="false">E63/((N63+U63)*V63)</f>
        <v>0.0726958978320214</v>
      </c>
      <c r="AD63" s="36" t="n">
        <f aca="false">(C63+D63+E63)/((N63+U63)*V63)</f>
        <v>0.199411767190341</v>
      </c>
      <c r="AE63" s="36" t="n">
        <f aca="false">(C63+D63+E63)/((K63+U63)*V63)</f>
        <v>0.216243113798953</v>
      </c>
      <c r="AF63" s="37" t="n">
        <f aca="false">(P63/V63)/K63</f>
        <v>0.494257187419719</v>
      </c>
      <c r="AG63" s="38" t="n">
        <f aca="false">F63/($N63+$U63)</f>
        <v>0.340492331505422</v>
      </c>
      <c r="AH63" s="38" t="n">
        <f aca="false">G63/($N63+$U63)</f>
        <v>0.0504226480322098</v>
      </c>
      <c r="AI63" s="39" t="n">
        <f aca="false">I63/($N63+$U63)</f>
        <v>0.962869609995393</v>
      </c>
      <c r="AJ63" s="40" t="n">
        <f aca="false">C63/F63</f>
        <v>0.963249030608134</v>
      </c>
      <c r="AK63" s="44" t="n">
        <f aca="false">D63/G63</f>
        <v>1.03912924032489</v>
      </c>
      <c r="AL63" s="40" t="n">
        <f aca="false">E63/I63</f>
        <v>0.226632858264293</v>
      </c>
      <c r="AM63" s="41"/>
      <c r="AN63" s="42" t="n">
        <f aca="false">AJ63/$V63</f>
        <v>0.320891438014217</v>
      </c>
      <c r="AO63" s="42" t="n">
        <f aca="false">AK63/$V63</f>
        <v>0.346169750100821</v>
      </c>
      <c r="AP63" s="42" t="n">
        <f aca="false">AL63/$V63</f>
        <v>0.0754992130579023</v>
      </c>
      <c r="AQ63" s="42" t="n">
        <f aca="false">AM63/$V63</f>
        <v>0</v>
      </c>
      <c r="AR63" s="46"/>
    </row>
    <row r="64" customFormat="false" ht="18.75" hidden="false" customHeight="true" outlineLevel="0" collapsed="false">
      <c r="A64" s="18" t="n">
        <v>2016</v>
      </c>
      <c r="B64" s="18" t="n">
        <v>2</v>
      </c>
      <c r="C64" s="24" t="n">
        <v>109342.91</v>
      </c>
      <c r="D64" s="24" t="n">
        <v>19360.72</v>
      </c>
      <c r="E64" s="25" t="n">
        <v>77354.18</v>
      </c>
      <c r="F64" s="26" t="n">
        <v>113514.67</v>
      </c>
      <c r="G64" s="26" t="n">
        <v>18653</v>
      </c>
      <c r="H64" s="26"/>
      <c r="I64" s="27" t="n">
        <v>332553.6</v>
      </c>
      <c r="J64" s="27"/>
      <c r="K64" s="28" t="n">
        <f aca="false">N64-L64</f>
        <v>274281</v>
      </c>
      <c r="L64" s="29" t="n">
        <v>29104</v>
      </c>
      <c r="M64" s="30" t="n">
        <f aca="false">L64/N64</f>
        <v>0.0959309128664898</v>
      </c>
      <c r="N64" s="29" t="n">
        <v>303385</v>
      </c>
      <c r="O64" s="31" t="n">
        <v>296439</v>
      </c>
      <c r="P64" s="24" t="n">
        <v>355417</v>
      </c>
      <c r="Q64" s="32" t="n">
        <v>155</v>
      </c>
      <c r="R64" s="32" t="n">
        <f aca="false">O64/Q64</f>
        <v>1912.50967741935</v>
      </c>
      <c r="S64" s="33" t="n">
        <v>29</v>
      </c>
      <c r="T64" s="29" t="n">
        <f aca="false">N64/S64</f>
        <v>10461.5517241379</v>
      </c>
      <c r="U64" s="29" t="n">
        <v>61335</v>
      </c>
      <c r="V64" s="34" t="n">
        <f aca="false">'$'!C51</f>
        <v>2.945324</v>
      </c>
      <c r="W64" s="35" t="n">
        <f aca="false">SUM(C64:E64)/V64</f>
        <v>69960.9991973718</v>
      </c>
      <c r="X64" s="35" t="n">
        <f aca="false">C64/$V64</f>
        <v>37124.2382841412</v>
      </c>
      <c r="Y64" s="35" t="n">
        <f aca="false">D64/$V64</f>
        <v>6573.37528910232</v>
      </c>
      <c r="Z64" s="35" t="n">
        <f aca="false">E64/$V64</f>
        <v>26263.3856241283</v>
      </c>
      <c r="AA64" s="36" t="n">
        <f aca="false">C64/((N64+U64)*V64)</f>
        <v>0.101788326069701</v>
      </c>
      <c r="AB64" s="36" t="n">
        <f aca="false">D64/((N64+U64)*V64)</f>
        <v>0.0180230732866372</v>
      </c>
      <c r="AC64" s="36" t="n">
        <f aca="false">E64/((N64+U64)*V64)</f>
        <v>0.0720097214962938</v>
      </c>
      <c r="AD64" s="36" t="n">
        <f aca="false">(C64+D64+E64)/((N64+U64)*V64)</f>
        <v>0.191821120852632</v>
      </c>
      <c r="AE64" s="36" t="n">
        <f aca="false">(C64+D64+E64)/((K64+U64)*V64)</f>
        <v>0.208455494366692</v>
      </c>
      <c r="AF64" s="37" t="n">
        <f aca="false">(P64/V64)/K64</f>
        <v>0.439956153423681</v>
      </c>
      <c r="AG64" s="38" t="n">
        <f aca="false">F64/($N64+$U64)</f>
        <v>0.311237853695986</v>
      </c>
      <c r="AH64" s="38" t="n">
        <f aca="false">G64/($N64+$U64)</f>
        <v>0.0511433428383417</v>
      </c>
      <c r="AI64" s="39" t="n">
        <f aca="false">I64/($N64+$U64)</f>
        <v>0.911805220443079</v>
      </c>
      <c r="AJ64" s="40" t="n">
        <f aca="false">C64/F64</f>
        <v>0.963249155373486</v>
      </c>
      <c r="AK64" s="40" t="n">
        <f aca="false">D64/G64</f>
        <v>1.0379413499169</v>
      </c>
      <c r="AL64" s="40" t="n">
        <f aca="false">E64/I64</f>
        <v>0.232606653483829</v>
      </c>
      <c r="AM64" s="41"/>
      <c r="AN64" s="42" t="n">
        <f aca="false">AJ64/$V64</f>
        <v>0.327043529123956</v>
      </c>
      <c r="AO64" s="42" t="n">
        <f aca="false">AK64/$V64</f>
        <v>0.352403114196232</v>
      </c>
      <c r="AP64" s="42" t="n">
        <f aca="false">AL64/$V64</f>
        <v>0.078974894946644</v>
      </c>
      <c r="AQ64" s="42" t="n">
        <f aca="false">AM64/$V64</f>
        <v>0</v>
      </c>
      <c r="AR64" s="43"/>
    </row>
    <row r="65" customFormat="false" ht="18.75" hidden="false" customHeight="true" outlineLevel="0" collapsed="false">
      <c r="A65" s="18" t="n">
        <v>2016</v>
      </c>
      <c r="B65" s="18" t="n">
        <v>3</v>
      </c>
      <c r="C65" s="24" t="n">
        <v>94524.23</v>
      </c>
      <c r="D65" s="24" t="n">
        <v>18302.38</v>
      </c>
      <c r="E65" s="25" t="n">
        <v>64676.19</v>
      </c>
      <c r="F65" s="26" t="n">
        <v>98130.62</v>
      </c>
      <c r="G65" s="26" t="n">
        <v>17623</v>
      </c>
      <c r="H65" s="26"/>
      <c r="I65" s="27" t="n">
        <v>278049.6</v>
      </c>
      <c r="J65" s="27"/>
      <c r="K65" s="28" t="n">
        <f aca="false">N65-L65</f>
        <v>262734</v>
      </c>
      <c r="L65" s="29" t="n">
        <v>22525</v>
      </c>
      <c r="M65" s="30" t="n">
        <f aca="false">L65/N65</f>
        <v>0.0789633280632688</v>
      </c>
      <c r="N65" s="29" t="n">
        <v>285259</v>
      </c>
      <c r="O65" s="31" t="n">
        <v>297211</v>
      </c>
      <c r="P65" s="24" t="n">
        <v>365245</v>
      </c>
      <c r="Q65" s="32" t="n">
        <v>155</v>
      </c>
      <c r="R65" s="32" t="n">
        <f aca="false">O65/Q65</f>
        <v>1917.49032258065</v>
      </c>
      <c r="S65" s="33" t="n">
        <v>28</v>
      </c>
      <c r="T65" s="29" t="n">
        <f aca="false">N65/S65</f>
        <v>10187.8214285714</v>
      </c>
      <c r="U65" s="29" t="n">
        <v>38044</v>
      </c>
      <c r="V65" s="34" t="n">
        <f aca="false">'$'!C52</f>
        <v>2.882802</v>
      </c>
      <c r="W65" s="35" t="n">
        <f aca="false">SUM(C65:E65)/V65</f>
        <v>61573.0112577971</v>
      </c>
      <c r="X65" s="35" t="n">
        <f aca="false">C65/$V65</f>
        <v>32789.012217974</v>
      </c>
      <c r="Y65" s="35" t="n">
        <f aca="false">D65/$V65</f>
        <v>6348.81618647413</v>
      </c>
      <c r="Z65" s="35" t="n">
        <f aca="false">E65/$V65</f>
        <v>22435.1828533489</v>
      </c>
      <c r="AA65" s="36" t="n">
        <f aca="false">C65/((N65+U65)*V65)</f>
        <v>0.10141883068816</v>
      </c>
      <c r="AB65" s="36" t="n">
        <f aca="false">D65/((N65+U65)*V65)</f>
        <v>0.0196373562462276</v>
      </c>
      <c r="AC65" s="36" t="n">
        <f aca="false">E65/((N65+U65)*V65)</f>
        <v>0.0693936735921069</v>
      </c>
      <c r="AD65" s="36" t="n">
        <f aca="false">(C65+D65+E65)/((N65+U65)*V65)</f>
        <v>0.190449860526494</v>
      </c>
      <c r="AE65" s="36" t="n">
        <f aca="false">(C65+D65+E65)/((K65+U65)*V65)</f>
        <v>0.204712483153014</v>
      </c>
      <c r="AF65" s="37" t="n">
        <f aca="false">(P65/V65)/K65</f>
        <v>0.482228847592435</v>
      </c>
      <c r="AG65" s="38" t="n">
        <f aca="false">F65/($N65+$U65)</f>
        <v>0.303525237934693</v>
      </c>
      <c r="AH65" s="38" t="n">
        <f aca="false">G65/($N65+$U65)</f>
        <v>0.0545092374645456</v>
      </c>
      <c r="AI65" s="39" t="n">
        <f aca="false">I65/($N65+$U65)</f>
        <v>0.860027899524594</v>
      </c>
      <c r="AJ65" s="40" t="n">
        <f aca="false">C65/F65</f>
        <v>0.963249085759368</v>
      </c>
      <c r="AK65" s="40" t="n">
        <f aca="false">D65/G65</f>
        <v>1.03855075753277</v>
      </c>
      <c r="AL65" s="40" t="n">
        <f aca="false">E65/I65</f>
        <v>0.232606664422463</v>
      </c>
      <c r="AM65" s="41"/>
      <c r="AN65" s="42" t="n">
        <f aca="false">AJ65/$V65</f>
        <v>0.334136401237188</v>
      </c>
      <c r="AO65" s="42" t="n">
        <f aca="false">AK65/$V65</f>
        <v>0.3602574014909</v>
      </c>
      <c r="AP65" s="42" t="n">
        <f aca="false">AL65/$V65</f>
        <v>0.0806877005158394</v>
      </c>
      <c r="AQ65" s="42" t="n">
        <f aca="false">AM65/$V65</f>
        <v>0</v>
      </c>
      <c r="AR65" s="43"/>
    </row>
    <row r="66" customFormat="false" ht="18.75" hidden="false" customHeight="true" outlineLevel="0" collapsed="false">
      <c r="A66" s="18" t="n">
        <v>2016</v>
      </c>
      <c r="B66" s="18" t="n">
        <v>4</v>
      </c>
      <c r="C66" s="24" t="n">
        <v>89301.64</v>
      </c>
      <c r="D66" s="24" t="n">
        <v>18300.32</v>
      </c>
      <c r="E66" s="25" t="n">
        <v>63833.78</v>
      </c>
      <c r="F66" s="26" t="n">
        <v>92708.78</v>
      </c>
      <c r="G66" s="26" t="n">
        <v>17623</v>
      </c>
      <c r="H66" s="26"/>
      <c r="I66" s="27" t="n">
        <v>274428</v>
      </c>
      <c r="J66" s="27"/>
      <c r="K66" s="28" t="n">
        <f aca="false">N66-L66</f>
        <v>276545</v>
      </c>
      <c r="L66" s="29" t="n">
        <v>12899</v>
      </c>
      <c r="M66" s="30" t="n">
        <f aca="false">L66/N66</f>
        <v>0.0445647517309048</v>
      </c>
      <c r="N66" s="29" t="n">
        <v>289444</v>
      </c>
      <c r="O66" s="31" t="n">
        <v>290998</v>
      </c>
      <c r="P66" s="24" t="n">
        <v>364717</v>
      </c>
      <c r="Q66" s="32" t="n">
        <v>153</v>
      </c>
      <c r="R66" s="32" t="n">
        <f aca="false">O66/Q66</f>
        <v>1901.9477124183</v>
      </c>
      <c r="S66" s="33" t="n">
        <v>29</v>
      </c>
      <c r="T66" s="29" t="n">
        <f aca="false">N66/S66</f>
        <v>9980.8275862069</v>
      </c>
      <c r="U66" s="29" t="n">
        <v>25613</v>
      </c>
      <c r="V66" s="34" t="n">
        <f aca="false">'$'!C53</f>
        <v>2.834917</v>
      </c>
      <c r="W66" s="35" t="n">
        <f aca="false">SUM(C66:E66)/V66</f>
        <v>60472.9309535341</v>
      </c>
      <c r="X66" s="35" t="n">
        <f aca="false">C66/$V66</f>
        <v>31500.6188893714</v>
      </c>
      <c r="Y66" s="35" t="n">
        <f aca="false">D66/$V66</f>
        <v>6455.32832178156</v>
      </c>
      <c r="Z66" s="35" t="n">
        <f aca="false">E66/$V66</f>
        <v>22516.9837423812</v>
      </c>
      <c r="AA66" s="36" t="n">
        <f aca="false">C66/((N66+U66)*V66)</f>
        <v>0.0999838724083939</v>
      </c>
      <c r="AB66" s="36" t="n">
        <f aca="false">D66/((N66+U66)*V66)</f>
        <v>0.0204893981780489</v>
      </c>
      <c r="AC66" s="36" t="n">
        <f aca="false">E66/((N66+U66)*V66)</f>
        <v>0.0714695554848207</v>
      </c>
      <c r="AD66" s="36" t="n">
        <f aca="false">(C66+D66+E66)/((N66+U66)*V66)</f>
        <v>0.191942826071264</v>
      </c>
      <c r="AE66" s="36" t="n">
        <f aca="false">(C66+D66+E66)/((K66+U66)*V66)</f>
        <v>0.20013678589855</v>
      </c>
      <c r="AF66" s="37" t="n">
        <f aca="false">(P66/V66)/K66</f>
        <v>0.465210863710645</v>
      </c>
      <c r="AG66" s="38" t="n">
        <f aca="false">F66/($N66+$U66)</f>
        <v>0.29426034019241</v>
      </c>
      <c r="AH66" s="38" t="n">
        <f aca="false">G66/($N66+$U66)</f>
        <v>0.0559359100099347</v>
      </c>
      <c r="AI66" s="39" t="n">
        <f aca="false">I66/($N66+$U66)</f>
        <v>0.871042382806921</v>
      </c>
      <c r="AJ66" s="40" t="n">
        <f aca="false">C66/F66</f>
        <v>0.963249004031765</v>
      </c>
      <c r="AK66" s="40" t="n">
        <f aca="false">D66/G66</f>
        <v>1.03843386483573</v>
      </c>
      <c r="AL66" s="40" t="n">
        <f aca="false">E66/I66</f>
        <v>0.232606658212719</v>
      </c>
      <c r="AM66" s="41"/>
      <c r="AN66" s="42" t="n">
        <f aca="false">AJ66/$V66</f>
        <v>0.339780319505567</v>
      </c>
      <c r="AO66" s="42" t="n">
        <f aca="false">AK66/$V66</f>
        <v>0.366301329046221</v>
      </c>
      <c r="AP66" s="42" t="n">
        <f aca="false">AL66/$V66</f>
        <v>0.0820506061421618</v>
      </c>
      <c r="AQ66" s="42" t="n">
        <f aca="false">AM66/$V66</f>
        <v>0</v>
      </c>
      <c r="AR66" s="43"/>
    </row>
    <row r="67" customFormat="false" ht="18.75" hidden="false" customHeight="true" outlineLevel="0" collapsed="false">
      <c r="A67" s="18" t="n">
        <v>2016</v>
      </c>
      <c r="B67" s="18" t="n">
        <v>5</v>
      </c>
      <c r="C67" s="24" t="n">
        <v>108826.9</v>
      </c>
      <c r="D67" s="24" t="n">
        <v>21868.89</v>
      </c>
      <c r="E67" s="25" t="n">
        <v>72871.78</v>
      </c>
      <c r="F67" s="26" t="n">
        <f aca="false">112043.26+937.72</f>
        <v>112980.98</v>
      </c>
      <c r="G67" s="26" t="n">
        <v>21094</v>
      </c>
      <c r="H67" s="26"/>
      <c r="I67" s="27" t="n">
        <v>311576.4</v>
      </c>
      <c r="J67" s="27"/>
      <c r="K67" s="28" t="n">
        <f aca="false">N67-L67</f>
        <v>260545</v>
      </c>
      <c r="L67" s="29" t="n">
        <v>31864</v>
      </c>
      <c r="M67" s="30" t="n">
        <f aca="false">L67/N67</f>
        <v>0.108970654118033</v>
      </c>
      <c r="N67" s="29" t="n">
        <v>292409</v>
      </c>
      <c r="O67" s="31" t="n">
        <v>305174</v>
      </c>
      <c r="P67" s="24" t="n">
        <v>384413</v>
      </c>
      <c r="Q67" s="32" t="n">
        <v>143</v>
      </c>
      <c r="R67" s="32" t="n">
        <f aca="false">O67/Q67</f>
        <v>2134.08391608392</v>
      </c>
      <c r="S67" s="33" t="n">
        <v>29</v>
      </c>
      <c r="T67" s="29" t="n">
        <f aca="false">N67/S67</f>
        <v>10083.0689655172</v>
      </c>
      <c r="U67" s="29" t="n">
        <v>43700</v>
      </c>
      <c r="V67" s="34" t="n">
        <f aca="false">'$'!C54</f>
        <v>2.940724</v>
      </c>
      <c r="W67" s="35" t="n">
        <f aca="false">SUM(C67:E67)/V67</f>
        <v>69223.6231621873</v>
      </c>
      <c r="X67" s="35" t="n">
        <f aca="false">C67/$V67</f>
        <v>37006.8391321321</v>
      </c>
      <c r="Y67" s="35" t="n">
        <f aca="false">D67/$V67</f>
        <v>7436.56664141212</v>
      </c>
      <c r="Z67" s="35" t="n">
        <f aca="false">E67/$V67</f>
        <v>24780.2173886431</v>
      </c>
      <c r="AA67" s="36" t="n">
        <f aca="false">C67/((N67+U67)*V67)</f>
        <v>0.110103684019565</v>
      </c>
      <c r="AB67" s="36" t="n">
        <f aca="false">D67/((N67+U67)*V67)</f>
        <v>0.0221254612087511</v>
      </c>
      <c r="AC67" s="36" t="n">
        <f aca="false">E67/((N67+U67)*V67)</f>
        <v>0.0737267296878187</v>
      </c>
      <c r="AD67" s="36" t="n">
        <f aca="false">(C67+D67+E67)/((N67+U67)*V67)</f>
        <v>0.205955874916135</v>
      </c>
      <c r="AE67" s="36" t="n">
        <f aca="false">(C67+D67+E67)/((K67+U67)*V67)</f>
        <v>0.227525918789749</v>
      </c>
      <c r="AF67" s="37" t="n">
        <f aca="false">(P67/V67)/K67</f>
        <v>0.501719587965005</v>
      </c>
      <c r="AG67" s="38" t="n">
        <f aca="false">F67/($N67+$U67)</f>
        <v>0.336143869994555</v>
      </c>
      <c r="AH67" s="38" t="n">
        <f aca="false">G67/($N67+$U67)</f>
        <v>0.062759402455751</v>
      </c>
      <c r="AI67" s="39" t="n">
        <f aca="false">I67/($N67+$U67)</f>
        <v>0.927009987831329</v>
      </c>
      <c r="AJ67" s="40" t="n">
        <f aca="false">C67/F67</f>
        <v>0.963232041357758</v>
      </c>
      <c r="AK67" s="40" t="n">
        <f aca="false">D67/G67</f>
        <v>1.03673509054708</v>
      </c>
      <c r="AL67" s="40" t="n">
        <f aca="false">E67/I67</f>
        <v>0.233880935783326</v>
      </c>
      <c r="AM67" s="41"/>
      <c r="AN67" s="42" t="n">
        <f aca="false">AJ67/$V67</f>
        <v>0.327549284243526</v>
      </c>
      <c r="AO67" s="42" t="n">
        <f aca="false">AK67/$V67</f>
        <v>0.352544166180531</v>
      </c>
      <c r="AP67" s="42" t="n">
        <f aca="false">AL67/$V67</f>
        <v>0.0795317533312634</v>
      </c>
      <c r="AQ67" s="42" t="n">
        <f aca="false">AM67/$V67</f>
        <v>0</v>
      </c>
      <c r="AR67" s="43"/>
    </row>
    <row r="68" customFormat="false" ht="18.75" hidden="false" customHeight="true" outlineLevel="0" collapsed="false">
      <c r="A68" s="18" t="n">
        <v>2016</v>
      </c>
      <c r="B68" s="18" t="n">
        <v>6</v>
      </c>
      <c r="C68" s="24" t="n">
        <v>102401.03</v>
      </c>
      <c r="D68" s="24" t="n">
        <v>21129.13</v>
      </c>
      <c r="E68" s="25" t="n">
        <v>73492.85</v>
      </c>
      <c r="F68" s="26" t="n">
        <f aca="false">105279.33+1028.62</f>
        <v>106307.95</v>
      </c>
      <c r="G68" s="26" t="n">
        <v>20311</v>
      </c>
      <c r="H68" s="26"/>
      <c r="I68" s="27" t="n">
        <v>322840.8</v>
      </c>
      <c r="J68" s="27"/>
      <c r="K68" s="28" t="n">
        <f aca="false">N68-L68</f>
        <v>265719</v>
      </c>
      <c r="L68" s="29" t="n">
        <v>23928</v>
      </c>
      <c r="M68" s="30" t="n">
        <f aca="false">L68/N68</f>
        <v>0.0826109022361702</v>
      </c>
      <c r="N68" s="29" t="n">
        <v>289647</v>
      </c>
      <c r="O68" s="31" t="n">
        <v>338147</v>
      </c>
      <c r="P68" s="24" t="n">
        <v>367434</v>
      </c>
      <c r="Q68" s="32" t="n">
        <v>145</v>
      </c>
      <c r="R68" s="32" t="n">
        <f aca="false">O68/Q68</f>
        <v>2332.04827586207</v>
      </c>
      <c r="S68" s="33" t="n">
        <v>28</v>
      </c>
      <c r="T68" s="29" t="n">
        <f aca="false">N68/S68</f>
        <v>10344.5357142857</v>
      </c>
      <c r="U68" s="29" t="n">
        <v>31479</v>
      </c>
      <c r="V68" s="34" t="n">
        <f aca="false">'$'!C55</f>
        <v>2.914586</v>
      </c>
      <c r="W68" s="35" t="n">
        <f aca="false">SUM(C68:E68)/V68</f>
        <v>67598.9694591273</v>
      </c>
      <c r="X68" s="35" t="n">
        <f aca="false">C68/$V68</f>
        <v>35133.9881547499</v>
      </c>
      <c r="Y68" s="35" t="n">
        <f aca="false">D68/$V68</f>
        <v>7249.44468957169</v>
      </c>
      <c r="Z68" s="35" t="n">
        <f aca="false">E68/$V68</f>
        <v>25215.5366148057</v>
      </c>
      <c r="AA68" s="36" t="n">
        <f aca="false">C68/((N68+U68)*V68)</f>
        <v>0.109408731011347</v>
      </c>
      <c r="AB68" s="36" t="n">
        <f aca="false">D68/((N68+U68)*V68)</f>
        <v>0.022575078597098</v>
      </c>
      <c r="AC68" s="36" t="n">
        <f aca="false">E68/((N68+U68)*V68)</f>
        <v>0.0785222517479297</v>
      </c>
      <c r="AD68" s="36" t="n">
        <f aca="false">(C68+D68+E68)/((N68+U68)*V68)</f>
        <v>0.210506061356375</v>
      </c>
      <c r="AE68" s="36" t="n">
        <f aca="false">(C68+D68+E68)/((K68+U68)*V68)</f>
        <v>0.227454321560466</v>
      </c>
      <c r="AF68" s="37" t="n">
        <f aca="false">(P68/V68)/K68</f>
        <v>0.474438426463649</v>
      </c>
      <c r="AG68" s="38" t="n">
        <f aca="false">F68/($N68+$U68)</f>
        <v>0.331047470463307</v>
      </c>
      <c r="AH68" s="38" t="n">
        <f aca="false">G68/($N68+$U68)</f>
        <v>0.0632493164676794</v>
      </c>
      <c r="AI68" s="39" t="n">
        <f aca="false">I68/($N68+$U68)</f>
        <v>1.00533996001569</v>
      </c>
      <c r="AJ68" s="40" t="n">
        <f aca="false">C68/F68</f>
        <v>0.963249032645254</v>
      </c>
      <c r="AK68" s="40" t="n">
        <f aca="false">D68/G68</f>
        <v>1.04028014376446</v>
      </c>
      <c r="AL68" s="40" t="n">
        <f aca="false">E68/I68</f>
        <v>0.22764424446972</v>
      </c>
      <c r="AM68" s="41"/>
      <c r="AN68" s="42" t="n">
        <f aca="false">AJ68/$V68</f>
        <v>0.330492575153128</v>
      </c>
      <c r="AO68" s="42" t="n">
        <f aca="false">AK68/$V68</f>
        <v>0.356922095887533</v>
      </c>
      <c r="AP68" s="42" t="n">
        <f aca="false">AL68/$V68</f>
        <v>0.0781051732457783</v>
      </c>
      <c r="AQ68" s="42" t="n">
        <f aca="false">AM68/$V68</f>
        <v>0</v>
      </c>
      <c r="AR68" s="43"/>
    </row>
    <row r="69" customFormat="false" ht="18.75" hidden="false" customHeight="true" outlineLevel="0" collapsed="false">
      <c r="A69" s="18" t="n">
        <v>2016</v>
      </c>
      <c r="B69" s="18" t="n">
        <v>7</v>
      </c>
      <c r="C69" s="24" t="n">
        <v>76801.57</v>
      </c>
      <c r="D69" s="24" t="n">
        <v>16483.84</v>
      </c>
      <c r="E69" s="25" t="n">
        <v>51941.15</v>
      </c>
      <c r="F69" s="26" t="n">
        <f aca="false">79046.97+684.92</f>
        <v>79731.89</v>
      </c>
      <c r="G69" s="26" t="n">
        <v>15795</v>
      </c>
      <c r="H69" s="26"/>
      <c r="I69" s="27" t="n">
        <v>228168</v>
      </c>
      <c r="J69" s="27"/>
      <c r="K69" s="28" t="n">
        <f aca="false">N69-L69</f>
        <v>189805</v>
      </c>
      <c r="L69" s="29" t="n">
        <v>16928</v>
      </c>
      <c r="M69" s="30" t="n">
        <f aca="false">L69/N69</f>
        <v>0.0818833954908022</v>
      </c>
      <c r="N69" s="29" t="n">
        <v>206733</v>
      </c>
      <c r="O69" s="31" t="n">
        <v>262470</v>
      </c>
      <c r="P69" s="24" t="n">
        <v>379688</v>
      </c>
      <c r="Q69" s="32" t="n">
        <v>144</v>
      </c>
      <c r="R69" s="32" t="n">
        <f aca="false">O69/Q69</f>
        <v>1822.70833333333</v>
      </c>
      <c r="S69" s="33" t="n">
        <v>25</v>
      </c>
      <c r="T69" s="29" t="n">
        <f aca="false">N69/S69</f>
        <v>8269.32</v>
      </c>
      <c r="U69" s="29" t="n">
        <v>20956</v>
      </c>
      <c r="V69" s="34" t="n">
        <f aca="false">'$'!C56</f>
        <v>2.969792</v>
      </c>
      <c r="W69" s="35" t="n">
        <f aca="false">SUM(C69:E69)/V69</f>
        <v>48901.2563842855</v>
      </c>
      <c r="X69" s="35" t="n">
        <f aca="false">C69/$V69</f>
        <v>25860.9256136457</v>
      </c>
      <c r="Y69" s="35" t="n">
        <f aca="false">D69/$V69</f>
        <v>5550.50320022412</v>
      </c>
      <c r="Z69" s="35" t="n">
        <f aca="false">E69/$V69</f>
        <v>17489.8275704157</v>
      </c>
      <c r="AA69" s="36" t="n">
        <f aca="false">C69/((N69+U69)*V69)</f>
        <v>0.113580039499693</v>
      </c>
      <c r="AB69" s="36" t="n">
        <f aca="false">D69/((N69+U69)*V69)</f>
        <v>0.0243775641345174</v>
      </c>
      <c r="AC69" s="36" t="n">
        <f aca="false">E69/((N69+U69)*V69)</f>
        <v>0.0768145477841077</v>
      </c>
      <c r="AD69" s="36" t="n">
        <f aca="false">(C69+D69+E69)/((N69+U69)*V69)</f>
        <v>0.214772151418318</v>
      </c>
      <c r="AE69" s="36" t="n">
        <f aca="false">(C69+D69+E69)/((K69+U69)*V69)</f>
        <v>0.232022320943085</v>
      </c>
      <c r="AF69" s="37" t="n">
        <f aca="false">(P69/V69)/K69</f>
        <v>0.673586213471614</v>
      </c>
      <c r="AG69" s="38" t="n">
        <f aca="false">F69/($N69+$U69)</f>
        <v>0.350178928274972</v>
      </c>
      <c r="AH69" s="38" t="n">
        <f aca="false">G69/($N69+$U69)</f>
        <v>0.0693709401859554</v>
      </c>
      <c r="AI69" s="39" t="n">
        <f aca="false">I69/($N69+$U69)</f>
        <v>1.0021037467774</v>
      </c>
      <c r="AJ69" s="40" t="n">
        <f aca="false">C69/F69</f>
        <v>0.963247829695245</v>
      </c>
      <c r="AK69" s="40" t="n">
        <f aca="false">D69/G69</f>
        <v>1.04361126938905</v>
      </c>
      <c r="AL69" s="40" t="n">
        <f aca="false">E69/I69</f>
        <v>0.227644323480944</v>
      </c>
      <c r="AM69" s="41"/>
      <c r="AN69" s="42" t="n">
        <f aca="false">AJ69/$V69</f>
        <v>0.324348583905959</v>
      </c>
      <c r="AO69" s="42" t="n">
        <f aca="false">AK69/$V69</f>
        <v>0.351408876240843</v>
      </c>
      <c r="AP69" s="42" t="n">
        <f aca="false">AL69/$V69</f>
        <v>0.0766532886750802</v>
      </c>
      <c r="AQ69" s="42" t="n">
        <f aca="false">AM69/$V69</f>
        <v>0</v>
      </c>
      <c r="AR69" s="43"/>
    </row>
    <row r="70" customFormat="false" ht="18.75" hidden="false" customHeight="true" outlineLevel="0" collapsed="false">
      <c r="A70" s="18" t="n">
        <v>2016</v>
      </c>
      <c r="B70" s="18" t="n">
        <v>8</v>
      </c>
      <c r="C70" s="24" t="n">
        <v>91223.14</v>
      </c>
      <c r="D70" s="24" t="n">
        <v>17510.12</v>
      </c>
      <c r="E70" s="25" t="n">
        <v>57491.74</v>
      </c>
      <c r="F70" s="26" t="n">
        <f aca="false">93888.07+815.51</f>
        <v>94703.58</v>
      </c>
      <c r="G70" s="26" t="n">
        <v>16397</v>
      </c>
      <c r="H70" s="26"/>
      <c r="I70" s="27" t="n">
        <v>252550.8</v>
      </c>
      <c r="J70" s="27"/>
      <c r="K70" s="28" t="n">
        <f aca="false">N70-L70</f>
        <v>245177</v>
      </c>
      <c r="L70" s="29" t="n">
        <v>26722</v>
      </c>
      <c r="M70" s="30" t="n">
        <f aca="false">L70/N70</f>
        <v>0.0982791404161104</v>
      </c>
      <c r="N70" s="29" t="n">
        <v>271899</v>
      </c>
      <c r="O70" s="31" t="n">
        <v>312575</v>
      </c>
      <c r="P70" s="24" t="n">
        <v>389604</v>
      </c>
      <c r="Q70" s="32" t="n">
        <v>146</v>
      </c>
      <c r="R70" s="32" t="n">
        <f aca="false">O70/Q70</f>
        <v>2140.92465753425</v>
      </c>
      <c r="S70" s="33" t="n">
        <v>27</v>
      </c>
      <c r="T70" s="29" t="n">
        <f aca="false">N70/S70</f>
        <v>10070.3333333333</v>
      </c>
      <c r="U70" s="29" t="n">
        <v>21540</v>
      </c>
      <c r="V70" s="34" t="n">
        <f aca="false">'$'!C57</f>
        <v>2.960826</v>
      </c>
      <c r="W70" s="35" t="n">
        <f aca="false">SUM(C70:E70)/V70</f>
        <v>56141.4281014825</v>
      </c>
      <c r="X70" s="35" t="n">
        <f aca="false">C70/$V70</f>
        <v>30810.030714402</v>
      </c>
      <c r="Y70" s="35" t="n">
        <f aca="false">D70/$V70</f>
        <v>5913.930774723</v>
      </c>
      <c r="Z70" s="35" t="n">
        <f aca="false">E70/$V70</f>
        <v>19417.4666123575</v>
      </c>
      <c r="AA70" s="36" t="n">
        <f aca="false">C70/((N70+U70)*V70)</f>
        <v>0.104996373060166</v>
      </c>
      <c r="AB70" s="36" t="n">
        <f aca="false">D70/((N70+U70)*V70)</f>
        <v>0.0201538676683161</v>
      </c>
      <c r="AC70" s="36" t="n">
        <f aca="false">E70/((N70+U70)*V70)</f>
        <v>0.0661720719207655</v>
      </c>
      <c r="AD70" s="36" t="n">
        <f aca="false">(C70+D70+E70)/((N70+U70)*V70)</f>
        <v>0.191322312649247</v>
      </c>
      <c r="AE70" s="36" t="n">
        <f aca="false">(C70+D70+E70)/((K70+U70)*V70)</f>
        <v>0.210490625275039</v>
      </c>
      <c r="AF70" s="37" t="n">
        <f aca="false">(P70/V70)/K70</f>
        <v>0.536699010492555</v>
      </c>
      <c r="AG70" s="38" t="n">
        <f aca="false">F70/($N70+$U70)</f>
        <v>0.322736855019271</v>
      </c>
      <c r="AH70" s="38" t="n">
        <f aca="false">G70/($N70+$U70)</f>
        <v>0.055878734592198</v>
      </c>
      <c r="AI70" s="39" t="n">
        <f aca="false">I70/($N70+$U70)</f>
        <v>0.86065860366209</v>
      </c>
      <c r="AJ70" s="40" t="n">
        <f aca="false">C70/F70</f>
        <v>0.963249118987899</v>
      </c>
      <c r="AK70" s="44" t="n">
        <f aca="false">D70/G70</f>
        <v>1.06788558882722</v>
      </c>
      <c r="AL70" s="40" t="n">
        <f aca="false">E70/I70</f>
        <v>0.227644260085496</v>
      </c>
      <c r="AM70" s="41"/>
      <c r="AN70" s="42" t="n">
        <f aca="false">AJ70/$V70</f>
        <v>0.325331214663712</v>
      </c>
      <c r="AO70" s="42" t="n">
        <f aca="false">AK70/$V70</f>
        <v>0.360671511540099</v>
      </c>
      <c r="AP70" s="42" t="n">
        <f aca="false">AL70/$V70</f>
        <v>0.0768853894438564</v>
      </c>
      <c r="AQ70" s="42" t="n">
        <f aca="false">AM70/$V70</f>
        <v>0</v>
      </c>
      <c r="AR70" s="43"/>
    </row>
    <row r="71" customFormat="false" ht="18.75" hidden="false" customHeight="true" outlineLevel="0" collapsed="false">
      <c r="A71" s="18" t="n">
        <v>2016</v>
      </c>
      <c r="B71" s="18" t="n">
        <v>9</v>
      </c>
      <c r="C71" s="24" t="n">
        <v>78901.09</v>
      </c>
      <c r="D71" s="24" t="n">
        <v>15951.26</v>
      </c>
      <c r="E71" s="25" t="n">
        <v>49067.09</v>
      </c>
      <c r="F71" s="26" t="n">
        <f aca="false">80857.87+1053.53</f>
        <v>81911.4</v>
      </c>
      <c r="G71" s="26" t="n">
        <v>15021</v>
      </c>
      <c r="H71" s="26"/>
      <c r="I71" s="27" t="n">
        <v>215542.8</v>
      </c>
      <c r="J71" s="27"/>
      <c r="K71" s="28" t="n">
        <f aca="false">N71-L71</f>
        <v>207890</v>
      </c>
      <c r="L71" s="29" t="n">
        <v>17860</v>
      </c>
      <c r="M71" s="30" t="n">
        <f aca="false">L71/N71</f>
        <v>0.0791140642303433</v>
      </c>
      <c r="N71" s="29" t="n">
        <v>225750</v>
      </c>
      <c r="O71" s="31" t="n">
        <v>219093</v>
      </c>
      <c r="P71" s="24" t="n">
        <v>351898</v>
      </c>
      <c r="Q71" s="32" t="n">
        <v>148</v>
      </c>
      <c r="R71" s="32" t="n">
        <f aca="false">O71/Q71</f>
        <v>1480.35810810811</v>
      </c>
      <c r="S71" s="33" t="n">
        <v>20</v>
      </c>
      <c r="T71" s="29" t="n">
        <f aca="false">N71/S71</f>
        <v>11287.5</v>
      </c>
      <c r="U71" s="29" t="n">
        <v>29250</v>
      </c>
      <c r="V71" s="34" t="n">
        <f aca="false">'$'!C58</f>
        <v>2.968482</v>
      </c>
      <c r="W71" s="35" t="n">
        <f aca="false">SUM(C71:E71)/V71</f>
        <v>48482.5038521372</v>
      </c>
      <c r="X71" s="35" t="n">
        <f aca="false">C71/$V71</f>
        <v>26579.6087023603</v>
      </c>
      <c r="Y71" s="35" t="n">
        <f aca="false">D71/$V71</f>
        <v>5373.54108935139</v>
      </c>
      <c r="Z71" s="35" t="n">
        <f aca="false">E71/$V71</f>
        <v>16529.3540604255</v>
      </c>
      <c r="AA71" s="36" t="n">
        <f aca="false">C71/((N71+U71)*V71)</f>
        <v>0.104233759617099</v>
      </c>
      <c r="AB71" s="36" t="n">
        <f aca="false">D71/((N71+U71)*V71)</f>
        <v>0.0210727101543192</v>
      </c>
      <c r="AC71" s="36" t="n">
        <f aca="false">E71/((N71+U71)*V71)</f>
        <v>0.0648209963153941</v>
      </c>
      <c r="AD71" s="36" t="n">
        <f aca="false">(C71+D71+E71)/((N71+U71)*V71)</f>
        <v>0.190127466086813</v>
      </c>
      <c r="AE71" s="36" t="n">
        <f aca="false">(C71+D71+E71)/((K71+U71)*V71)</f>
        <v>0.20444675656632</v>
      </c>
      <c r="AF71" s="37" t="n">
        <f aca="false">(P71/V71)/K71</f>
        <v>0.570228316083226</v>
      </c>
      <c r="AG71" s="38" t="n">
        <f aca="false">F71/($N71+$U71)</f>
        <v>0.321221176470588</v>
      </c>
      <c r="AH71" s="38" t="n">
        <f aca="false">G71/($N71+$U71)</f>
        <v>0.0589058823529412</v>
      </c>
      <c r="AI71" s="39" t="n">
        <f aca="false">I71/($N71+$U71)</f>
        <v>0.845265882352941</v>
      </c>
      <c r="AJ71" s="40" t="n">
        <f aca="false">C71/F71</f>
        <v>0.963249193640934</v>
      </c>
      <c r="AK71" s="40" t="n">
        <f aca="false">D71/G71</f>
        <v>1.0619306304507</v>
      </c>
      <c r="AL71" s="40" t="n">
        <f aca="false">E71/I71</f>
        <v>0.227644300807079</v>
      </c>
      <c r="AM71" s="41"/>
      <c r="AN71" s="42" t="n">
        <f aca="false">AJ71/$V71</f>
        <v>0.324492179383582</v>
      </c>
      <c r="AO71" s="42" t="n">
        <f aca="false">AK71/$V71</f>
        <v>0.35773524328283</v>
      </c>
      <c r="AP71" s="42" t="n">
        <f aca="false">AL71/$V71</f>
        <v>0.0766871083628193</v>
      </c>
      <c r="AQ71" s="42" t="n">
        <f aca="false">AM71/$V71</f>
        <v>0</v>
      </c>
      <c r="AR71" s="43"/>
    </row>
    <row r="72" customFormat="false" ht="18.75" hidden="false" customHeight="true" outlineLevel="0" collapsed="false">
      <c r="A72" s="18" t="n">
        <v>2016</v>
      </c>
      <c r="B72" s="18" t="n">
        <v>10</v>
      </c>
      <c r="C72" s="24" t="n">
        <v>115896.16</v>
      </c>
      <c r="D72" s="24" t="n">
        <v>24771.16</v>
      </c>
      <c r="E72" s="25" t="n">
        <v>62980.06</v>
      </c>
      <c r="F72" s="26" t="n">
        <f aca="false">130970.66+1134.66</f>
        <v>132105.32</v>
      </c>
      <c r="G72" s="26" t="n">
        <v>21436</v>
      </c>
      <c r="H72" s="26"/>
      <c r="I72" s="27" t="n">
        <v>276660</v>
      </c>
      <c r="J72" s="27"/>
      <c r="K72" s="28" t="n">
        <f aca="false">N72-L72</f>
        <v>264207</v>
      </c>
      <c r="L72" s="29" t="n">
        <v>29683</v>
      </c>
      <c r="M72" s="30" t="n">
        <f aca="false">L72/N72</f>
        <v>0.1010003742897</v>
      </c>
      <c r="N72" s="29" t="n">
        <v>293890</v>
      </c>
      <c r="O72" s="31" t="n">
        <v>289554</v>
      </c>
      <c r="P72" s="24" t="n">
        <v>371926</v>
      </c>
      <c r="Q72" s="32" t="n">
        <v>147</v>
      </c>
      <c r="R72" s="32" t="n">
        <f aca="false">O72/Q72</f>
        <v>1969.75510204082</v>
      </c>
      <c r="S72" s="33" t="n">
        <v>27</v>
      </c>
      <c r="T72" s="29" t="n">
        <f aca="false">N72/S72</f>
        <v>10884.8148148148</v>
      </c>
      <c r="U72" s="29" t="n">
        <v>47500</v>
      </c>
      <c r="V72" s="34" t="n">
        <f aca="false">'$'!C59</f>
        <v>3.073362</v>
      </c>
      <c r="W72" s="35" t="n">
        <f aca="false">SUM(C72:E72)/V72</f>
        <v>66262.0869263042</v>
      </c>
      <c r="X72" s="35" t="n">
        <f aca="false">C72/$V72</f>
        <v>37709.895547612</v>
      </c>
      <c r="Y72" s="35" t="n">
        <f aca="false">D72/$V72</f>
        <v>8059.95518913815</v>
      </c>
      <c r="Z72" s="35" t="n">
        <f aca="false">E72/$V72</f>
        <v>20492.236189554</v>
      </c>
      <c r="AA72" s="36" t="n">
        <f aca="false">C72/((N72+U72)*V72)</f>
        <v>0.110459871547532</v>
      </c>
      <c r="AB72" s="36" t="n">
        <f aca="false">D72/((N72+U72)*V72)</f>
        <v>0.0236092304670264</v>
      </c>
      <c r="AC72" s="36" t="n">
        <f aca="false">E72/((N72+U72)*V72)</f>
        <v>0.0600258829771053</v>
      </c>
      <c r="AD72" s="36" t="n">
        <f aca="false">(C72+D72+E72)/((N72+U72)*V72)</f>
        <v>0.194094984991664</v>
      </c>
      <c r="AE72" s="36" t="n">
        <f aca="false">(C72+D72+E72)/((K72+U72)*V72)</f>
        <v>0.21257811639233</v>
      </c>
      <c r="AF72" s="37" t="n">
        <f aca="false">(P72/V72)/K72</f>
        <v>0.45803482828508</v>
      </c>
      <c r="AG72" s="38" t="n">
        <f aca="false">F72/($N72+$U72)</f>
        <v>0.386963062772782</v>
      </c>
      <c r="AH72" s="38" t="n">
        <f aca="false">G72/($N72+$U72)</f>
        <v>0.0627903570696271</v>
      </c>
      <c r="AI72" s="39" t="n">
        <f aca="false">I72/($N72+$U72)</f>
        <v>0.810392805881836</v>
      </c>
      <c r="AJ72" s="44" t="n">
        <f aca="false">C72/F72</f>
        <v>0.877301232077557</v>
      </c>
      <c r="AK72" s="44" t="n">
        <f aca="false">D72/G72</f>
        <v>1.15558686322075</v>
      </c>
      <c r="AL72" s="40" t="n">
        <f aca="false">E72/I72</f>
        <v>0.227644256488108</v>
      </c>
      <c r="AM72" s="41"/>
      <c r="AN72" s="42" t="n">
        <f aca="false">AJ72/$V72</f>
        <v>0.285453269766971</v>
      </c>
      <c r="AO72" s="42" t="n">
        <f aca="false">AK72/$V72</f>
        <v>0.376000895182784</v>
      </c>
      <c r="AP72" s="42" t="n">
        <f aca="false">AL72/$V72</f>
        <v>0.0740701083985903</v>
      </c>
      <c r="AQ72" s="42" t="n">
        <f aca="false">AM72/$V72</f>
        <v>0</v>
      </c>
      <c r="AR72" s="43"/>
    </row>
    <row r="73" customFormat="false" ht="18.75" hidden="false" customHeight="true" outlineLevel="0" collapsed="false">
      <c r="A73" s="18" t="n">
        <v>2016</v>
      </c>
      <c r="B73" s="18" t="n">
        <v>11</v>
      </c>
      <c r="C73" s="24" t="n">
        <v>119474.25</v>
      </c>
      <c r="D73" s="24" t="n">
        <v>23507.51</v>
      </c>
      <c r="E73" s="25" t="n">
        <v>65169</v>
      </c>
      <c r="F73" s="26" t="n">
        <f aca="false">134739.69+1556.05</f>
        <v>136295.74</v>
      </c>
      <c r="G73" s="26" t="n">
        <v>20625</v>
      </c>
      <c r="H73" s="26"/>
      <c r="I73" s="27" t="n">
        <v>286275</v>
      </c>
      <c r="J73" s="27"/>
      <c r="K73" s="28" t="n">
        <f aca="false">N73-L73</f>
        <v>253280</v>
      </c>
      <c r="L73" s="29" t="n">
        <v>30287</v>
      </c>
      <c r="M73" s="30" t="n">
        <f aca="false">L73/N73</f>
        <v>0.106807209583626</v>
      </c>
      <c r="N73" s="29" t="n">
        <v>283567</v>
      </c>
      <c r="O73" s="31" t="n">
        <v>343207</v>
      </c>
      <c r="P73" s="24" t="n">
        <v>394954</v>
      </c>
      <c r="Q73" s="32" t="n">
        <v>146</v>
      </c>
      <c r="R73" s="32" t="n">
        <f aca="false">O73/Q73</f>
        <v>2350.73287671233</v>
      </c>
      <c r="S73" s="33" t="n">
        <v>28</v>
      </c>
      <c r="T73" s="29" t="n">
        <f aca="false">N73/S73</f>
        <v>10127.3928571429</v>
      </c>
      <c r="U73" s="29" t="n">
        <v>38486</v>
      </c>
      <c r="V73" s="34" t="n">
        <f aca="false">'$'!C60</f>
        <v>3.299438</v>
      </c>
      <c r="W73" s="35" t="n">
        <f aca="false">SUM(C73:E73)/V73</f>
        <v>63086.7317403752</v>
      </c>
      <c r="X73" s="35" t="n">
        <f aca="false">C73/$V73</f>
        <v>36210.4849371317</v>
      </c>
      <c r="Y73" s="35" t="n">
        <f aca="false">D73/$V73</f>
        <v>7124.70123699854</v>
      </c>
      <c r="Z73" s="35" t="n">
        <f aca="false">E73/$V73</f>
        <v>19751.5455662449</v>
      </c>
      <c r="AA73" s="36" t="n">
        <f aca="false">C73/((N73+U73)*V73)</f>
        <v>0.112436415550023</v>
      </c>
      <c r="AB73" s="36" t="n">
        <f aca="false">D73/((N73+U73)*V73)</f>
        <v>0.0221227600332819</v>
      </c>
      <c r="AC73" s="36" t="n">
        <f aca="false">E73/((N73+U73)*V73)</f>
        <v>0.0613301089145107</v>
      </c>
      <c r="AD73" s="36" t="n">
        <f aca="false">(C73+D73+E73)/((N73+U73)*V73)</f>
        <v>0.195889284497816</v>
      </c>
      <c r="AE73" s="36" t="n">
        <f aca="false">(C73+D73+E73)/((K73+U73)*V73)</f>
        <v>0.216223726343629</v>
      </c>
      <c r="AF73" s="37" t="n">
        <f aca="false">(P73/V73)/K73</f>
        <v>0.472612982302351</v>
      </c>
      <c r="AG73" s="38" t="n">
        <f aca="false">F73/($N73+$U73)</f>
        <v>0.423209037021857</v>
      </c>
      <c r="AH73" s="38" t="n">
        <f aca="false">G73/($N73+$U73)</f>
        <v>0.0640422539147283</v>
      </c>
      <c r="AI73" s="39" t="n">
        <f aca="false">I73/($N73+$U73)</f>
        <v>0.888906484336429</v>
      </c>
      <c r="AJ73" s="40" t="n">
        <f aca="false">C73/F73</f>
        <v>0.876580955501617</v>
      </c>
      <c r="AK73" s="40" t="n">
        <f aca="false">D73/G73</f>
        <v>1.13975806060606</v>
      </c>
      <c r="AL73" s="40" t="n">
        <f aca="false">E73/I73</f>
        <v>0.227644747183652</v>
      </c>
      <c r="AM73" s="41"/>
      <c r="AN73" s="42" t="n">
        <f aca="false">AJ73/$V73</f>
        <v>0.265675837976533</v>
      </c>
      <c r="AO73" s="42" t="n">
        <f aca="false">AK73/$V73</f>
        <v>0.345440059975687</v>
      </c>
      <c r="AP73" s="42" t="n">
        <f aca="false">AL73/$V73</f>
        <v>0.0689950067810494</v>
      </c>
      <c r="AQ73" s="42" t="n">
        <f aca="false">AM73/$V73</f>
        <v>0</v>
      </c>
      <c r="AR73" s="43"/>
    </row>
    <row r="74" customFormat="false" ht="18.75" hidden="false" customHeight="true" outlineLevel="0" collapsed="false">
      <c r="A74" s="18" t="n">
        <v>2016</v>
      </c>
      <c r="B74" s="18" t="n">
        <v>12</v>
      </c>
      <c r="C74" s="24" t="n">
        <v>121289.34</v>
      </c>
      <c r="D74" s="24" t="n">
        <v>17793</v>
      </c>
      <c r="E74" s="25" t="n">
        <v>76691.48</v>
      </c>
      <c r="F74" s="26" t="n">
        <v>125916.92</v>
      </c>
      <c r="G74" s="26" t="n">
        <v>18840</v>
      </c>
      <c r="H74" s="26"/>
      <c r="I74" s="27" t="n">
        <v>342966.6</v>
      </c>
      <c r="J74" s="27"/>
      <c r="K74" s="28" t="n">
        <f aca="false">N74-L74</f>
        <v>289748</v>
      </c>
      <c r="L74" s="29" t="n">
        <v>29564</v>
      </c>
      <c r="M74" s="30" t="n">
        <f aca="false">L74/N74</f>
        <v>0.0925865611063787</v>
      </c>
      <c r="N74" s="29" t="n">
        <v>319312</v>
      </c>
      <c r="O74" s="31" t="n">
        <v>322344</v>
      </c>
      <c r="P74" s="24" t="n">
        <v>389176</v>
      </c>
      <c r="Q74" s="32" t="n">
        <v>144</v>
      </c>
      <c r="R74" s="32" t="n">
        <f aca="false">O74/Q74</f>
        <v>2238.5</v>
      </c>
      <c r="S74" s="33" t="n">
        <v>28</v>
      </c>
      <c r="T74" s="29" t="n">
        <f aca="false">N74/S74</f>
        <v>11404</v>
      </c>
      <c r="U74" s="29" t="n">
        <v>33767</v>
      </c>
      <c r="V74" s="34" t="n">
        <f aca="false">'$'!C61</f>
        <v>3.502333</v>
      </c>
      <c r="W74" s="35" t="n">
        <f aca="false">SUM(C74:E74)/V74</f>
        <v>61608.5963270768</v>
      </c>
      <c r="X74" s="35" t="n">
        <f aca="false">C74/$V74</f>
        <v>34631.0130989829</v>
      </c>
      <c r="Y74" s="35" t="n">
        <f aca="false">D74/$V74</f>
        <v>5080.32788429884</v>
      </c>
      <c r="Z74" s="35" t="n">
        <f aca="false">E74/$V74</f>
        <v>21897.2553437951</v>
      </c>
      <c r="AA74" s="36" t="n">
        <f aca="false">C74/((N74+U74)*V74)</f>
        <v>0.0980829024070615</v>
      </c>
      <c r="AB74" s="36" t="n">
        <f aca="false">D74/((N74+U74)*V74)</f>
        <v>0.0143886435735312</v>
      </c>
      <c r="AC74" s="36" t="n">
        <f aca="false">E74/((N74+U74)*V74)</f>
        <v>0.0620180054429607</v>
      </c>
      <c r="AD74" s="36" t="n">
        <f aca="false">(C74+D74+E74)/((N74+U74)*V74)</f>
        <v>0.174489551423554</v>
      </c>
      <c r="AE74" s="36" t="n">
        <f aca="false">(C74+D74+E74)/((K74+U74)*V74)</f>
        <v>0.190435053481529</v>
      </c>
      <c r="AF74" s="37" t="n">
        <f aca="false">(P74/V74)/K74</f>
        <v>0.383502471310266</v>
      </c>
      <c r="AG74" s="38" t="n">
        <f aca="false">F74/($N74+$U74)</f>
        <v>0.356625344469651</v>
      </c>
      <c r="AH74" s="38" t="n">
        <f aca="false">G74/($N74+$U74)</f>
        <v>0.0533591632467521</v>
      </c>
      <c r="AI74" s="39" t="n">
        <f aca="false">I74/($N74+$U74)</f>
        <v>0.971359384160485</v>
      </c>
      <c r="AJ74" s="44" t="n">
        <f aca="false">C74/F74</f>
        <v>0.963248942239057</v>
      </c>
      <c r="AK74" s="44" t="n">
        <f aca="false">D74/G74</f>
        <v>0.944426751592357</v>
      </c>
      <c r="AL74" s="40" t="n">
        <f aca="false">E74/I74</f>
        <v>0.22361209517195</v>
      </c>
      <c r="AM74" s="41"/>
      <c r="AN74" s="42" t="n">
        <f aca="false">AJ74/$V74</f>
        <v>0.275030655919656</v>
      </c>
      <c r="AO74" s="42" t="n">
        <f aca="false">AK74/$V74</f>
        <v>0.269656469442613</v>
      </c>
      <c r="AP74" s="42" t="n">
        <f aca="false">AL74/$V74</f>
        <v>0.0638466117219435</v>
      </c>
      <c r="AQ74" s="42" t="n">
        <f aca="false">AM74/$V74</f>
        <v>0</v>
      </c>
      <c r="AR74" s="46"/>
    </row>
    <row r="75" customFormat="false" ht="18.75" hidden="false" customHeight="true" outlineLevel="0" collapsed="false">
      <c r="A75" s="18" t="n">
        <v>2017</v>
      </c>
      <c r="B75" s="18" t="n">
        <v>1</v>
      </c>
      <c r="C75" s="24" t="n">
        <v>95971.14</v>
      </c>
      <c r="D75" s="24" t="n">
        <v>19262.54</v>
      </c>
      <c r="E75" s="25" t="n">
        <v>62086.82</v>
      </c>
      <c r="F75" s="26" t="n">
        <f aca="false">108655.68+827.8</f>
        <v>109483.48</v>
      </c>
      <c r="G75" s="26" t="n">
        <v>15041</v>
      </c>
      <c r="H75" s="26"/>
      <c r="I75" s="27" t="n">
        <v>270381.6</v>
      </c>
      <c r="J75" s="27"/>
      <c r="K75" s="28" t="n">
        <f aca="false">N75-L75</f>
        <v>245715</v>
      </c>
      <c r="L75" s="29" t="n">
        <v>27061</v>
      </c>
      <c r="M75" s="30" t="n">
        <f aca="false">L75/N75</f>
        <v>0.0992059418717189</v>
      </c>
      <c r="N75" s="29" t="n">
        <v>272776</v>
      </c>
      <c r="O75" s="31" t="n">
        <v>271051</v>
      </c>
      <c r="P75" s="24" t="n">
        <v>396365</v>
      </c>
      <c r="Q75" s="32" t="n">
        <v>142</v>
      </c>
      <c r="R75" s="32" t="n">
        <f aca="false">O75/Q75</f>
        <v>1908.80985915493</v>
      </c>
      <c r="S75" s="33" t="n">
        <v>26</v>
      </c>
      <c r="T75" s="29" t="n">
        <f aca="false">N75/S75</f>
        <v>10491.3846153846</v>
      </c>
      <c r="U75" s="29" t="n">
        <v>27362</v>
      </c>
      <c r="V75" s="34" t="n">
        <f aca="false">'$'!C62</f>
        <v>3.812</v>
      </c>
      <c r="W75" s="35" t="n">
        <f aca="false">SUM(C75:E75)/V75</f>
        <v>46516.3955928646</v>
      </c>
      <c r="X75" s="35" t="n">
        <f aca="false">C75/$V75</f>
        <v>25176.0598111228</v>
      </c>
      <c r="Y75" s="35" t="n">
        <f aca="false">D75/$V75</f>
        <v>5053.13221406086</v>
      </c>
      <c r="Z75" s="35" t="n">
        <f aca="false">E75/$V75</f>
        <v>16287.203567681</v>
      </c>
      <c r="AA75" s="36" t="n">
        <f aca="false">C75/((N75+U75)*V75)</f>
        <v>0.0838816138280483</v>
      </c>
      <c r="AB75" s="36" t="n">
        <f aca="false">D75/((N75+U75)*V75)</f>
        <v>0.0168360294733118</v>
      </c>
      <c r="AC75" s="36" t="n">
        <f aca="false">E75/((N75+U75)*V75)</f>
        <v>0.0542657163294252</v>
      </c>
      <c r="AD75" s="36" t="n">
        <f aca="false">(C75+D75+E75)/((N75+U75)*V75)</f>
        <v>0.154983359630785</v>
      </c>
      <c r="AE75" s="36" t="n">
        <f aca="false">(C75+D75+E75)/((K75+U75)*V75)</f>
        <v>0.170341682356495</v>
      </c>
      <c r="AF75" s="37" t="n">
        <f aca="false">(P75/V75)/K75</f>
        <v>0.42316597135981</v>
      </c>
      <c r="AG75" s="38" t="n">
        <f aca="false">F75/($N75+$U75)</f>
        <v>0.364777135850842</v>
      </c>
      <c r="AH75" s="38" t="n">
        <f aca="false">G75/($N75+$U75)</f>
        <v>0.0501136144040408</v>
      </c>
      <c r="AI75" s="39" t="n">
        <f aca="false">I75/($N75+$U75)</f>
        <v>0.900857605501469</v>
      </c>
      <c r="AJ75" s="44" t="n">
        <f aca="false">C75/F75</f>
        <v>0.876581014779581</v>
      </c>
      <c r="AK75" s="44" t="n">
        <f aca="false">D75/G75</f>
        <v>1.28066883850808</v>
      </c>
      <c r="AL75" s="40" t="n">
        <f aca="false">E75/I75</f>
        <v>0.229626646191901</v>
      </c>
      <c r="AM75" s="41"/>
      <c r="AN75" s="42" t="n">
        <f aca="false">AJ75/$V75</f>
        <v>0.229953046899156</v>
      </c>
      <c r="AO75" s="42" t="n">
        <f aca="false">AK75/$V75</f>
        <v>0.335957197929716</v>
      </c>
      <c r="AP75" s="42" t="n">
        <f aca="false">AL75/$V75</f>
        <v>0.0602378400293548</v>
      </c>
      <c r="AQ75" s="42" t="n">
        <f aca="false">AM75/$V75</f>
        <v>0</v>
      </c>
      <c r="AR75" s="46"/>
    </row>
    <row r="76" customFormat="false" ht="18.75" hidden="false" customHeight="true" outlineLevel="0" collapsed="false">
      <c r="A76" s="18" t="n">
        <v>2017</v>
      </c>
      <c r="B76" s="18" t="n">
        <v>2</v>
      </c>
      <c r="C76" s="24" t="n">
        <v>97200.88</v>
      </c>
      <c r="D76" s="24" t="n">
        <v>23602.49</v>
      </c>
      <c r="E76" s="25" t="n">
        <v>62776.46</v>
      </c>
      <c r="F76" s="26" t="n">
        <f aca="false">110108.48+777.86</f>
        <v>110886.34</v>
      </c>
      <c r="G76" s="26" t="n">
        <v>18594</v>
      </c>
      <c r="H76" s="26"/>
      <c r="I76" s="27" t="n">
        <v>269339.4</v>
      </c>
      <c r="J76" s="27"/>
      <c r="K76" s="28" t="n">
        <f aca="false">N76-L76</f>
        <v>232533</v>
      </c>
      <c r="L76" s="29" t="n">
        <v>21080</v>
      </c>
      <c r="M76" s="30" t="n">
        <f aca="false">L76/N76</f>
        <v>0.083118767571063</v>
      </c>
      <c r="N76" s="29" t="n">
        <v>253613</v>
      </c>
      <c r="O76" s="31" t="n">
        <v>247864</v>
      </c>
      <c r="P76" s="24" t="n">
        <v>388651</v>
      </c>
      <c r="Q76" s="32" t="n">
        <v>142</v>
      </c>
      <c r="R76" s="32" t="n">
        <f aca="false">O76/Q76</f>
        <v>1745.52112676056</v>
      </c>
      <c r="S76" s="33" t="n">
        <v>25</v>
      </c>
      <c r="T76" s="29" t="n">
        <f aca="false">N76/S76</f>
        <v>10144.52</v>
      </c>
      <c r="U76" s="29" t="n">
        <v>51125</v>
      </c>
      <c r="V76" s="34" t="n">
        <f aca="false">'$'!C63</f>
        <v>3.666612</v>
      </c>
      <c r="W76" s="35" t="n">
        <f aca="false">SUM(C76:E76)/V76</f>
        <v>50067.972831595</v>
      </c>
      <c r="X76" s="35" t="n">
        <f aca="false">C76/$V76</f>
        <v>26509.726145008</v>
      </c>
      <c r="Y76" s="35" t="n">
        <f aca="false">D76/$V76</f>
        <v>6437.13869915879</v>
      </c>
      <c r="Z76" s="35" t="n">
        <f aca="false">E76/$V76</f>
        <v>17121.1079874282</v>
      </c>
      <c r="AA76" s="36" t="n">
        <f aca="false">C76/((N76+U76)*V76)</f>
        <v>0.0869918623375096</v>
      </c>
      <c r="AB76" s="36" t="n">
        <f aca="false">D76/((N76+U76)*V76)</f>
        <v>0.0211235182325761</v>
      </c>
      <c r="AC76" s="36" t="n">
        <f aca="false">E76/((N76+U76)*V76)</f>
        <v>0.0561830424411402</v>
      </c>
      <c r="AD76" s="36" t="n">
        <f aca="false">(C76+D76+E76)/((N76+U76)*V76)</f>
        <v>0.164298423011226</v>
      </c>
      <c r="AE76" s="36" t="n">
        <f aca="false">(C76+D76+E76)/((K76+U76)*V76)</f>
        <v>0.176508234675542</v>
      </c>
      <c r="AF76" s="37" t="n">
        <f aca="false">(P76/V76)/K76</f>
        <v>0.455837698718988</v>
      </c>
      <c r="AG76" s="38" t="n">
        <f aca="false">F76/($N76+$U76)</f>
        <v>0.363874344518898</v>
      </c>
      <c r="AH76" s="38" t="n">
        <f aca="false">G76/($N76+$U76)</f>
        <v>0.0610163484698331</v>
      </c>
      <c r="AI76" s="39" t="n">
        <f aca="false">I76/($N76+$U76)</f>
        <v>0.883839232389791</v>
      </c>
      <c r="AJ76" s="40" t="n">
        <f aca="false">C76/F76</f>
        <v>0.876581191154835</v>
      </c>
      <c r="AK76" s="40" t="n">
        <f aca="false">D76/G76</f>
        <v>1.26936054641282</v>
      </c>
      <c r="AL76" s="40" t="n">
        <f aca="false">E76/I76</f>
        <v>0.233075665869902</v>
      </c>
      <c r="AM76" s="41"/>
      <c r="AN76" s="42" t="n">
        <f aca="false">AJ76/$V76</f>
        <v>0.239071161921369</v>
      </c>
      <c r="AO76" s="42" t="n">
        <f aca="false">AK76/$V76</f>
        <v>0.346194401374572</v>
      </c>
      <c r="AP76" s="42" t="n">
        <f aca="false">AL76/$V76</f>
        <v>0.0635670384185462</v>
      </c>
      <c r="AQ76" s="42" t="n">
        <f aca="false">AM76/$V76</f>
        <v>0</v>
      </c>
      <c r="AR76" s="43"/>
    </row>
    <row r="77" customFormat="false" ht="18.75" hidden="false" customHeight="true" outlineLevel="0" collapsed="false">
      <c r="A77" s="18" t="n">
        <v>2017</v>
      </c>
      <c r="B77" s="18" t="n">
        <v>3</v>
      </c>
      <c r="C77" s="24" t="n">
        <v>101658.69</v>
      </c>
      <c r="D77" s="24" t="n">
        <v>29625.67</v>
      </c>
      <c r="E77" s="25" t="n">
        <v>74553.28</v>
      </c>
      <c r="F77" s="26" t="n">
        <f aca="false">114232.98+881.23</f>
        <v>115114.21</v>
      </c>
      <c r="G77" s="26" t="n">
        <v>23170</v>
      </c>
      <c r="H77" s="26"/>
      <c r="I77" s="27" t="n">
        <v>319867.2</v>
      </c>
      <c r="J77" s="27"/>
      <c r="K77" s="28" t="n">
        <f aca="false">N77-L77</f>
        <v>268248</v>
      </c>
      <c r="L77" s="29" t="n">
        <v>18836</v>
      </c>
      <c r="M77" s="30" t="n">
        <f aca="false">L77/N77</f>
        <v>0.0656114586671497</v>
      </c>
      <c r="N77" s="29" t="n">
        <v>287084</v>
      </c>
      <c r="O77" s="31" t="n">
        <v>315683</v>
      </c>
      <c r="P77" s="24" t="n">
        <v>434978</v>
      </c>
      <c r="Q77" s="32" t="n">
        <v>148</v>
      </c>
      <c r="R77" s="32" t="n">
        <f aca="false">O77/Q77</f>
        <v>2132.99324324324</v>
      </c>
      <c r="S77" s="33" t="n">
        <v>28</v>
      </c>
      <c r="T77" s="29" t="n">
        <f aca="false">N77/S77</f>
        <v>10253</v>
      </c>
      <c r="U77" s="47" t="n">
        <v>70687</v>
      </c>
      <c r="V77" s="34" t="n">
        <f aca="false">'$'!C64</f>
        <v>3.599536</v>
      </c>
      <c r="W77" s="35" t="n">
        <f aca="false">SUM(C77:E77)/V77</f>
        <v>57184.4926679439</v>
      </c>
      <c r="X77" s="35" t="n">
        <f aca="false">C77/$V77</f>
        <v>28242.1651012797</v>
      </c>
      <c r="Y77" s="35" t="n">
        <f aca="false">D77/$V77</f>
        <v>8230.41358664006</v>
      </c>
      <c r="Z77" s="35" t="n">
        <f aca="false">E77/$V77</f>
        <v>20711.9139800241</v>
      </c>
      <c r="AA77" s="36" t="n">
        <f aca="false">C77/((N77+U77)*V77)</f>
        <v>0.0789392239764534</v>
      </c>
      <c r="AB77" s="36" t="n">
        <f aca="false">D77/((N77+U77)*V77)</f>
        <v>0.0230046973808387</v>
      </c>
      <c r="AC77" s="36" t="n">
        <f aca="false">E77/((N77+U77)*V77)</f>
        <v>0.0578915395043871</v>
      </c>
      <c r="AD77" s="36" t="n">
        <f aca="false">(C77+D77+E77)/((N77+U77)*V77)</f>
        <v>0.159835460861679</v>
      </c>
      <c r="AE77" s="36" t="n">
        <f aca="false">(C77+D77+E77)/((K77+U77)*V77)</f>
        <v>0.168718169170914</v>
      </c>
      <c r="AF77" s="37" t="n">
        <f aca="false">(P77/V77)/K77</f>
        <v>0.450489090379516</v>
      </c>
      <c r="AG77" s="38" t="n">
        <f aca="false">F77/($N77+$U77)</f>
        <v>0.321753887263082</v>
      </c>
      <c r="AH77" s="38" t="n">
        <f aca="false">G77/($N77+$U77)</f>
        <v>0.064762096424808</v>
      </c>
      <c r="AI77" s="39" t="n">
        <f aca="false">I77/($N77+$U77)</f>
        <v>0.894055694843908</v>
      </c>
      <c r="AJ77" s="40" t="n">
        <f aca="false">C77/F77</f>
        <v>0.883111563724409</v>
      </c>
      <c r="AK77" s="40" t="n">
        <f aca="false">D77/G77</f>
        <v>1.27862192490289</v>
      </c>
      <c r="AL77" s="40" t="n">
        <f aca="false">E77/I77</f>
        <v>0.233075726426467</v>
      </c>
      <c r="AM77" s="41"/>
      <c r="AN77" s="42" t="n">
        <f aca="false">AJ77/$V77</f>
        <v>0.245340389351408</v>
      </c>
      <c r="AO77" s="42" t="n">
        <f aca="false">AK77/$V77</f>
        <v>0.355218540640486</v>
      </c>
      <c r="AP77" s="42" t="n">
        <f aca="false">AL77/$V77</f>
        <v>0.064751603102863</v>
      </c>
      <c r="AQ77" s="42" t="n">
        <f aca="false">AM77/$V77</f>
        <v>0</v>
      </c>
      <c r="AR77" s="43"/>
    </row>
    <row r="78" customFormat="false" ht="18.75" hidden="false" customHeight="true" outlineLevel="0" collapsed="false">
      <c r="A78" s="18" t="n">
        <v>2017</v>
      </c>
      <c r="B78" s="18" t="n">
        <v>4</v>
      </c>
      <c r="C78" s="24" t="n">
        <v>81714.22</v>
      </c>
      <c r="D78" s="24" t="n">
        <v>21456.76</v>
      </c>
      <c r="E78" s="25" t="n">
        <v>65009.67</v>
      </c>
      <c r="F78" s="26" t="n">
        <f aca="false">92032.98+483.03</f>
        <v>92516.01</v>
      </c>
      <c r="G78" s="26" t="n">
        <v>16930</v>
      </c>
      <c r="H78" s="26"/>
      <c r="I78" s="27" t="n">
        <v>278920.8</v>
      </c>
      <c r="J78" s="27"/>
      <c r="K78" s="28" t="n">
        <f aca="false">N78-L78</f>
        <v>238937</v>
      </c>
      <c r="L78" s="29" t="n">
        <v>14240</v>
      </c>
      <c r="M78" s="30" t="n">
        <f aca="false">L78/N78</f>
        <v>0.0562452355466729</v>
      </c>
      <c r="N78" s="29" t="n">
        <v>253177</v>
      </c>
      <c r="O78" s="31" t="n">
        <v>258236</v>
      </c>
      <c r="P78" s="24" t="n">
        <v>416998</v>
      </c>
      <c r="Q78" s="32" t="n">
        <v>148</v>
      </c>
      <c r="R78" s="32" t="n">
        <f aca="false">O78/Q78</f>
        <v>1744.83783783784</v>
      </c>
      <c r="S78" s="33" t="n">
        <v>26</v>
      </c>
      <c r="T78" s="29" t="n">
        <f aca="false">N78/S78</f>
        <v>9737.57692307692</v>
      </c>
      <c r="U78" s="29" t="n">
        <v>27644</v>
      </c>
      <c r="V78" s="34" t="n">
        <f aca="false">'$'!C65</f>
        <v>3.653912</v>
      </c>
      <c r="W78" s="35" t="n">
        <f aca="false">SUM(C78:E78)/V78</f>
        <v>46027.5589559902</v>
      </c>
      <c r="X78" s="35" t="n">
        <f aca="false">C78/$V78</f>
        <v>22363.4887758654</v>
      </c>
      <c r="Y78" s="35" t="n">
        <f aca="false">D78/$V78</f>
        <v>5872.27059655514</v>
      </c>
      <c r="Z78" s="35" t="n">
        <f aca="false">E78/$V78</f>
        <v>17791.7995835696</v>
      </c>
      <c r="AA78" s="36" t="n">
        <f aca="false">C78/((N78+U78)*V78)</f>
        <v>0.0796360983539886</v>
      </c>
      <c r="AB78" s="36" t="n">
        <f aca="false">D78/((N78+U78)*V78)</f>
        <v>0.0209110807117528</v>
      </c>
      <c r="AC78" s="36" t="n">
        <f aca="false">E78/((N78+U78)*V78)</f>
        <v>0.0633563714379253</v>
      </c>
      <c r="AD78" s="36" t="n">
        <f aca="false">(C78+D78+E78)/((N78+U78)*V78)</f>
        <v>0.163903550503667</v>
      </c>
      <c r="AE78" s="36" t="n">
        <f aca="false">(C78+D78+E78)/((K78+U78)*V78)</f>
        <v>0.172658812728552</v>
      </c>
      <c r="AF78" s="37" t="n">
        <f aca="false">(P78/V78)/K78</f>
        <v>0.477630972982987</v>
      </c>
      <c r="AG78" s="38" t="n">
        <f aca="false">F78/($N78+$U78)</f>
        <v>0.329448331855524</v>
      </c>
      <c r="AH78" s="38" t="n">
        <f aca="false">G78/($N78+$U78)</f>
        <v>0.060287514110412</v>
      </c>
      <c r="AI78" s="39" t="n">
        <f aca="false">I78/($N78+$U78)</f>
        <v>0.993233412031151</v>
      </c>
      <c r="AJ78" s="40" t="n">
        <f aca="false">C78/F78</f>
        <v>0.883244100129264</v>
      </c>
      <c r="AK78" s="40" t="n">
        <f aca="false">D78/G78</f>
        <v>1.26738098050797</v>
      </c>
      <c r="AL78" s="40" t="n">
        <f aca="false">E78/I78</f>
        <v>0.23307573332645</v>
      </c>
      <c r="AM78" s="41"/>
      <c r="AN78" s="42" t="n">
        <f aca="false">AJ78/$V78</f>
        <v>0.241725608095998</v>
      </c>
      <c r="AO78" s="42" t="n">
        <f aca="false">AK78/$V78</f>
        <v>0.34685591237774</v>
      </c>
      <c r="AP78" s="42" t="n">
        <f aca="false">AL78/$V78</f>
        <v>0.0637879985414125</v>
      </c>
      <c r="AQ78" s="42" t="n">
        <f aca="false">AM78/$V78</f>
        <v>0</v>
      </c>
      <c r="AR78" s="43"/>
    </row>
    <row r="79" customFormat="false" ht="18.75" hidden="false" customHeight="true" outlineLevel="0" collapsed="false">
      <c r="A79" s="18" t="n">
        <v>2017</v>
      </c>
      <c r="B79" s="18" t="n">
        <v>5</v>
      </c>
      <c r="C79" s="24" t="n">
        <v>92062.8</v>
      </c>
      <c r="D79" s="24" t="n">
        <v>25356.63</v>
      </c>
      <c r="E79" s="25" t="n">
        <v>71681.14</v>
      </c>
      <c r="F79" s="26" t="n">
        <f aca="false">102203.72+1027.89</f>
        <v>103231.61</v>
      </c>
      <c r="G79" s="26" t="n">
        <v>20144</v>
      </c>
      <c r="H79" s="26"/>
      <c r="I79" s="27" t="n">
        <v>307544.4</v>
      </c>
      <c r="J79" s="27"/>
      <c r="K79" s="28" t="n">
        <f aca="false">N79-L79</f>
        <v>286250</v>
      </c>
      <c r="L79" s="29" t="n">
        <v>19166</v>
      </c>
      <c r="M79" s="30" t="n">
        <f aca="false">L79/N79</f>
        <v>0.0627537522592137</v>
      </c>
      <c r="N79" s="29" t="n">
        <v>305416</v>
      </c>
      <c r="O79" s="31" t="n">
        <v>332338</v>
      </c>
      <c r="P79" s="24" t="n">
        <v>442652</v>
      </c>
      <c r="Q79" s="32" t="n">
        <v>148</v>
      </c>
      <c r="R79" s="32" t="n">
        <f aca="false">O79/Q79</f>
        <v>2245.52702702703</v>
      </c>
      <c r="S79" s="33" t="n">
        <v>27</v>
      </c>
      <c r="T79" s="29" t="n">
        <f aca="false">N79/S79</f>
        <v>11311.7037037037</v>
      </c>
      <c r="U79" s="29" t="n">
        <v>45828</v>
      </c>
      <c r="V79" s="34" t="n">
        <f aca="false">'$'!C66</f>
        <v>3.568617</v>
      </c>
      <c r="W79" s="35" t="n">
        <f aca="false">SUM(C79:E79)/V79</f>
        <v>52989.8753494701</v>
      </c>
      <c r="X79" s="35" t="n">
        <f aca="false">C79/$V79</f>
        <v>25797.8931333903</v>
      </c>
      <c r="Y79" s="35" t="n">
        <f aca="false">D79/$V79</f>
        <v>7105.45009453242</v>
      </c>
      <c r="Z79" s="35" t="n">
        <f aca="false">E79/$V79</f>
        <v>20086.5321215474</v>
      </c>
      <c r="AA79" s="36" t="n">
        <f aca="false">C79/((N79+U79)*V79)</f>
        <v>0.0734472137129469</v>
      </c>
      <c r="AB79" s="36" t="n">
        <f aca="false">D79/((N79+U79)*V79)</f>
        <v>0.0202293849703694</v>
      </c>
      <c r="AC79" s="36" t="n">
        <f aca="false">E79/((N79+U79)*V79)</f>
        <v>0.0571868334307415</v>
      </c>
      <c r="AD79" s="36" t="n">
        <f aca="false">(C79+D79+E79)/((N79+U79)*V79)</f>
        <v>0.150863432114058</v>
      </c>
      <c r="AE79" s="36" t="n">
        <f aca="false">(C79+D79+E79)/((K79+U79)*V79)</f>
        <v>0.159570568810551</v>
      </c>
      <c r="AF79" s="37" t="n">
        <f aca="false">(P79/V79)/K79</f>
        <v>0.433328242495928</v>
      </c>
      <c r="AG79" s="38" t="n">
        <f aca="false">F79/($N79+$U79)</f>
        <v>0.293902842468483</v>
      </c>
      <c r="AH79" s="38" t="n">
        <f aca="false">G79/($N79+$U79)</f>
        <v>0.0573504458439148</v>
      </c>
      <c r="AI79" s="39" t="n">
        <f aca="false">I79/($N79+$U79)</f>
        <v>0.875586202184237</v>
      </c>
      <c r="AJ79" s="40" t="n">
        <f aca="false">C79/F79</f>
        <v>0.891808235868839</v>
      </c>
      <c r="AK79" s="40" t="n">
        <f aca="false">D79/G79</f>
        <v>1.25876836775218</v>
      </c>
      <c r="AL79" s="40" t="n">
        <f aca="false">E79/I79</f>
        <v>0.233075744510386</v>
      </c>
      <c r="AM79" s="41"/>
      <c r="AN79" s="42" t="n">
        <f aca="false">AJ79/$V79</f>
        <v>0.249903039712258</v>
      </c>
      <c r="AO79" s="42" t="n">
        <f aca="false">AK79/$V79</f>
        <v>0.352732828362412</v>
      </c>
      <c r="AP79" s="42" t="n">
        <f aca="false">AL79/$V79</f>
        <v>0.0653126251739501</v>
      </c>
      <c r="AQ79" s="42" t="n">
        <f aca="false">AM79/$V79</f>
        <v>0</v>
      </c>
      <c r="AR79" s="43"/>
    </row>
    <row r="80" customFormat="false" ht="18.75" hidden="false" customHeight="true" outlineLevel="0" collapsed="false">
      <c r="A80" s="18" t="n">
        <v>2017</v>
      </c>
      <c r="B80" s="18" t="n">
        <v>6</v>
      </c>
      <c r="C80" s="24" t="n">
        <v>79419.25</v>
      </c>
      <c r="D80" s="24" t="n">
        <v>25029.03</v>
      </c>
      <c r="E80" s="25" t="n">
        <v>68425.65</v>
      </c>
      <c r="F80" s="26" t="n">
        <f aca="false">SUM(88440.07,1451.28)</f>
        <v>89891.35</v>
      </c>
      <c r="G80" s="26" t="n">
        <v>19247</v>
      </c>
      <c r="H80" s="26"/>
      <c r="I80" s="27" t="n">
        <v>272768.4</v>
      </c>
      <c r="J80" s="27"/>
      <c r="K80" s="28" t="n">
        <f aca="false">N80-L80</f>
        <v>241286</v>
      </c>
      <c r="L80" s="29" t="n">
        <v>18325</v>
      </c>
      <c r="M80" s="30" t="n">
        <f aca="false">L80/N80</f>
        <v>0.0705863773106687</v>
      </c>
      <c r="N80" s="29" t="n">
        <v>259611</v>
      </c>
      <c r="O80" s="31" t="n">
        <v>272134</v>
      </c>
      <c r="P80" s="24" t="n">
        <v>421359</v>
      </c>
      <c r="Q80" s="32" t="n">
        <v>150</v>
      </c>
      <c r="R80" s="32" t="n">
        <f aca="false">O80/Q80</f>
        <v>1814.22666666667</v>
      </c>
      <c r="S80" s="33" t="n">
        <v>23</v>
      </c>
      <c r="T80" s="29" t="n">
        <f aca="false">N80/S80</f>
        <v>11287.4347826087</v>
      </c>
      <c r="U80" s="29" t="n">
        <v>30506</v>
      </c>
      <c r="V80" s="34" t="n">
        <f aca="false">'$'!C67</f>
        <v>3.519175</v>
      </c>
      <c r="W80" s="35" t="n">
        <f aca="false">SUM(C80:E80)/V80</f>
        <v>49123.4252346075</v>
      </c>
      <c r="X80" s="35" t="n">
        <f aca="false">C80/$V80</f>
        <v>22567.5762074918</v>
      </c>
      <c r="Y80" s="35" t="n">
        <f aca="false">D80/$V80</f>
        <v>7112.18680514609</v>
      </c>
      <c r="Z80" s="35" t="n">
        <f aca="false">E80/$V80</f>
        <v>19443.6622219696</v>
      </c>
      <c r="AA80" s="36" t="n">
        <f aca="false">C80/((N80+U80)*V80)</f>
        <v>0.077787844929776</v>
      </c>
      <c r="AB80" s="36" t="n">
        <f aca="false">D80/((N80+U80)*V80)</f>
        <v>0.0245148915959633</v>
      </c>
      <c r="AC80" s="36" t="n">
        <f aca="false">E80/((N80+U80)*V80)</f>
        <v>0.0670200719777526</v>
      </c>
      <c r="AD80" s="36" t="n">
        <f aca="false">(C80+D80+E80)/((N80+U80)*V80)</f>
        <v>0.169322808503492</v>
      </c>
      <c r="AE80" s="36" t="n">
        <f aca="false">(C80+D80+E80)/((K80+U80)*V80)</f>
        <v>0.18073904027568</v>
      </c>
      <c r="AF80" s="37" t="n">
        <f aca="false">(P80/V80)/K80</f>
        <v>0.49622573886171</v>
      </c>
      <c r="AG80" s="38" t="n">
        <f aca="false">F80/($N80+$U80)</f>
        <v>0.30984516591582</v>
      </c>
      <c r="AH80" s="38" t="n">
        <f aca="false">G80/($N80+$U80)</f>
        <v>0.0663421998710865</v>
      </c>
      <c r="AI80" s="39" t="n">
        <f aca="false">I80/($N80+$U80)</f>
        <v>0.940201367034679</v>
      </c>
      <c r="AJ80" s="40" t="n">
        <f aca="false">C80/F80</f>
        <v>0.883502695198147</v>
      </c>
      <c r="AK80" s="40" t="n">
        <f aca="false">D80/G80</f>
        <v>1.30041201226165</v>
      </c>
      <c r="AL80" s="44" t="n">
        <f aca="false">E80/I80</f>
        <v>0.250856220881891</v>
      </c>
      <c r="AM80" s="45"/>
      <c r="AN80" s="42" t="n">
        <f aca="false">AJ80/$V80</f>
        <v>0.251053924626695</v>
      </c>
      <c r="AO80" s="42" t="n">
        <f aca="false">AK80/$V80</f>
        <v>0.3695218374368</v>
      </c>
      <c r="AP80" s="42" t="n">
        <f aca="false">AL80/$V80</f>
        <v>0.0712826787192711</v>
      </c>
      <c r="AQ80" s="42" t="n">
        <f aca="false">AM80/$V80</f>
        <v>0</v>
      </c>
      <c r="AR80" s="43"/>
    </row>
    <row r="81" customFormat="false" ht="18.75" hidden="false" customHeight="true" outlineLevel="0" collapsed="false">
      <c r="A81" s="18" t="n">
        <v>2017</v>
      </c>
      <c r="B81" s="18" t="n">
        <v>7</v>
      </c>
      <c r="C81" s="24" t="n">
        <v>75046.87</v>
      </c>
      <c r="D81" s="24" t="n">
        <v>24882.34</v>
      </c>
      <c r="E81" s="25" t="n">
        <v>69128.9</v>
      </c>
      <c r="F81" s="26" t="n">
        <f aca="false">84133.31+819</f>
        <v>84952.31</v>
      </c>
      <c r="G81" s="26" t="n">
        <v>19713</v>
      </c>
      <c r="H81" s="26"/>
      <c r="I81" s="27" t="n">
        <v>280506.6</v>
      </c>
      <c r="J81" s="27"/>
      <c r="K81" s="28" t="n">
        <f aca="false">N81-L81</f>
        <v>261891</v>
      </c>
      <c r="L81" s="29" t="n">
        <v>16465</v>
      </c>
      <c r="M81" s="30" t="n">
        <f aca="false">L81/N81</f>
        <v>0.0591508715457903</v>
      </c>
      <c r="N81" s="29" t="n">
        <v>278356</v>
      </c>
      <c r="O81" s="31" t="n">
        <v>319124</v>
      </c>
      <c r="P81" s="24" t="n">
        <v>465832</v>
      </c>
      <c r="Q81" s="32" t="n">
        <v>157</v>
      </c>
      <c r="R81" s="32" t="n">
        <f aca="false">O81/Q81</f>
        <v>2032.63694267516</v>
      </c>
      <c r="S81" s="33" t="n">
        <v>26</v>
      </c>
      <c r="T81" s="29" t="n">
        <f aca="false">N81/S81</f>
        <v>10706</v>
      </c>
      <c r="U81" s="29" t="n">
        <v>15250</v>
      </c>
      <c r="V81" s="34" t="n">
        <f aca="false">'$'!C68</f>
        <v>3.556397</v>
      </c>
      <c r="W81" s="35" t="n">
        <f aca="false">SUM(C81:E81)/V81</f>
        <v>47536.3436646696</v>
      </c>
      <c r="X81" s="35" t="n">
        <f aca="false">C81/$V81</f>
        <v>21101.9382819185</v>
      </c>
      <c r="Y81" s="35" t="n">
        <f aca="false">D81/$V81</f>
        <v>6996.50235898861</v>
      </c>
      <c r="Z81" s="35" t="n">
        <f aca="false">E81/$V81</f>
        <v>19437.9030237625</v>
      </c>
      <c r="AA81" s="36" t="n">
        <f aca="false">C81/((N81+U81)*V81)</f>
        <v>0.0718716180252395</v>
      </c>
      <c r="AB81" s="36" t="n">
        <f aca="false">D81/((N81+U81)*V81)</f>
        <v>0.0238295619264886</v>
      </c>
      <c r="AC81" s="36" t="n">
        <f aca="false">E81/((N81+U81)*V81)</f>
        <v>0.0662040388267356</v>
      </c>
      <c r="AD81" s="36" t="n">
        <f aca="false">(C81+D81+E81)/((N81+U81)*V81)</f>
        <v>0.161905218778464</v>
      </c>
      <c r="AE81" s="36" t="n">
        <f aca="false">(C81+D81+E81)/((K81+U81)*V81)</f>
        <v>0.171524038899584</v>
      </c>
      <c r="AF81" s="37" t="n">
        <f aca="false">(P81/V81)/K81</f>
        <v>0.500147969033567</v>
      </c>
      <c r="AG81" s="38" t="n">
        <f aca="false">F81/($N81+$U81)</f>
        <v>0.289341191937494</v>
      </c>
      <c r="AH81" s="38" t="n">
        <f aca="false">G81/($N81+$U81)</f>
        <v>0.0671409984809575</v>
      </c>
      <c r="AI81" s="39" t="n">
        <f aca="false">I81/($N81+$U81)</f>
        <v>0.955384426748772</v>
      </c>
      <c r="AJ81" s="40" t="n">
        <f aca="false">C81/F81</f>
        <v>0.883399992301563</v>
      </c>
      <c r="AK81" s="40" t="n">
        <f aca="false">D81/G81</f>
        <v>1.26223000050728</v>
      </c>
      <c r="AL81" s="40" t="n">
        <f aca="false">E81/I81</f>
        <v>0.246443042694896</v>
      </c>
      <c r="AM81" s="41"/>
      <c r="AN81" s="42" t="n">
        <f aca="false">AJ81/$V81</f>
        <v>0.248397463022706</v>
      </c>
      <c r="AO81" s="42" t="n">
        <f aca="false">AK81/$V81</f>
        <v>0.354918194033816</v>
      </c>
      <c r="AP81" s="42" t="n">
        <f aca="false">AL81/$V81</f>
        <v>0.069295706495899</v>
      </c>
      <c r="AQ81" s="42" t="n">
        <f aca="false">AM81/$V81</f>
        <v>0</v>
      </c>
      <c r="AR81" s="43"/>
    </row>
    <row r="82" customFormat="false" ht="18.75" hidden="false" customHeight="true" outlineLevel="0" collapsed="false">
      <c r="A82" s="18" t="n">
        <v>2017</v>
      </c>
      <c r="B82" s="18" t="n">
        <v>8</v>
      </c>
      <c r="C82" s="24" t="n">
        <v>72939.38</v>
      </c>
      <c r="D82" s="24" t="n">
        <v>25328.06</v>
      </c>
      <c r="E82" s="25" t="n">
        <v>67398.53</v>
      </c>
      <c r="F82" s="26" t="n">
        <v>82566.19</v>
      </c>
      <c r="G82" s="26" t="n">
        <v>20150</v>
      </c>
      <c r="H82" s="26"/>
      <c r="I82" s="27" t="n">
        <v>268396.2</v>
      </c>
      <c r="J82" s="27"/>
      <c r="K82" s="28" t="n">
        <f aca="false">N82-L82</f>
        <v>240506</v>
      </c>
      <c r="L82" s="29" t="n">
        <v>9704</v>
      </c>
      <c r="M82" s="30" t="n">
        <f aca="false">L82/N82</f>
        <v>0.0387834219255825</v>
      </c>
      <c r="N82" s="29" t="n">
        <v>250210</v>
      </c>
      <c r="O82" s="31" t="n">
        <v>291185</v>
      </c>
      <c r="P82" s="24" t="n">
        <v>462728</v>
      </c>
      <c r="Q82" s="32" t="n">
        <v>156</v>
      </c>
      <c r="R82" s="32" t="n">
        <f aca="false">O82/Q82</f>
        <v>1866.57051282051</v>
      </c>
      <c r="S82" s="33" t="n">
        <v>26</v>
      </c>
      <c r="T82" s="29" t="n">
        <f aca="false">N82/S82</f>
        <v>9623.46153846154</v>
      </c>
      <c r="U82" s="29" t="n">
        <v>38406</v>
      </c>
      <c r="V82" s="34" t="n">
        <f aca="false">'$'!C69</f>
        <v>3.50946</v>
      </c>
      <c r="W82" s="35" t="n">
        <f aca="false">SUM(C82:E82)/V82</f>
        <v>47205.5444427348</v>
      </c>
      <c r="X82" s="35" t="n">
        <f aca="false">C82/$V82</f>
        <v>20783.6476267004</v>
      </c>
      <c r="Y82" s="35" t="n">
        <f aca="false">D82/$V82</f>
        <v>7217.08183025309</v>
      </c>
      <c r="Z82" s="35" t="n">
        <f aca="false">E82/$V82</f>
        <v>19204.8149857813</v>
      </c>
      <c r="AA82" s="36" t="n">
        <f aca="false">C82/((N82+U82)*V82)</f>
        <v>0.0720114187248815</v>
      </c>
      <c r="AB82" s="36" t="n">
        <f aca="false">D82/((N82+U82)*V82)</f>
        <v>0.0250058272245928</v>
      </c>
      <c r="AC82" s="36" t="n">
        <f aca="false">E82/((N82+U82)*V82)</f>
        <v>0.0665410614303479</v>
      </c>
      <c r="AD82" s="36" t="n">
        <f aca="false">(C82+D82+E82)/((N82+U82)*V82)</f>
        <v>0.163558307379822</v>
      </c>
      <c r="AE82" s="36" t="n">
        <f aca="false">(C82+D82+E82)/((K82+U82)*V82)</f>
        <v>0.169248882954964</v>
      </c>
      <c r="AF82" s="37" t="n">
        <f aca="false">(P82/V82)/K82</f>
        <v>0.548225923247461</v>
      </c>
      <c r="AG82" s="38" t="n">
        <f aca="false">F82/($N82+$U82)</f>
        <v>0.286076274357624</v>
      </c>
      <c r="AH82" s="38" t="n">
        <f aca="false">G82/($N82+$U82)</f>
        <v>0.0698159492197245</v>
      </c>
      <c r="AI82" s="39" t="n">
        <f aca="false">I82/($N82+$U82)</f>
        <v>0.929942206946254</v>
      </c>
      <c r="AJ82" s="40" t="n">
        <f aca="false">C82/F82</f>
        <v>0.883404938510545</v>
      </c>
      <c r="AK82" s="40" t="n">
        <f aca="false">D82/G82</f>
        <v>1.25697568238213</v>
      </c>
      <c r="AL82" s="40" t="n">
        <f aca="false">E82/I82</f>
        <v>0.251115813115089</v>
      </c>
      <c r="AM82" s="41"/>
      <c r="AN82" s="42" t="n">
        <f aca="false">AJ82/$V82</f>
        <v>0.251721044978585</v>
      </c>
      <c r="AO82" s="42" t="n">
        <f aca="false">AK82/$V82</f>
        <v>0.358167832766903</v>
      </c>
      <c r="AP82" s="42" t="n">
        <f aca="false">AL82/$V82</f>
        <v>0.0715539750033022</v>
      </c>
      <c r="AQ82" s="42" t="n">
        <f aca="false">AM82/$V82</f>
        <v>0</v>
      </c>
      <c r="AR82" s="43"/>
    </row>
    <row r="83" customFormat="false" ht="18.75" hidden="false" customHeight="true" outlineLevel="0" collapsed="false">
      <c r="A83" s="18" t="n">
        <v>2017</v>
      </c>
      <c r="B83" s="18" t="n">
        <v>9</v>
      </c>
      <c r="C83" s="24" t="n">
        <v>79237.29</v>
      </c>
      <c r="D83" s="24" t="n">
        <v>26578.67</v>
      </c>
      <c r="E83" s="25" t="n">
        <v>64246.21</v>
      </c>
      <c r="F83" s="26" t="n">
        <f aca="false">89424.11+266.19</f>
        <v>89690.3</v>
      </c>
      <c r="G83" s="26" t="n">
        <v>21230</v>
      </c>
      <c r="H83" s="26"/>
      <c r="I83" s="27" t="n">
        <v>255843</v>
      </c>
      <c r="J83" s="27"/>
      <c r="K83" s="28" t="n">
        <f aca="false">N83-L83</f>
        <v>243451</v>
      </c>
      <c r="L83" s="29" t="n">
        <v>12666</v>
      </c>
      <c r="M83" s="30" t="n">
        <f aca="false">L83/N83</f>
        <v>0.0494539604946177</v>
      </c>
      <c r="N83" s="29" t="n">
        <v>256117</v>
      </c>
      <c r="O83" s="31" t="n">
        <v>237584</v>
      </c>
      <c r="P83" s="24" t="n">
        <v>437322</v>
      </c>
      <c r="Q83" s="32" t="n">
        <v>161</v>
      </c>
      <c r="R83" s="32" t="n">
        <f aca="false">O83/Q83</f>
        <v>1475.67701863354</v>
      </c>
      <c r="S83" s="33" t="n">
        <v>24</v>
      </c>
      <c r="T83" s="29" t="n">
        <f aca="false">N83/S83</f>
        <v>10671.5416666667</v>
      </c>
      <c r="U83" s="29" t="n">
        <v>48795</v>
      </c>
      <c r="V83" s="34" t="n">
        <f aca="false">'$'!C70</f>
        <v>3.467228</v>
      </c>
      <c r="W83" s="35" t="n">
        <f aca="false">SUM(C83:E83)/V83</f>
        <v>49048.4531158609</v>
      </c>
      <c r="X83" s="35" t="n">
        <f aca="false">C83/$V83</f>
        <v>22853.2101148237</v>
      </c>
      <c r="Y83" s="35" t="n">
        <f aca="false">D83/$V83</f>
        <v>7665.68278751787</v>
      </c>
      <c r="Z83" s="35" t="n">
        <f aca="false">E83/$V83</f>
        <v>18529.5602135193</v>
      </c>
      <c r="AA83" s="36" t="n">
        <f aca="false">C83/((N83+U83)*V83)</f>
        <v>0.0749501827242736</v>
      </c>
      <c r="AB83" s="36" t="n">
        <f aca="false">D83/((N83+U83)*V83)</f>
        <v>0.0251406398814014</v>
      </c>
      <c r="AC83" s="36" t="n">
        <f aca="false">E83/((N83+U83)*V83)</f>
        <v>0.0607701901319701</v>
      </c>
      <c r="AD83" s="36" t="n">
        <f aca="false">(C83+D83+E83)/((N83+U83)*V83)</f>
        <v>0.160861012737645</v>
      </c>
      <c r="AE83" s="36" t="n">
        <f aca="false">(C83+D83+E83)/((K83+U83)*V83)</f>
        <v>0.167832761152799</v>
      </c>
      <c r="AF83" s="37" t="n">
        <f aca="false">(P83/V83)/K83</f>
        <v>0.518092567048494</v>
      </c>
      <c r="AG83" s="38" t="n">
        <f aca="false">F83/($N83+$U83)</f>
        <v>0.294151427297056</v>
      </c>
      <c r="AH83" s="38" t="n">
        <f aca="false">G83/($N83+$U83)</f>
        <v>0.0696266463766595</v>
      </c>
      <c r="AI83" s="39" t="n">
        <f aca="false">I83/($N83+$U83)</f>
        <v>0.839071600986514</v>
      </c>
      <c r="AJ83" s="40" t="n">
        <f aca="false">C83/F83</f>
        <v>0.883454398078722</v>
      </c>
      <c r="AK83" s="40" t="n">
        <f aca="false">D83/G83</f>
        <v>1.25193923692887</v>
      </c>
      <c r="AL83" s="40" t="n">
        <f aca="false">E83/I83</f>
        <v>0.25111576240116</v>
      </c>
      <c r="AM83" s="41"/>
      <c r="AN83" s="42" t="n">
        <f aca="false">AJ83/$V83</f>
        <v>0.254801356610734</v>
      </c>
      <c r="AO83" s="42" t="n">
        <f aca="false">AK83/$V83</f>
        <v>0.361077851508143</v>
      </c>
      <c r="AP83" s="42" t="n">
        <f aca="false">AL83/$V83</f>
        <v>0.0724255117924636</v>
      </c>
      <c r="AQ83" s="42" t="n">
        <f aca="false">AM83/$V83</f>
        <v>0</v>
      </c>
      <c r="AR83" s="43"/>
    </row>
    <row r="84" customFormat="false" ht="18.75" hidden="false" customHeight="true" outlineLevel="0" collapsed="false">
      <c r="A84" s="18" t="n">
        <v>2017</v>
      </c>
      <c r="B84" s="18" t="n">
        <v>10</v>
      </c>
      <c r="C84" s="24" t="n">
        <v>104604.05</v>
      </c>
      <c r="D84" s="24" t="n">
        <v>32195.71</v>
      </c>
      <c r="E84" s="25" t="n">
        <v>73370.46</v>
      </c>
      <c r="F84" s="26" t="n">
        <f aca="false">116293.62+2102.03</f>
        <v>118395.65</v>
      </c>
      <c r="G84" s="26" t="n">
        <v>24886</v>
      </c>
      <c r="H84" s="26"/>
      <c r="I84" s="27" t="n">
        <v>292177.8</v>
      </c>
      <c r="J84" s="27"/>
      <c r="K84" s="28" t="n">
        <f aca="false">N84-L84</f>
        <v>319163</v>
      </c>
      <c r="L84" s="29" t="n">
        <v>14858</v>
      </c>
      <c r="M84" s="30" t="n">
        <f aca="false">L84/N84</f>
        <v>0.0444822331530053</v>
      </c>
      <c r="N84" s="29" t="n">
        <v>334021</v>
      </c>
      <c r="O84" s="31" t="n">
        <v>331883</v>
      </c>
      <c r="P84" s="24" t="n">
        <v>459601</v>
      </c>
      <c r="Q84" s="32" t="n">
        <v>157</v>
      </c>
      <c r="R84" s="32" t="n">
        <f aca="false">O84/Q84</f>
        <v>2113.90445859873</v>
      </c>
      <c r="S84" s="33" t="n">
        <v>27</v>
      </c>
      <c r="T84" s="29" t="n">
        <f aca="false">N84/S84</f>
        <v>12371.1481481481</v>
      </c>
      <c r="U84" s="29" t="n">
        <v>42521</v>
      </c>
      <c r="V84" s="34" t="n">
        <f aca="false">'$'!C71</f>
        <v>3.672914</v>
      </c>
      <c r="W84" s="35" t="n">
        <f aca="false">SUM(C84:E84)/V84</f>
        <v>57221.6556118657</v>
      </c>
      <c r="X84" s="35" t="n">
        <f aca="false">C84/$V84</f>
        <v>28479.8527817422</v>
      </c>
      <c r="Y84" s="35" t="n">
        <f aca="false">D84/$V84</f>
        <v>8765.71300063111</v>
      </c>
      <c r="Z84" s="35" t="n">
        <f aca="false">E84/$V84</f>
        <v>19976.0898294923</v>
      </c>
      <c r="AA84" s="36" t="n">
        <f aca="false">C84/((N84+U84)*V84)</f>
        <v>0.0756352618877635</v>
      </c>
      <c r="AB84" s="36" t="n">
        <f aca="false">D84/((N84+U84)*V84)</f>
        <v>0.0232795093260011</v>
      </c>
      <c r="AC84" s="36" t="n">
        <f aca="false">E84/((N84+U84)*V84)</f>
        <v>0.0530514254173302</v>
      </c>
      <c r="AD84" s="36" t="n">
        <f aca="false">(C84+D84+E84)/((N84+U84)*V84)</f>
        <v>0.151966196631095</v>
      </c>
      <c r="AE84" s="36" t="n">
        <f aca="false">(C84+D84+E84)/((K84+U84)*V84)</f>
        <v>0.158208976929767</v>
      </c>
      <c r="AF84" s="37" t="n">
        <f aca="false">(P84/V84)/K84</f>
        <v>0.392064632187483</v>
      </c>
      <c r="AG84" s="38" t="n">
        <f aca="false">F84/($N84+$U84)</f>
        <v>0.314428802099102</v>
      </c>
      <c r="AH84" s="38" t="n">
        <f aca="false">G84/($N84+$U84)</f>
        <v>0.0660909008822389</v>
      </c>
      <c r="AI84" s="39" t="n">
        <f aca="false">I84/($N84+$U84)</f>
        <v>0.775950093216693</v>
      </c>
      <c r="AJ84" s="40" t="n">
        <f aca="false">C84/F84</f>
        <v>0.883512612161004</v>
      </c>
      <c r="AK84" s="40" t="n">
        <f aca="false">D84/G84</f>
        <v>1.29372779876236</v>
      </c>
      <c r="AL84" s="40" t="n">
        <f aca="false">E84/I84</f>
        <v>0.25111579319168</v>
      </c>
      <c r="AM84" s="41"/>
      <c r="AN84" s="42" t="n">
        <f aca="false">AJ84/$V84</f>
        <v>0.240548134849061</v>
      </c>
      <c r="AO84" s="42" t="n">
        <f aca="false">AK84/$V84</f>
        <v>0.352234710304231</v>
      </c>
      <c r="AP84" s="42" t="n">
        <f aca="false">AL84/$V84</f>
        <v>0.0683696359870337</v>
      </c>
      <c r="AQ84" s="42" t="n">
        <f aca="false">AM84/$V84</f>
        <v>0</v>
      </c>
      <c r="AR84" s="43"/>
    </row>
    <row r="85" customFormat="false" ht="18.75" hidden="false" customHeight="true" outlineLevel="0" collapsed="false">
      <c r="A85" s="18" t="n">
        <v>2017</v>
      </c>
      <c r="B85" s="18" t="n">
        <v>11</v>
      </c>
      <c r="C85" s="24" t="n">
        <v>117879.41</v>
      </c>
      <c r="D85" s="24" t="n">
        <v>30983.46</v>
      </c>
      <c r="E85" s="25" t="n">
        <v>80771.81</v>
      </c>
      <c r="F85" s="26" t="n">
        <f aca="false">131251.7+1670.03</f>
        <v>132921.73</v>
      </c>
      <c r="G85" s="26" t="n">
        <v>24706</v>
      </c>
      <c r="H85" s="26"/>
      <c r="I85" s="27" t="n">
        <v>321651.72</v>
      </c>
      <c r="J85" s="27"/>
      <c r="K85" s="28" t="n">
        <f aca="false">N85-L85</f>
        <v>331459</v>
      </c>
      <c r="L85" s="29" t="n">
        <v>26541</v>
      </c>
      <c r="M85" s="30" t="n">
        <f aca="false">L85/N85</f>
        <v>0.0741368715083799</v>
      </c>
      <c r="N85" s="29" t="n">
        <v>358000</v>
      </c>
      <c r="O85" s="31" t="n">
        <v>343926</v>
      </c>
      <c r="P85" s="24" t="n">
        <v>469429</v>
      </c>
      <c r="Q85" s="32" t="n">
        <v>157</v>
      </c>
      <c r="R85" s="32" t="n">
        <f aca="false">O85/Q85</f>
        <v>2190.61146496815</v>
      </c>
      <c r="S85" s="33" t="n">
        <v>29</v>
      </c>
      <c r="T85" s="29" t="n">
        <f aca="false">N85/S85</f>
        <v>12344.8275862069</v>
      </c>
      <c r="U85" s="29" t="n">
        <v>38357</v>
      </c>
      <c r="V85" s="34" t="n">
        <f aca="false">'$'!C72</f>
        <v>3.889185</v>
      </c>
      <c r="W85" s="35" t="n">
        <f aca="false">SUM(C85:E85)/V85</f>
        <v>59044.4219033037</v>
      </c>
      <c r="X85" s="35" t="n">
        <f aca="false">C85/$V85</f>
        <v>30309.5404307072</v>
      </c>
      <c r="Y85" s="35" t="n">
        <f aca="false">D85/$V85</f>
        <v>7966.56883125899</v>
      </c>
      <c r="Z85" s="35" t="n">
        <f aca="false">E85/$V85</f>
        <v>20768.3126413375</v>
      </c>
      <c r="AA85" s="36" t="n">
        <f aca="false">C85/((N85+U85)*V85)</f>
        <v>0.0764703043738529</v>
      </c>
      <c r="AB85" s="36" t="n">
        <f aca="false">D85/((N85+U85)*V85)</f>
        <v>0.0200994780747129</v>
      </c>
      <c r="AC85" s="36" t="n">
        <f aca="false">E85/((N85+U85)*V85)</f>
        <v>0.0523979963551481</v>
      </c>
      <c r="AD85" s="36" t="n">
        <f aca="false">(C85+D85+E85)/((N85+U85)*V85)</f>
        <v>0.148967778803714</v>
      </c>
      <c r="AE85" s="36" t="n">
        <f aca="false">(C85+D85+E85)/((K85+U85)*V85)</f>
        <v>0.159658916605295</v>
      </c>
      <c r="AF85" s="37" t="n">
        <f aca="false">(P85/V85)/K85</f>
        <v>0.364150992301585</v>
      </c>
      <c r="AG85" s="38" t="n">
        <f aca="false">F85/($N85+$U85)</f>
        <v>0.335358603481205</v>
      </c>
      <c r="AH85" s="38" t="n">
        <f aca="false">G85/($N85+$U85)</f>
        <v>0.0623326950198937</v>
      </c>
      <c r="AI85" s="39" t="n">
        <f aca="false">I85/($N85+$U85)</f>
        <v>0.81152022040736</v>
      </c>
      <c r="AJ85" s="40" t="n">
        <f aca="false">C85/F85</f>
        <v>0.886833251417958</v>
      </c>
      <c r="AK85" s="40" t="n">
        <f aca="false">D85/G85</f>
        <v>1.25408645673116</v>
      </c>
      <c r="AL85" s="40" t="n">
        <f aca="false">E85/I85</f>
        <v>0.251115740963549</v>
      </c>
      <c r="AM85" s="41"/>
      <c r="AN85" s="42" t="n">
        <f aca="false">AJ85/$V85</f>
        <v>0.228025473567845</v>
      </c>
      <c r="AO85" s="42" t="n">
        <f aca="false">AK85/$V85</f>
        <v>0.322454821956569</v>
      </c>
      <c r="AP85" s="42" t="n">
        <f aca="false">AL85/$V85</f>
        <v>0.0645677027355472</v>
      </c>
      <c r="AQ85" s="42" t="n">
        <f aca="false">AM85/$V85</f>
        <v>0</v>
      </c>
      <c r="AR85" s="43"/>
    </row>
    <row r="86" customFormat="false" ht="18.75" hidden="false" customHeight="true" outlineLevel="0" collapsed="false">
      <c r="A86" s="18" t="n">
        <v>2017</v>
      </c>
      <c r="B86" s="18" t="n">
        <v>12</v>
      </c>
      <c r="C86" s="24" t="n">
        <v>120481.5</v>
      </c>
      <c r="D86" s="24" t="n">
        <v>27382.71</v>
      </c>
      <c r="E86" s="25" t="n">
        <v>85057.49</v>
      </c>
      <c r="F86" s="26" t="n">
        <f aca="false">132795.09+1737.59</f>
        <v>134532.68</v>
      </c>
      <c r="G86" s="26" t="n">
        <v>21795</v>
      </c>
      <c r="H86" s="26"/>
      <c r="I86" s="27" t="n">
        <v>338718.24</v>
      </c>
      <c r="J86" s="27"/>
      <c r="K86" s="28" t="n">
        <f aca="false">N86-L86</f>
        <v>331501</v>
      </c>
      <c r="L86" s="29" t="n">
        <v>24011</v>
      </c>
      <c r="M86" s="30" t="n">
        <f aca="false">L86/N86</f>
        <v>0.067539211053354</v>
      </c>
      <c r="N86" s="29" t="n">
        <v>355512</v>
      </c>
      <c r="O86" s="31" t="n">
        <v>344613</v>
      </c>
      <c r="P86" s="24" t="n">
        <v>481160</v>
      </c>
      <c r="Q86" s="32" t="n">
        <v>157</v>
      </c>
      <c r="R86" s="32" t="n">
        <f aca="false">O86/Q86</f>
        <v>2194.9872611465</v>
      </c>
      <c r="S86" s="33" t="n">
        <v>29</v>
      </c>
      <c r="T86" s="29" t="n">
        <f aca="false">N86/S86</f>
        <v>12259.0344827586</v>
      </c>
      <c r="U86" s="29" t="n">
        <v>34417</v>
      </c>
      <c r="V86" s="34" t="n">
        <f aca="false">'$'!C73</f>
        <v>3.843316</v>
      </c>
      <c r="W86" s="35" t="n">
        <f aca="false">SUM(C86:E86)/V86</f>
        <v>60604.3583197426</v>
      </c>
      <c r="X86" s="35" t="n">
        <f aca="false">C86/$V86</f>
        <v>31348.3200444616</v>
      </c>
      <c r="Y86" s="35" t="n">
        <f aca="false">D86/$V86</f>
        <v>7124.76153405028</v>
      </c>
      <c r="Z86" s="35" t="n">
        <f aca="false">E86/$V86</f>
        <v>22131.2767412308</v>
      </c>
      <c r="AA86" s="36" t="n">
        <f aca="false">C86/((N86+U86)*V86)</f>
        <v>0.0803949438089027</v>
      </c>
      <c r="AB86" s="36" t="n">
        <f aca="false">D86/((N86+U86)*V86)</f>
        <v>0.0182719457492269</v>
      </c>
      <c r="AC86" s="36" t="n">
        <f aca="false">E86/((N86+U86)*V86)</f>
        <v>0.0567571961593797</v>
      </c>
      <c r="AD86" s="36" t="n">
        <f aca="false">(C86+D86+E86)/((N86+U86)*V86)</f>
        <v>0.155424085717509</v>
      </c>
      <c r="AE86" s="36" t="n">
        <f aca="false">(C86+D86+E86)/((K86+U86)*V86)</f>
        <v>0.16562278521347</v>
      </c>
      <c r="AF86" s="37" t="n">
        <f aca="false">(P86/V86)/K86</f>
        <v>0.377657904866434</v>
      </c>
      <c r="AG86" s="38" t="n">
        <f aca="false">F86/($N86+$U86)</f>
        <v>0.345018400785784</v>
      </c>
      <c r="AH86" s="38" t="n">
        <f aca="false">G86/($N86+$U86)</f>
        <v>0.0558947911029957</v>
      </c>
      <c r="AI86" s="39" t="n">
        <f aca="false">I86/($N86+$U86)</f>
        <v>0.86866644953312</v>
      </c>
      <c r="AJ86" s="40" t="n">
        <f aca="false">C86/F86</f>
        <v>0.895555637485256</v>
      </c>
      <c r="AK86" s="40" t="n">
        <f aca="false">D86/G86</f>
        <v>1.25637577426015</v>
      </c>
      <c r="AL86" s="40" t="n">
        <f aca="false">E86/I86</f>
        <v>0.251115765126791</v>
      </c>
      <c r="AM86" s="41"/>
      <c r="AN86" s="42" t="n">
        <f aca="false">AJ86/$V86</f>
        <v>0.233016394562731</v>
      </c>
      <c r="AO86" s="42" t="n">
        <f aca="false">AK86/$V86</f>
        <v>0.326898900392305</v>
      </c>
      <c r="AP86" s="42" t="n">
        <f aca="false">AL86/$V86</f>
        <v>0.0653383081502512</v>
      </c>
      <c r="AQ86" s="42" t="n">
        <f aca="false">AM86/$V86</f>
        <v>0</v>
      </c>
      <c r="AR86" s="43"/>
    </row>
    <row r="87" customFormat="false" ht="18.75" hidden="false" customHeight="true" outlineLevel="0" collapsed="false">
      <c r="A87" s="18" t="n">
        <v>2018</v>
      </c>
      <c r="B87" s="18" t="n">
        <v>1</v>
      </c>
      <c r="C87" s="24" t="n">
        <v>143449.17</v>
      </c>
      <c r="D87" s="24" t="n">
        <v>27933.16</v>
      </c>
      <c r="E87" s="25" t="n">
        <v>84121.79</v>
      </c>
      <c r="F87" s="26" t="n">
        <f aca="false">140036.17+1840.13</f>
        <v>141876.3</v>
      </c>
      <c r="G87" s="26" t="n">
        <v>21426</v>
      </c>
      <c r="H87" s="26"/>
      <c r="I87" s="27" t="n">
        <v>333207</v>
      </c>
      <c r="J87" s="27"/>
      <c r="K87" s="28" t="n">
        <f aca="false">N87-L87</f>
        <v>297006</v>
      </c>
      <c r="L87" s="29" t="n">
        <v>32729</v>
      </c>
      <c r="M87" s="30" t="n">
        <f aca="false">L87/N87</f>
        <v>0.0992584954584742</v>
      </c>
      <c r="N87" s="29" t="n">
        <v>329735</v>
      </c>
      <c r="O87" s="31" t="n">
        <v>299582</v>
      </c>
      <c r="P87" s="24" t="n">
        <v>516941</v>
      </c>
      <c r="Q87" s="32" t="n">
        <v>157</v>
      </c>
      <c r="R87" s="32" t="n">
        <f aca="false">O87/Q87</f>
        <v>1908.16560509554</v>
      </c>
      <c r="S87" s="33" t="n">
        <v>30</v>
      </c>
      <c r="T87" s="29" t="n">
        <f aca="false">N87/S87</f>
        <v>10991.1666666667</v>
      </c>
      <c r="U87" s="29" t="n">
        <v>48165</v>
      </c>
      <c r="V87" s="34" t="n">
        <f aca="false">'$'!C74</f>
        <v>3.772753</v>
      </c>
      <c r="W87" s="35" t="n">
        <f aca="false">SUM(C87:E87)/V87</f>
        <v>67723.521788996</v>
      </c>
      <c r="X87" s="35" t="n">
        <f aca="false">C87/$V87</f>
        <v>38022.4122808994</v>
      </c>
      <c r="Y87" s="35" t="n">
        <f aca="false">D87/$V87</f>
        <v>7403.91963110228</v>
      </c>
      <c r="Z87" s="35" t="n">
        <f aca="false">E87/$V87</f>
        <v>22297.1898769943</v>
      </c>
      <c r="AA87" s="36" t="n">
        <f aca="false">C87/((N87+U87)*V87)</f>
        <v>0.100615010005026</v>
      </c>
      <c r="AB87" s="36" t="n">
        <f aca="false">D87/((N87+U87)*V87)</f>
        <v>0.0195922721119404</v>
      </c>
      <c r="AC87" s="36" t="n">
        <f aca="false">E87/((N87+U87)*V87)</f>
        <v>0.0590028840354441</v>
      </c>
      <c r="AD87" s="36" t="n">
        <f aca="false">(C87+D87+E87)/((N87+U87)*V87)</f>
        <v>0.179210166152411</v>
      </c>
      <c r="AE87" s="36" t="n">
        <f aca="false">(C87+D87+E87)/((K87+U87)*V87)</f>
        <v>0.196202814804824</v>
      </c>
      <c r="AF87" s="37" t="n">
        <f aca="false">(P87/V87)/K87</f>
        <v>0.461336039169808</v>
      </c>
      <c r="AG87" s="38" t="n">
        <f aca="false">F87/($N87+$U87)</f>
        <v>0.375433448002117</v>
      </c>
      <c r="AH87" s="38" t="n">
        <f aca="false">G87/($N87+$U87)</f>
        <v>0.0566975390314898</v>
      </c>
      <c r="AI87" s="39" t="n">
        <f aca="false">I87/($N87+$U87)</f>
        <v>0.881733262767928</v>
      </c>
      <c r="AJ87" s="44" t="n">
        <f aca="false">C87/F87</f>
        <v>1.01108620678718</v>
      </c>
      <c r="AK87" s="40" t="n">
        <f aca="false">D87/G87</f>
        <v>1.303703911136</v>
      </c>
      <c r="AL87" s="40" t="n">
        <f aca="false">E87/I87</f>
        <v>0.252461052738988</v>
      </c>
      <c r="AM87" s="41"/>
      <c r="AN87" s="42" t="n">
        <f aca="false">AJ87/$V87</f>
        <v>0.267996926060937</v>
      </c>
      <c r="AO87" s="42" t="n">
        <f aca="false">AK87/$V87</f>
        <v>0.345557716377405</v>
      </c>
      <c r="AP87" s="42" t="n">
        <f aca="false">AL87/$V87</f>
        <v>0.0669169311478881</v>
      </c>
      <c r="AQ87" s="42" t="n">
        <f aca="false">AM87/$V87</f>
        <v>0</v>
      </c>
      <c r="AR87" s="43"/>
    </row>
    <row r="88" customFormat="false" ht="18.75" hidden="false" customHeight="true" outlineLevel="0" collapsed="false">
      <c r="A88" s="18" t="n">
        <v>2018</v>
      </c>
      <c r="B88" s="18" t="n">
        <v>2</v>
      </c>
      <c r="C88" s="24" t="n">
        <v>120398.7</v>
      </c>
      <c r="D88" s="24" t="n">
        <v>25606.61</v>
      </c>
      <c r="E88" s="25" t="n">
        <v>87643.41</v>
      </c>
      <c r="F88" s="26" t="n">
        <f aca="false">117467.05+1424.68</f>
        <v>118891.73</v>
      </c>
      <c r="G88" s="26" t="n">
        <v>20357</v>
      </c>
      <c r="H88" s="26"/>
      <c r="I88" s="27" t="n">
        <v>320738.67</v>
      </c>
      <c r="J88" s="27"/>
      <c r="K88" s="28" t="n">
        <f aca="false">N88-L88</f>
        <v>278901</v>
      </c>
      <c r="L88" s="29" t="n">
        <v>22664</v>
      </c>
      <c r="M88" s="30" t="n">
        <f aca="false">L88/N88</f>
        <v>0.0751546101172218</v>
      </c>
      <c r="N88" s="29" t="n">
        <v>301565</v>
      </c>
      <c r="O88" s="31" t="n">
        <v>286128</v>
      </c>
      <c r="P88" s="24" t="n">
        <v>499289</v>
      </c>
      <c r="Q88" s="32" t="n">
        <v>165</v>
      </c>
      <c r="R88" s="32" t="n">
        <f aca="false">O88/Q88</f>
        <v>1734.10909090909</v>
      </c>
      <c r="S88" s="33" t="n">
        <v>26</v>
      </c>
      <c r="T88" s="29" t="n">
        <f aca="false">N88/S88</f>
        <v>11598.6538461538</v>
      </c>
      <c r="U88" s="29" t="n">
        <v>40019</v>
      </c>
      <c r="V88" s="34" t="n">
        <f aca="false">'$'!C75</f>
        <v>3.78455</v>
      </c>
      <c r="W88" s="35" t="n">
        <f aca="false">SUM(C88:E88)/V88</f>
        <v>61737.5170099483</v>
      </c>
      <c r="X88" s="35" t="n">
        <f aca="false">C88/$V88</f>
        <v>31813.2142526853</v>
      </c>
      <c r="Y88" s="35" t="n">
        <f aca="false">D88/$V88</f>
        <v>6766.09108084184</v>
      </c>
      <c r="Z88" s="35" t="n">
        <f aca="false">E88/$V88</f>
        <v>23158.2116764212</v>
      </c>
      <c r="AA88" s="36" t="n">
        <f aca="false">C88/((N88+U88)*V88)</f>
        <v>0.0931343805701826</v>
      </c>
      <c r="AB88" s="36" t="n">
        <f aca="false">D88/((N88+U88)*V88)</f>
        <v>0.0198079859737044</v>
      </c>
      <c r="AC88" s="36" t="n">
        <f aca="false">E88/((N88+U88)*V88)</f>
        <v>0.067796535190235</v>
      </c>
      <c r="AD88" s="36" t="n">
        <f aca="false">(C88+D88+E88)/((N88+U88)*V88)</f>
        <v>0.180738901734122</v>
      </c>
      <c r="AE88" s="36" t="n">
        <f aca="false">(C88+D88+E88)/((K88+U88)*V88)</f>
        <v>0.193583083563114</v>
      </c>
      <c r="AF88" s="37" t="n">
        <f aca="false">(P88/V88)/K88</f>
        <v>0.473028904638231</v>
      </c>
      <c r="AG88" s="38" t="n">
        <f aca="false">F88/($N88+$U88)</f>
        <v>0.348060008665511</v>
      </c>
      <c r="AH88" s="38" t="n">
        <f aca="false">G88/($N88+$U88)</f>
        <v>0.059595882711134</v>
      </c>
      <c r="AI88" s="39" t="n">
        <f aca="false">I88/($N88+$U88)</f>
        <v>0.938974512857745</v>
      </c>
      <c r="AJ88" s="40" t="n">
        <f aca="false">C88/F88</f>
        <v>1.01267514569769</v>
      </c>
      <c r="AK88" s="40" t="n">
        <f aca="false">D88/G88</f>
        <v>1.25787738861325</v>
      </c>
      <c r="AL88" s="44" t="n">
        <f aca="false">E88/I88</f>
        <v>0.273254890032437</v>
      </c>
      <c r="AM88" s="45"/>
      <c r="AN88" s="42" t="n">
        <f aca="false">AJ88/$V88</f>
        <v>0.267581388988833</v>
      </c>
      <c r="AO88" s="42" t="n">
        <f aca="false">AK88/$V88</f>
        <v>0.332371718860433</v>
      </c>
      <c r="AP88" s="42" t="n">
        <f aca="false">AL88/$V88</f>
        <v>0.0722027427388822</v>
      </c>
      <c r="AQ88" s="42" t="n">
        <f aca="false">AM88/$V88</f>
        <v>0</v>
      </c>
      <c r="AR88" s="43"/>
    </row>
    <row r="89" customFormat="false" ht="18.75" hidden="false" customHeight="true" outlineLevel="0" collapsed="false">
      <c r="A89" s="18" t="n">
        <v>2018</v>
      </c>
      <c r="B89" s="18" t="n">
        <v>3</v>
      </c>
      <c r="C89" s="24" t="n">
        <v>116860.06</v>
      </c>
      <c r="D89" s="24" t="n">
        <v>26174.55</v>
      </c>
      <c r="E89" s="25" t="n">
        <v>84220.39</v>
      </c>
      <c r="F89" s="26" t="n">
        <f aca="false">115105.27+1387.53</f>
        <v>116492.8</v>
      </c>
      <c r="G89" s="26" t="n">
        <v>20920</v>
      </c>
      <c r="H89" s="26"/>
      <c r="I89" s="27" t="n">
        <v>308211.75</v>
      </c>
      <c r="J89" s="27"/>
      <c r="K89" s="28" t="n">
        <f aca="false">N89-L89</f>
        <v>274688</v>
      </c>
      <c r="L89" s="29" t="n">
        <v>26247</v>
      </c>
      <c r="M89" s="30" t="n">
        <f aca="false">L89/N89</f>
        <v>0.0872181700367189</v>
      </c>
      <c r="N89" s="29" t="n">
        <v>300935</v>
      </c>
      <c r="O89" s="31" t="n">
        <v>287120</v>
      </c>
      <c r="P89" s="24" t="n">
        <v>527458</v>
      </c>
      <c r="Q89" s="32" t="n">
        <v>162</v>
      </c>
      <c r="R89" s="32" t="n">
        <f aca="false">O89/Q89</f>
        <v>1772.34567901235</v>
      </c>
      <c r="S89" s="33" t="n">
        <v>29</v>
      </c>
      <c r="T89" s="29" t="n">
        <f aca="false">N89/S89</f>
        <v>10377.0689655172</v>
      </c>
      <c r="U89" s="29" t="n">
        <v>39660</v>
      </c>
      <c r="V89" s="34" t="n">
        <f aca="false">'$'!C76</f>
        <v>3.889189</v>
      </c>
      <c r="W89" s="35" t="n">
        <f aca="false">SUM(C89:E89)/V89</f>
        <v>58432.4906812191</v>
      </c>
      <c r="X89" s="35" t="n">
        <f aca="false">C89/$V89</f>
        <v>30047.4109126607</v>
      </c>
      <c r="Y89" s="35" t="n">
        <f aca="false">D89/$V89</f>
        <v>6730.07920160219</v>
      </c>
      <c r="Z89" s="35" t="n">
        <f aca="false">E89/$V89</f>
        <v>21655.0005669562</v>
      </c>
      <c r="AA89" s="36" t="n">
        <f aca="false">C89/((N89+U89)*V89)</f>
        <v>0.0882203523617807</v>
      </c>
      <c r="AB89" s="36" t="n">
        <f aca="false">D89/((N89+U89)*V89)</f>
        <v>0.0197597709937086</v>
      </c>
      <c r="AC89" s="36" t="n">
        <f aca="false">E89/((N89+U89)*V89)</f>
        <v>0.0635799132898494</v>
      </c>
      <c r="AD89" s="36" t="n">
        <f aca="false">(C89+D89+E89)/((N89+U89)*V89)</f>
        <v>0.171560036645339</v>
      </c>
      <c r="AE89" s="36" t="n">
        <f aca="false">(C89+D89+E89)/((K89+U89)*V89)</f>
        <v>0.18588472228619</v>
      </c>
      <c r="AF89" s="37" t="n">
        <f aca="false">(P89/V89)/K89</f>
        <v>0.493729580582086</v>
      </c>
      <c r="AG89" s="38" t="n">
        <f aca="false">F89/($N89+$U89)</f>
        <v>0.342027334517535</v>
      </c>
      <c r="AH89" s="38" t="n">
        <f aca="false">G89/($N89+$U89)</f>
        <v>0.0614219233987581</v>
      </c>
      <c r="AI89" s="39" t="n">
        <f aca="false">I89/($N89+$U89)</f>
        <v>0.90492153437367</v>
      </c>
      <c r="AJ89" s="40" t="n">
        <f aca="false">C89/F89</f>
        <v>1.00315264119328</v>
      </c>
      <c r="AK89" s="40" t="n">
        <f aca="false">D89/G89</f>
        <v>1.25117351816444</v>
      </c>
      <c r="AL89" s="40" t="n">
        <f aca="false">E89/I89</f>
        <v>0.273254961889026</v>
      </c>
      <c r="AM89" s="41"/>
      <c r="AN89" s="42" t="n">
        <f aca="false">AJ89/$V89</f>
        <v>0.257933631200046</v>
      </c>
      <c r="AO89" s="42" t="n">
        <f aca="false">AK89/$V89</f>
        <v>0.321705506768747</v>
      </c>
      <c r="AP89" s="42" t="n">
        <f aca="false">AL89/$V89</f>
        <v>0.0702601395532657</v>
      </c>
      <c r="AQ89" s="42" t="n">
        <f aca="false">AM89/$V89</f>
        <v>0</v>
      </c>
      <c r="AR89" s="43"/>
    </row>
    <row r="90" customFormat="false" ht="18.75" hidden="false" customHeight="true" outlineLevel="0" collapsed="false">
      <c r="A90" s="18" t="n">
        <v>2018</v>
      </c>
      <c r="B90" s="18" t="n">
        <v>4</v>
      </c>
      <c r="C90" s="24" t="n">
        <v>121265.71</v>
      </c>
      <c r="D90" s="24" t="n">
        <f aca="false">27664.49</f>
        <v>27664.49</v>
      </c>
      <c r="E90" s="25" t="n">
        <v>98504.45</v>
      </c>
      <c r="F90" s="26" t="n">
        <f aca="false">109326.37+1360.39</f>
        <v>110686.76</v>
      </c>
      <c r="G90" s="26" t="n">
        <v>21428</v>
      </c>
      <c r="H90" s="26"/>
      <c r="I90" s="27" t="n">
        <v>311664.78</v>
      </c>
      <c r="J90" s="27"/>
      <c r="K90" s="28" t="n">
        <f aca="false">N90-L90</f>
        <v>244805</v>
      </c>
      <c r="L90" s="29" t="n">
        <v>17956</v>
      </c>
      <c r="M90" s="30" t="n">
        <f aca="false">L90/N90</f>
        <v>0.0683358641503115</v>
      </c>
      <c r="N90" s="29" t="n">
        <v>262761</v>
      </c>
      <c r="O90" s="31" t="n">
        <v>249932</v>
      </c>
      <c r="P90" s="24" t="n">
        <v>513972</v>
      </c>
      <c r="Q90" s="32" t="n">
        <v>160</v>
      </c>
      <c r="R90" s="32" t="n">
        <f aca="false">O90/Q90</f>
        <v>1562.075</v>
      </c>
      <c r="S90" s="33" t="n">
        <v>28</v>
      </c>
      <c r="T90" s="29" t="n">
        <f aca="false">N90/S90</f>
        <v>9384.32142857143</v>
      </c>
      <c r="U90" s="29" t="n">
        <v>32327</v>
      </c>
      <c r="V90" s="34" t="n">
        <f aca="false">'$'!C77</f>
        <v>4.060187</v>
      </c>
      <c r="W90" s="35" t="n">
        <f aca="false">SUM(C90:E90)/V90</f>
        <v>60941.6881537722</v>
      </c>
      <c r="X90" s="35" t="n">
        <f aca="false">C90/$V90</f>
        <v>29867.0258291059</v>
      </c>
      <c r="Y90" s="35" t="n">
        <f aca="false">D90/$V90</f>
        <v>6813.59996473069</v>
      </c>
      <c r="Z90" s="35" t="n">
        <f aca="false">E90/$V90</f>
        <v>24261.0623599356</v>
      </c>
      <c r="AA90" s="36" t="n">
        <f aca="false">C90/((N90+U90)*V90)</f>
        <v>0.101213962713177</v>
      </c>
      <c r="AB90" s="36" t="n">
        <f aca="false">D90/((N90+U90)*V90)</f>
        <v>0.0230900611503371</v>
      </c>
      <c r="AC90" s="36" t="n">
        <f aca="false">E90/((N90+U90)*V90)</f>
        <v>0.0822163637963443</v>
      </c>
      <c r="AD90" s="36" t="n">
        <f aca="false">(C90+D90+E90)/((N90+U90)*V90)</f>
        <v>0.206520387659858</v>
      </c>
      <c r="AE90" s="36" t="n">
        <f aca="false">(C90+D90+E90)/((K90+U90)*V90)</f>
        <v>0.219901303904898</v>
      </c>
      <c r="AF90" s="37" t="n">
        <f aca="false">(P90/V90)/K90</f>
        <v>0.517098335928707</v>
      </c>
      <c r="AG90" s="38" t="n">
        <f aca="false">F90/($N90+$U90)</f>
        <v>0.375097462451879</v>
      </c>
      <c r="AH90" s="38" t="n">
        <f aca="false">G90/($N90+$U90)</f>
        <v>0.0726156265249688</v>
      </c>
      <c r="AI90" s="39" t="n">
        <f aca="false">I90/($N90+$U90)</f>
        <v>1.05617571707423</v>
      </c>
      <c r="AJ90" s="44" t="n">
        <f aca="false">C90/F90</f>
        <v>1.09557556838776</v>
      </c>
      <c r="AK90" s="40" t="n">
        <f aca="false">D90/G90</f>
        <v>1.2910439611723</v>
      </c>
      <c r="AL90" s="44" t="n">
        <f aca="false">E90/I90</f>
        <v>0.316058972078911</v>
      </c>
      <c r="AM90" s="45"/>
      <c r="AN90" s="42" t="n">
        <f aca="false">AJ90/$V90</f>
        <v>0.269833770806065</v>
      </c>
      <c r="AO90" s="42" t="n">
        <f aca="false">AK90/$V90</f>
        <v>0.317976477726838</v>
      </c>
      <c r="AP90" s="42" t="n">
        <f aca="false">AL90/$V90</f>
        <v>0.0778434520574819</v>
      </c>
      <c r="AQ90" s="42" t="n">
        <f aca="false">AM90/$V90</f>
        <v>0</v>
      </c>
      <c r="AR90" s="43"/>
    </row>
    <row r="91" customFormat="false" ht="18.75" hidden="false" customHeight="true" outlineLevel="0" collapsed="false">
      <c r="A91" s="18" t="n">
        <v>2018</v>
      </c>
      <c r="B91" s="18" t="n">
        <v>5</v>
      </c>
      <c r="C91" s="24" t="n">
        <v>129149.27</v>
      </c>
      <c r="D91" s="24" t="n">
        <v>28599.97</v>
      </c>
      <c r="E91" s="25" t="n">
        <v>107000.12</v>
      </c>
      <c r="F91" s="26" t="n">
        <f aca="false">117785.02-37.86</f>
        <v>117747.16</v>
      </c>
      <c r="G91" s="26" t="n">
        <v>22763</v>
      </c>
      <c r="H91" s="26"/>
      <c r="I91" s="27" t="n">
        <v>344726.55</v>
      </c>
      <c r="J91" s="27"/>
      <c r="K91" s="28" t="n">
        <f aca="false">N91-L91</f>
        <v>290422</v>
      </c>
      <c r="L91" s="29" t="n">
        <v>26520</v>
      </c>
      <c r="M91" s="30" t="n">
        <f aca="false">L91/N91</f>
        <v>0.0836746155448</v>
      </c>
      <c r="N91" s="29" t="n">
        <v>316942</v>
      </c>
      <c r="O91" s="31" t="n">
        <v>297923</v>
      </c>
      <c r="P91" s="24" t="n">
        <v>559817</v>
      </c>
      <c r="Q91" s="32" t="n">
        <v>166</v>
      </c>
      <c r="R91" s="32" t="n">
        <f aca="false">O91/Q91</f>
        <v>1794.71686746988</v>
      </c>
      <c r="S91" s="33" t="n">
        <v>29</v>
      </c>
      <c r="T91" s="29" t="n">
        <f aca="false">N91/S91</f>
        <v>10929.0344827586</v>
      </c>
      <c r="U91" s="29" t="n">
        <v>32891.9</v>
      </c>
      <c r="V91" s="34" t="n">
        <f aca="false">'$'!C78</f>
        <v>4.417734</v>
      </c>
      <c r="W91" s="35" t="n">
        <f aca="false">SUM(C91:E91)/V91</f>
        <v>59928.7689118448</v>
      </c>
      <c r="X91" s="35" t="n">
        <f aca="false">C91/$V91</f>
        <v>29234.2793839557</v>
      </c>
      <c r="Y91" s="35" t="n">
        <f aca="false">D91/$V91</f>
        <v>6473.90042044179</v>
      </c>
      <c r="Z91" s="35" t="n">
        <f aca="false">E91/$V91</f>
        <v>24220.5891074474</v>
      </c>
      <c r="AA91" s="36" t="n">
        <f aca="false">C91/((N91+U91)*V91)</f>
        <v>0.0835661706425697</v>
      </c>
      <c r="AB91" s="36" t="n">
        <f aca="false">D91/((N91+U91)*V91)</f>
        <v>0.018505640592412</v>
      </c>
      <c r="AC91" s="36" t="n">
        <f aca="false">E91/((N91+U91)*V91)</f>
        <v>0.0692345398986416</v>
      </c>
      <c r="AD91" s="36" t="n">
        <f aca="false">(C91+D91+E91)/((N91+U91)*V91)</f>
        <v>0.171306351133623</v>
      </c>
      <c r="AE91" s="36" t="n">
        <f aca="false">(C91+D91+E91)/((K91+U91)*V91)</f>
        <v>0.185357848554748</v>
      </c>
      <c r="AF91" s="37" t="n">
        <f aca="false">(P91/V91)/K91</f>
        <v>0.436331943066683</v>
      </c>
      <c r="AG91" s="38" t="n">
        <f aca="false">F91/($N91+$U91)</f>
        <v>0.336580188483735</v>
      </c>
      <c r="AH91" s="38" t="n">
        <f aca="false">G91/($N91+$U91)</f>
        <v>0.0650680222814313</v>
      </c>
      <c r="AI91" s="39" t="n">
        <f aca="false">I91/($N91+$U91)</f>
        <v>0.985400642990859</v>
      </c>
      <c r="AJ91" s="40" t="n">
        <f aca="false">C91/F91</f>
        <v>1.09683554151115</v>
      </c>
      <c r="AK91" s="40" t="n">
        <f aca="false">D91/G91</f>
        <v>1.25642358212889</v>
      </c>
      <c r="AL91" s="40" t="n">
        <f aca="false">E91/I91</f>
        <v>0.310391294201157</v>
      </c>
      <c r="AM91" s="41"/>
      <c r="AN91" s="42" t="n">
        <f aca="false">AJ91/$V91</f>
        <v>0.24828012313805</v>
      </c>
      <c r="AO91" s="42" t="n">
        <f aca="false">AK91/$V91</f>
        <v>0.284404534571093</v>
      </c>
      <c r="AP91" s="42" t="n">
        <f aca="false">AL91/$V91</f>
        <v>0.0702602950293425</v>
      </c>
      <c r="AQ91" s="42" t="n">
        <f aca="false">AM91/$V91</f>
        <v>0</v>
      </c>
      <c r="AR91" s="43"/>
    </row>
    <row r="92" customFormat="false" ht="18.75" hidden="false" customHeight="true" outlineLevel="0" collapsed="false">
      <c r="A92" s="18" t="n">
        <v>2018</v>
      </c>
      <c r="B92" s="18" t="n">
        <v>6</v>
      </c>
      <c r="C92" s="24" t="n">
        <v>100065.44</v>
      </c>
      <c r="D92" s="24" t="n">
        <v>25073.45</v>
      </c>
      <c r="E92" s="25" t="n">
        <v>97688.7</v>
      </c>
      <c r="F92" s="26" t="n">
        <f aca="false">89573.38+1640.8</f>
        <v>91214.18</v>
      </c>
      <c r="G92" s="26" t="n">
        <v>19974</v>
      </c>
      <c r="H92" s="26"/>
      <c r="I92" s="27" t="n">
        <v>293397.93</v>
      </c>
      <c r="J92" s="27"/>
      <c r="K92" s="28" t="n">
        <f aca="false">N92-L92</f>
        <v>250353</v>
      </c>
      <c r="L92" s="29" t="n">
        <v>15919</v>
      </c>
      <c r="M92" s="30" t="n">
        <f aca="false">L92/N92</f>
        <v>0.0597847314024757</v>
      </c>
      <c r="N92" s="29" t="n">
        <v>266272</v>
      </c>
      <c r="O92" s="31" t="n">
        <v>269952</v>
      </c>
      <c r="P92" s="24" t="n">
        <v>531307</v>
      </c>
      <c r="Q92" s="32" t="n">
        <v>164</v>
      </c>
      <c r="R92" s="32" t="n">
        <f aca="false">O92/Q92</f>
        <v>1646.0487804878</v>
      </c>
      <c r="S92" s="33" t="n">
        <v>24</v>
      </c>
      <c r="T92" s="29" t="n">
        <f aca="false">N92/S92</f>
        <v>11094.6666666667</v>
      </c>
      <c r="U92" s="29" t="n">
        <v>17706.6</v>
      </c>
      <c r="V92" s="34" t="n">
        <f aca="false">'$'!C79</f>
        <v>4.629054</v>
      </c>
      <c r="W92" s="35" t="n">
        <f aca="false">SUM(C92:E92)/V92</f>
        <v>48136.7445702729</v>
      </c>
      <c r="X92" s="35" t="n">
        <f aca="false">C92/$V92</f>
        <v>21616.8227892783</v>
      </c>
      <c r="Y92" s="35" t="n">
        <f aca="false">D92/$V92</f>
        <v>5416.53867075217</v>
      </c>
      <c r="Z92" s="35" t="n">
        <f aca="false">E92/$V92</f>
        <v>21103.3831102424</v>
      </c>
      <c r="AA92" s="36" t="n">
        <f aca="false">C92/((N92+U92)*V92)</f>
        <v>0.0761213091031448</v>
      </c>
      <c r="AB92" s="36" t="n">
        <f aca="false">D92/((N92+U92)*V92)</f>
        <v>0.0190737565110616</v>
      </c>
      <c r="AC92" s="36" t="n">
        <f aca="false">E92/((N92+U92)*V92)</f>
        <v>0.0743132866710463</v>
      </c>
      <c r="AD92" s="36" t="n">
        <f aca="false">(C92+D92+E92)/((N92+U92)*V92)</f>
        <v>0.169508352285253</v>
      </c>
      <c r="AE92" s="36" t="n">
        <f aca="false">(C92+D92+E92)/((K92+U92)*V92)</f>
        <v>0.179574783258174</v>
      </c>
      <c r="AF92" s="37" t="n">
        <f aca="false">(P92/V92)/K92</f>
        <v>0.458458987354682</v>
      </c>
      <c r="AG92" s="38" t="n">
        <f aca="false">F92/($N92+$U92)</f>
        <v>0.321200893306749</v>
      </c>
      <c r="AH92" s="38" t="n">
        <f aca="false">G92/($N92+$U92)</f>
        <v>0.0703362859032336</v>
      </c>
      <c r="AI92" s="39" t="n">
        <f aca="false">I92/($N92+$U92)</f>
        <v>1.03316915429543</v>
      </c>
      <c r="AJ92" s="40" t="n">
        <f aca="false">C92/F92</f>
        <v>1.09703820173574</v>
      </c>
      <c r="AK92" s="40" t="n">
        <f aca="false">D92/G92</f>
        <v>1.25530439571443</v>
      </c>
      <c r="AL92" s="40" t="n">
        <f aca="false">E92/I92</f>
        <v>0.332956336808511</v>
      </c>
      <c r="AM92" s="41"/>
      <c r="AN92" s="42" t="n">
        <f aca="false">AJ92/$V92</f>
        <v>0.236989717928488</v>
      </c>
      <c r="AO92" s="42" t="n">
        <f aca="false">AK92/$V92</f>
        <v>0.271179466844506</v>
      </c>
      <c r="AP92" s="42" t="n">
        <f aca="false">AL92/$V92</f>
        <v>0.0719275119297617</v>
      </c>
      <c r="AQ92" s="42" t="n">
        <f aca="false">AM92/$V92</f>
        <v>0</v>
      </c>
      <c r="AR92" s="43"/>
    </row>
    <row r="93" customFormat="false" ht="18.75" hidden="false" customHeight="true" outlineLevel="0" collapsed="false">
      <c r="A93" s="18" t="n">
        <v>2018</v>
      </c>
      <c r="B93" s="18" t="n">
        <v>7</v>
      </c>
      <c r="C93" s="24" t="n">
        <v>110743.79</v>
      </c>
      <c r="D93" s="24" t="n">
        <v>30081.03</v>
      </c>
      <c r="E93" s="25" t="n">
        <v>125965.35</v>
      </c>
      <c r="F93" s="26" t="n">
        <f aca="false">99142.81+1788.39</f>
        <v>100931.2</v>
      </c>
      <c r="G93" s="26" t="n">
        <v>23929</v>
      </c>
      <c r="H93" s="26"/>
      <c r="I93" s="27" t="n">
        <v>344259.72</v>
      </c>
      <c r="J93" s="27"/>
      <c r="K93" s="28" t="n">
        <f aca="false">N93-L93</f>
        <v>292982</v>
      </c>
      <c r="L93" s="29" t="n">
        <v>23650</v>
      </c>
      <c r="M93" s="30" t="n">
        <f aca="false">L93/N93</f>
        <v>0.0746923873771444</v>
      </c>
      <c r="N93" s="29" t="n">
        <v>316632</v>
      </c>
      <c r="O93" s="31" t="n">
        <v>318005</v>
      </c>
      <c r="P93" s="24" t="n">
        <v>558312</v>
      </c>
      <c r="Q93" s="32" t="n">
        <v>169</v>
      </c>
      <c r="R93" s="32" t="n">
        <f aca="false">O93/Q93</f>
        <v>1881.68639053254</v>
      </c>
      <c r="S93" s="33" t="n">
        <v>28</v>
      </c>
      <c r="T93" s="29" t="n">
        <f aca="false">N93/S93</f>
        <v>11308.2857142857</v>
      </c>
      <c r="U93" s="29" t="n">
        <v>24250</v>
      </c>
      <c r="V93" s="34" t="n">
        <f aca="false">'$'!C80</f>
        <v>4.761595</v>
      </c>
      <c r="W93" s="35" t="n">
        <f aca="false">SUM(C93:E93)/V93</f>
        <v>56029.5804242066</v>
      </c>
      <c r="X93" s="35" t="n">
        <f aca="false">C93/$V93</f>
        <v>23257.7088139583</v>
      </c>
      <c r="Y93" s="35" t="n">
        <f aca="false">D93/$V93</f>
        <v>6317.42724864253</v>
      </c>
      <c r="Z93" s="35" t="n">
        <f aca="false">E93/$V93</f>
        <v>26454.4443616057</v>
      </c>
      <c r="AA93" s="36" t="n">
        <f aca="false">C93/((N93+U93)*V93)</f>
        <v>0.0682280343754095</v>
      </c>
      <c r="AB93" s="36" t="n">
        <f aca="false">D93/((N93+U93)*V93)</f>
        <v>0.0185325926527142</v>
      </c>
      <c r="AC93" s="36" t="n">
        <f aca="false">E93/((N93+U93)*V93)</f>
        <v>0.0776058705405557</v>
      </c>
      <c r="AD93" s="36" t="n">
        <f aca="false">(C93+D93+E93)/((N93+U93)*V93)</f>
        <v>0.16436649756868</v>
      </c>
      <c r="AE93" s="36" t="n">
        <f aca="false">(C93+D93+E93)/((K93+U93)*V93)</f>
        <v>0.17662020358667</v>
      </c>
      <c r="AF93" s="37" t="n">
        <f aca="false">(P93/V93)/K93</f>
        <v>0.400205976193872</v>
      </c>
      <c r="AG93" s="38" t="n">
        <f aca="false">F93/($N93+$U93)</f>
        <v>0.296088382490128</v>
      </c>
      <c r="AH93" s="38" t="n">
        <f aca="false">G93/($N93+$U93)</f>
        <v>0.0701973116797015</v>
      </c>
      <c r="AI93" s="39" t="n">
        <f aca="false">I93/($N93+$U93)</f>
        <v>1.00990876608328</v>
      </c>
      <c r="AJ93" s="40" t="n">
        <f aca="false">C93/F93</f>
        <v>1.09722058194097</v>
      </c>
      <c r="AK93" s="40" t="n">
        <f aca="false">D93/G93</f>
        <v>1.25709515650466</v>
      </c>
      <c r="AL93" s="44" t="n">
        <f aca="false">E93/I93</f>
        <v>0.36590208694761</v>
      </c>
      <c r="AM93" s="45"/>
      <c r="AN93" s="42" t="n">
        <f aca="false">AJ93/$V93</f>
        <v>0.230431311764433</v>
      </c>
      <c r="AO93" s="42" t="n">
        <f aca="false">AK93/$V93</f>
        <v>0.264007156531511</v>
      </c>
      <c r="AP93" s="42" t="n">
        <f aca="false">AL93/$V93</f>
        <v>0.0768444369896244</v>
      </c>
      <c r="AQ93" s="42" t="n">
        <f aca="false">AM93/$V93</f>
        <v>0</v>
      </c>
      <c r="AR93" s="43"/>
    </row>
    <row r="94" customFormat="false" ht="18.75" hidden="false" customHeight="true" outlineLevel="0" collapsed="false">
      <c r="A94" s="18" t="n">
        <v>2018</v>
      </c>
      <c r="B94" s="18" t="n">
        <v>8</v>
      </c>
      <c r="C94" s="24" t="n">
        <v>88597.23</v>
      </c>
      <c r="D94" s="24" t="n">
        <v>23365.95</v>
      </c>
      <c r="E94" s="25" t="n">
        <v>102651.07</v>
      </c>
      <c r="F94" s="26" t="n">
        <f aca="false">70047.53+1218.11</f>
        <v>71265.64</v>
      </c>
      <c r="G94" s="26" t="n">
        <v>16355</v>
      </c>
      <c r="H94" s="26"/>
      <c r="I94" s="27" t="n">
        <v>238281.75</v>
      </c>
      <c r="J94" s="27"/>
      <c r="K94" s="28" t="n">
        <f aca="false">N94-L94</f>
        <v>227397</v>
      </c>
      <c r="L94" s="29" t="n">
        <v>19475</v>
      </c>
      <c r="M94" s="30" t="n">
        <f aca="false">L94/N94</f>
        <v>0.0788870345766227</v>
      </c>
      <c r="N94" s="29" t="n">
        <v>246872</v>
      </c>
      <c r="O94" s="31" t="n">
        <v>227365</v>
      </c>
      <c r="P94" s="24" t="n">
        <v>510031</v>
      </c>
      <c r="Q94" s="32" t="n">
        <v>171</v>
      </c>
      <c r="R94" s="32" t="n">
        <f aca="false">O94/Q94</f>
        <v>1329.61988304094</v>
      </c>
      <c r="S94" s="33" t="n">
        <v>21</v>
      </c>
      <c r="T94" s="29" t="n">
        <f aca="false">N94/S94</f>
        <v>11755.8095238095</v>
      </c>
      <c r="U94" s="29" t="n">
        <v>14109</v>
      </c>
      <c r="V94" s="34" t="n">
        <f aca="false">'$'!C81</f>
        <v>5.888005</v>
      </c>
      <c r="W94" s="35" t="n">
        <f aca="false">SUM(C94:E94)/V94</f>
        <v>36449.4000939198</v>
      </c>
      <c r="X94" s="35" t="n">
        <f aca="false">C94/$V94</f>
        <v>15047.0711217127</v>
      </c>
      <c r="Y94" s="35" t="n">
        <f aca="false">D94/$V94</f>
        <v>3968.39846433554</v>
      </c>
      <c r="Z94" s="35" t="n">
        <f aca="false">E94/$V94</f>
        <v>17433.9305078715</v>
      </c>
      <c r="AA94" s="36" t="n">
        <f aca="false">C94/((N94+U94)*V94)</f>
        <v>0.0576558106594453</v>
      </c>
      <c r="AB94" s="36" t="n">
        <f aca="false">D94/((N94+U94)*V94)</f>
        <v>0.0152056987456387</v>
      </c>
      <c r="AC94" s="36" t="n">
        <f aca="false">E94/((N94+U94)*V94)</f>
        <v>0.0668015315592764</v>
      </c>
      <c r="AD94" s="36" t="n">
        <f aca="false">(C94+D94+E94)/((N94+U94)*V94)</f>
        <v>0.13966304096436</v>
      </c>
      <c r="AE94" s="36" t="n">
        <f aca="false">(C94+D94+E94)/((K94+U94)*V94)</f>
        <v>0.150925443235032</v>
      </c>
      <c r="AF94" s="37" t="n">
        <f aca="false">(P94/V94)/K94</f>
        <v>0.380928680737308</v>
      </c>
      <c r="AG94" s="38" t="n">
        <f aca="false">F94/($N94+$U94)</f>
        <v>0.27306830765458</v>
      </c>
      <c r="AH94" s="38" t="n">
        <f aca="false">G94/($N94+$U94)</f>
        <v>0.0626673972434775</v>
      </c>
      <c r="AI94" s="39" t="n">
        <f aca="false">I94/($N94+$U94)</f>
        <v>0.913023361853928</v>
      </c>
      <c r="AJ94" s="44" t="n">
        <f aca="false">C94/F94</f>
        <v>1.24319700208965</v>
      </c>
      <c r="AK94" s="44" t="n">
        <f aca="false">D94/G94</f>
        <v>1.42867318862733</v>
      </c>
      <c r="AL94" s="44" t="n">
        <f aca="false">E94/I94</f>
        <v>0.430797029147218</v>
      </c>
      <c r="AM94" s="45"/>
      <c r="AN94" s="42" t="n">
        <f aca="false">AJ94/$V94</f>
        <v>0.211140615894458</v>
      </c>
      <c r="AO94" s="42" t="n">
        <f aca="false">AK94/$V94</f>
        <v>0.242641300173375</v>
      </c>
      <c r="AP94" s="42" t="n">
        <f aca="false">AL94/$V94</f>
        <v>0.0731651941782009</v>
      </c>
      <c r="AQ94" s="42" t="n">
        <f aca="false">AM94/$V94</f>
        <v>0</v>
      </c>
      <c r="AR94" s="43"/>
    </row>
    <row r="95" customFormat="false" ht="18.75" hidden="false" customHeight="true" outlineLevel="0" collapsed="false">
      <c r="A95" s="18" t="n">
        <v>2018</v>
      </c>
      <c r="B95" s="18" t="n">
        <v>9</v>
      </c>
      <c r="C95" s="24" t="n">
        <v>127448.16</v>
      </c>
      <c r="D95" s="24" t="n">
        <v>28196.16</v>
      </c>
      <c r="E95" s="25" t="n">
        <v>134329.29</v>
      </c>
      <c r="F95" s="26" t="n">
        <f aca="false">87707.04+780.1</f>
        <v>88487.14</v>
      </c>
      <c r="G95" s="26" t="n">
        <v>19281</v>
      </c>
      <c r="H95" s="26"/>
      <c r="I95" s="27" t="n">
        <v>270863.46</v>
      </c>
      <c r="J95" s="27"/>
      <c r="K95" s="28" t="n">
        <f aca="false">N95-L95</f>
        <v>256554</v>
      </c>
      <c r="L95" s="29" t="n">
        <v>25523</v>
      </c>
      <c r="M95" s="30" t="n">
        <f aca="false">L95/N95</f>
        <v>0.0904823860151661</v>
      </c>
      <c r="N95" s="29" t="n">
        <v>282077</v>
      </c>
      <c r="O95" s="31" t="n">
        <v>301781</v>
      </c>
      <c r="P95" s="24" t="n">
        <v>518049</v>
      </c>
      <c r="Q95" s="32" t="n">
        <v>169</v>
      </c>
      <c r="R95" s="32" t="n">
        <f aca="false">O95/Q95</f>
        <v>1785.68639053254</v>
      </c>
      <c r="S95" s="33" t="n">
        <v>25</v>
      </c>
      <c r="T95" s="29" t="n">
        <f aca="false">N95/S95</f>
        <v>11283.08</v>
      </c>
      <c r="U95" s="29" t="n">
        <v>19790</v>
      </c>
      <c r="V95" s="34" t="n">
        <f aca="false">'$'!C82</f>
        <v>6.333883</v>
      </c>
      <c r="W95" s="35" t="n">
        <f aca="false">SUM(C95:E95)/V95</f>
        <v>45781.3335042659</v>
      </c>
      <c r="X95" s="35" t="n">
        <f aca="false">C95/$V95</f>
        <v>20121.6473370285</v>
      </c>
      <c r="Y95" s="35" t="n">
        <f aca="false">D95/$V95</f>
        <v>4451.63890776006</v>
      </c>
      <c r="Z95" s="35" t="n">
        <f aca="false">E95/$V95</f>
        <v>21208.0472594773</v>
      </c>
      <c r="AA95" s="36" t="n">
        <f aca="false">C95/((N95+U95)*V95)</f>
        <v>0.0666573270249099</v>
      </c>
      <c r="AB95" s="36" t="n">
        <f aca="false">D95/((N95+U95)*V95)</f>
        <v>0.014747020733502</v>
      </c>
      <c r="AC95" s="36" t="n">
        <f aca="false">E95/((N95+U95)*V95)</f>
        <v>0.0702562627232434</v>
      </c>
      <c r="AD95" s="36" t="n">
        <f aca="false">(C95+D95+E95)/((N95+U95)*V95)</f>
        <v>0.151660610481655</v>
      </c>
      <c r="AE95" s="36" t="n">
        <f aca="false">(C95+D95+E95)/((K95+U95)*V95)</f>
        <v>0.165667912110507</v>
      </c>
      <c r="AF95" s="37" t="n">
        <f aca="false">(P95/V95)/K95</f>
        <v>0.318802716019014</v>
      </c>
      <c r="AG95" s="38" t="n">
        <f aca="false">F95/($N95+$U95)</f>
        <v>0.293132869773775</v>
      </c>
      <c r="AH95" s="38" t="n">
        <f aca="false">G95/($N95+$U95)</f>
        <v>0.0638725001407905</v>
      </c>
      <c r="AI95" s="39" t="n">
        <f aca="false">I95/($N95+$U95)</f>
        <v>0.897294040090504</v>
      </c>
      <c r="AJ95" s="44" t="n">
        <f aca="false">C95/F95</f>
        <v>1.44030149465787</v>
      </c>
      <c r="AK95" s="44" t="n">
        <f aca="false">D95/G95</f>
        <v>1.46238058192002</v>
      </c>
      <c r="AL95" s="44" t="n">
        <f aca="false">E95/I95</f>
        <v>0.495929905052531</v>
      </c>
      <c r="AM95" s="45"/>
      <c r="AN95" s="42" t="n">
        <f aca="false">AJ95/$V95</f>
        <v>0.227396289867979</v>
      </c>
      <c r="AO95" s="42" t="n">
        <f aca="false">AK95/$V95</f>
        <v>0.230882159004204</v>
      </c>
      <c r="AP95" s="42" t="n">
        <f aca="false">AL95/$V95</f>
        <v>0.0782979264145755</v>
      </c>
      <c r="AQ95" s="42" t="n">
        <f aca="false">AM95/$V95</f>
        <v>0</v>
      </c>
      <c r="AR95" s="43"/>
    </row>
    <row r="96" customFormat="false" ht="18.75" hidden="false" customHeight="true" outlineLevel="0" collapsed="false">
      <c r="A96" s="18" t="n">
        <v>2018</v>
      </c>
      <c r="B96" s="18" t="n">
        <v>10</v>
      </c>
      <c r="C96" s="24" t="n">
        <v>194498.11</v>
      </c>
      <c r="D96" s="24" t="n">
        <v>35709.09</v>
      </c>
      <c r="E96" s="25" t="n">
        <v>143653.77</v>
      </c>
      <c r="F96" s="26" t="n">
        <f aca="false">111983.7+1080.93</f>
        <v>113064.63</v>
      </c>
      <c r="G96" s="26" t="n">
        <v>21236</v>
      </c>
      <c r="H96" s="26"/>
      <c r="I96" s="27" t="n">
        <v>302609.79</v>
      </c>
      <c r="J96" s="27"/>
      <c r="K96" s="28" t="n">
        <f aca="false">N96-L96</f>
        <v>348477</v>
      </c>
      <c r="L96" s="29" t="n">
        <v>19879</v>
      </c>
      <c r="M96" s="30" t="n">
        <f aca="false">L96/N96</f>
        <v>0.0539668147118548</v>
      </c>
      <c r="N96" s="29" t="n">
        <v>368356</v>
      </c>
      <c r="O96" s="31" t="n">
        <v>356943</v>
      </c>
      <c r="P96" s="24" t="n">
        <v>553411</v>
      </c>
      <c r="Q96" s="32" t="n">
        <v>166</v>
      </c>
      <c r="R96" s="32" t="n">
        <f aca="false">O96/Q96</f>
        <v>2150.25903614458</v>
      </c>
      <c r="S96" s="33" t="n">
        <v>24</v>
      </c>
      <c r="T96" s="29" t="n">
        <f aca="false">N96/S96</f>
        <v>15348.1666666667</v>
      </c>
      <c r="U96" s="29" t="n">
        <v>32586</v>
      </c>
      <c r="V96" s="34" t="n">
        <f aca="false">'$'!C83</f>
        <v>5.831909</v>
      </c>
      <c r="W96" s="35" t="n">
        <f aca="false">SUM(C96:E96)/V96</f>
        <v>64106.1048792085</v>
      </c>
      <c r="X96" s="35" t="n">
        <f aca="false">C96/$V96</f>
        <v>33350.6764251637</v>
      </c>
      <c r="Y96" s="35" t="n">
        <f aca="false">D96/$V96</f>
        <v>6123.05336040051</v>
      </c>
      <c r="Z96" s="35" t="n">
        <f aca="false">E96/$V96</f>
        <v>24632.3750936443</v>
      </c>
      <c r="AA96" s="36" t="n">
        <f aca="false">C96/((N96+U96)*V96)</f>
        <v>0.083180800278254</v>
      </c>
      <c r="AB96" s="36" t="n">
        <f aca="false">D96/((N96+U96)*V96)</f>
        <v>0.0152716686213979</v>
      </c>
      <c r="AC96" s="36" t="n">
        <f aca="false">E96/((N96+U96)*V96)</f>
        <v>0.061436255352755</v>
      </c>
      <c r="AD96" s="36" t="n">
        <f aca="false">(C96+D96+E96)/((N96+U96)*V96)</f>
        <v>0.159888724252407</v>
      </c>
      <c r="AE96" s="36" t="n">
        <f aca="false">(C96+D96+E96)/((K96+U96)*V96)</f>
        <v>0.168229675615865</v>
      </c>
      <c r="AF96" s="37" t="n">
        <f aca="false">(P96/V96)/K96</f>
        <v>0.272309585583655</v>
      </c>
      <c r="AG96" s="38" t="n">
        <f aca="false">F96/($N96+$U96)</f>
        <v>0.281997470955899</v>
      </c>
      <c r="AH96" s="38" t="n">
        <f aca="false">G96/($N96+$U96)</f>
        <v>0.0529652667966938</v>
      </c>
      <c r="AI96" s="39" t="n">
        <f aca="false">I96/($N96+$U96)</f>
        <v>0.754747045707359</v>
      </c>
      <c r="AJ96" s="44" t="n">
        <f aca="false">C96/F96</f>
        <v>1.72023832740619</v>
      </c>
      <c r="AK96" s="44" t="n">
        <f aca="false">D96/G96</f>
        <v>1.68153559992466</v>
      </c>
      <c r="AL96" s="40" t="n">
        <f aca="false">E96/I96</f>
        <v>0.474716201349599</v>
      </c>
      <c r="AM96" s="41"/>
      <c r="AN96" s="42" t="n">
        <f aca="false">AJ96/$V96</f>
        <v>0.294970022235634</v>
      </c>
      <c r="AO96" s="42" t="n">
        <f aca="false">AK96/$V96</f>
        <v>0.288333648540239</v>
      </c>
      <c r="AP96" s="42" t="n">
        <f aca="false">AL96/$V96</f>
        <v>0.0813997957357701</v>
      </c>
      <c r="AQ96" s="42" t="n">
        <f aca="false">AM96/$V96</f>
        <v>0</v>
      </c>
      <c r="AR96" s="43"/>
    </row>
    <row r="97" customFormat="false" ht="18.75" hidden="false" customHeight="true" outlineLevel="0" collapsed="false">
      <c r="A97" s="18" t="n">
        <v>2018</v>
      </c>
      <c r="B97" s="18" t="n">
        <v>11</v>
      </c>
      <c r="C97" s="24" t="n">
        <v>194851.05</v>
      </c>
      <c r="D97" s="24" t="n">
        <v>28997.69</v>
      </c>
      <c r="E97" s="25" t="n">
        <v>131020.44</v>
      </c>
      <c r="F97" s="26" t="n">
        <f aca="false">109733.75+3311.09</f>
        <v>113044.84</v>
      </c>
      <c r="G97" s="26" t="n">
        <v>17680</v>
      </c>
      <c r="H97" s="26"/>
      <c r="I97" s="27" t="n">
        <v>305047.89</v>
      </c>
      <c r="J97" s="27"/>
      <c r="K97" s="28" t="n">
        <f aca="false">N97-L97</f>
        <v>311988</v>
      </c>
      <c r="L97" s="29" t="n">
        <v>21307</v>
      </c>
      <c r="M97" s="30" t="n">
        <f aca="false">L97/N97</f>
        <v>0.0639283517604524</v>
      </c>
      <c r="N97" s="29" t="n">
        <v>333295</v>
      </c>
      <c r="O97" s="31" t="n">
        <v>316526</v>
      </c>
      <c r="P97" s="24" t="n">
        <v>533732</v>
      </c>
      <c r="Q97" s="32" t="n">
        <v>164</v>
      </c>
      <c r="R97" s="32" t="n">
        <f aca="false">O97/Q97</f>
        <v>1930.03658536585</v>
      </c>
      <c r="S97" s="33" t="n">
        <v>25</v>
      </c>
      <c r="T97" s="29" t="n">
        <f aca="false">N97/S97</f>
        <v>13331.8</v>
      </c>
      <c r="U97" s="29" t="n">
        <v>26219</v>
      </c>
      <c r="V97" s="34" t="n">
        <f aca="false">'$'!C84</f>
        <v>5.374481</v>
      </c>
      <c r="W97" s="35" t="n">
        <f aca="false">SUM(C97:E97)/V97</f>
        <v>66028.5486170665</v>
      </c>
      <c r="X97" s="35" t="n">
        <f aca="false">C97/$V97</f>
        <v>36254.8588412537</v>
      </c>
      <c r="Y97" s="35" t="n">
        <f aca="false">D97/$V97</f>
        <v>5395.44004342001</v>
      </c>
      <c r="Z97" s="35" t="n">
        <f aca="false">E97/$V97</f>
        <v>24378.2497323928</v>
      </c>
      <c r="AA97" s="36" t="n">
        <f aca="false">C97/((N97+U97)*V97)</f>
        <v>0.100844080734697</v>
      </c>
      <c r="AB97" s="36" t="n">
        <f aca="false">D97/((N97+U97)*V97)</f>
        <v>0.0150075937054468</v>
      </c>
      <c r="AC97" s="36" t="n">
        <f aca="false">E97/((N97+U97)*V97)</f>
        <v>0.0678089023859788</v>
      </c>
      <c r="AD97" s="36" t="n">
        <f aca="false">(C97+D97+E97)/((N97+U97)*V97)</f>
        <v>0.183660576826122</v>
      </c>
      <c r="AE97" s="36" t="n">
        <f aca="false">(C97+D97+E97)/((K97+U97)*V97)</f>
        <v>0.195231170901449</v>
      </c>
      <c r="AF97" s="37" t="n">
        <f aca="false">(P97/V97)/K97</f>
        <v>0.31830892788998</v>
      </c>
      <c r="AG97" s="38" t="n">
        <f aca="false">F97/($N97+$U97)</f>
        <v>0.314437935657582</v>
      </c>
      <c r="AH97" s="38" t="n">
        <f aca="false">G97/($N97+$U97)</f>
        <v>0.0491775007371062</v>
      </c>
      <c r="AI97" s="39" t="n">
        <f aca="false">I97/($N97+$U97)</f>
        <v>0.848500725980073</v>
      </c>
      <c r="AJ97" s="40" t="n">
        <f aca="false">C97/F97</f>
        <v>1.72366160189178</v>
      </c>
      <c r="AK97" s="40" t="n">
        <f aca="false">D97/G97</f>
        <v>1.64014083710407</v>
      </c>
      <c r="AL97" s="40" t="n">
        <f aca="false">E97/I97</f>
        <v>0.429507773353227</v>
      </c>
      <c r="AM97" s="41"/>
      <c r="AN97" s="42" t="n">
        <f aca="false">AJ97/$V97</f>
        <v>0.320712195631872</v>
      </c>
      <c r="AO97" s="42" t="n">
        <f aca="false">AK97/$V97</f>
        <v>0.30517194815724</v>
      </c>
      <c r="AP97" s="42" t="n">
        <f aca="false">AL97/$V97</f>
        <v>0.0799161395031867</v>
      </c>
      <c r="AQ97" s="42" t="n">
        <f aca="false">AM97/$V97</f>
        <v>0</v>
      </c>
      <c r="AR97" s="43"/>
    </row>
    <row r="98" customFormat="false" ht="18.75" hidden="false" customHeight="true" outlineLevel="0" collapsed="false">
      <c r="A98" s="18" t="n">
        <v>2018</v>
      </c>
      <c r="B98" s="18" t="n">
        <v>12</v>
      </c>
      <c r="C98" s="24" t="n">
        <v>172287.12</v>
      </c>
      <c r="D98" s="24" t="n">
        <v>22045.05</v>
      </c>
      <c r="E98" s="25" t="n">
        <v>104382.21</v>
      </c>
      <c r="F98" s="26" t="n">
        <f aca="false">99324.06+1579.26</f>
        <v>100903.32</v>
      </c>
      <c r="G98" s="26" t="n">
        <v>13255</v>
      </c>
      <c r="H98" s="26"/>
      <c r="I98" s="27" t="n">
        <v>266076.09</v>
      </c>
      <c r="J98" s="27"/>
      <c r="K98" s="28" t="n">
        <f aca="false">N98-L98</f>
        <v>239890</v>
      </c>
      <c r="L98" s="29" t="n">
        <v>15738</v>
      </c>
      <c r="M98" s="30" t="n">
        <f aca="false">L98/N98</f>
        <v>0.061566025630995</v>
      </c>
      <c r="N98" s="29" t="n">
        <v>255628</v>
      </c>
      <c r="O98" s="31" t="n">
        <v>283302</v>
      </c>
      <c r="P98" s="24" t="n">
        <v>537723</v>
      </c>
      <c r="Q98" s="32" t="n">
        <v>162</v>
      </c>
      <c r="R98" s="32" t="n">
        <f aca="false">O98/Q98</f>
        <v>1748.77777777778</v>
      </c>
      <c r="S98" s="33" t="n">
        <v>24</v>
      </c>
      <c r="T98" s="29" t="n">
        <f aca="false">N98/S98</f>
        <v>10651.1666666667</v>
      </c>
      <c r="U98" s="29" t="n">
        <v>19201</v>
      </c>
      <c r="V98" s="34" t="n">
        <f aca="false">'$'!C85</f>
        <v>5.309368</v>
      </c>
      <c r="W98" s="35" t="n">
        <f aca="false">SUM(C98:E98)/V98</f>
        <v>56261.7584616474</v>
      </c>
      <c r="X98" s="35" t="n">
        <f aca="false">C98/$V98</f>
        <v>32449.6474910008</v>
      </c>
      <c r="Y98" s="35" t="n">
        <f aca="false">D98/$V98</f>
        <v>4152.10435592334</v>
      </c>
      <c r="Z98" s="35" t="n">
        <f aca="false">E98/$V98</f>
        <v>19660.0066147233</v>
      </c>
      <c r="AA98" s="36" t="n">
        <f aca="false">C98/((N98+U98)*V98)</f>
        <v>0.118072137550989</v>
      </c>
      <c r="AB98" s="36" t="n">
        <f aca="false">D98/((N98+U98)*V98)</f>
        <v>0.0151079556958085</v>
      </c>
      <c r="AC98" s="36" t="n">
        <f aca="false">E98/((N98+U98)*V98)</f>
        <v>0.0715354151662425</v>
      </c>
      <c r="AD98" s="36" t="n">
        <f aca="false">(C98+D98+E98)/((N98+U98)*V98)</f>
        <v>0.20471550841304</v>
      </c>
      <c r="AE98" s="36" t="n">
        <f aca="false">(C98+D98+E98)/((K98+U98)*V98)</f>
        <v>0.217150570500895</v>
      </c>
      <c r="AF98" s="37" t="n">
        <f aca="false">(P98/V98)/K98</f>
        <v>0.422185818056224</v>
      </c>
      <c r="AG98" s="38" t="n">
        <f aca="false">F98/($N98+$U98)</f>
        <v>0.367149463848429</v>
      </c>
      <c r="AH98" s="38" t="n">
        <f aca="false">G98/($N98+$U98)</f>
        <v>0.048229990284868</v>
      </c>
      <c r="AI98" s="39" t="n">
        <f aca="false">I98/($N98+$U98)</f>
        <v>0.968151432345204</v>
      </c>
      <c r="AJ98" s="40" t="n">
        <f aca="false">C98/F98</f>
        <v>1.70744748537511</v>
      </c>
      <c r="AK98" s="40" t="n">
        <f aca="false">D98/G98</f>
        <v>1.66314975480951</v>
      </c>
      <c r="AL98" s="40" t="n">
        <f aca="false">E98/I98</f>
        <v>0.392302104258973</v>
      </c>
      <c r="AM98" s="41"/>
      <c r="AN98" s="42" t="n">
        <f aca="false">AJ98/$V98</f>
        <v>0.321591474799846</v>
      </c>
      <c r="AO98" s="42" t="n">
        <f aca="false">AK98/$V98</f>
        <v>0.313248159632089</v>
      </c>
      <c r="AP98" s="42" t="n">
        <f aca="false">AL98/$V98</f>
        <v>0.0738886632569024</v>
      </c>
      <c r="AQ98" s="42" t="n">
        <f aca="false">AM98/$V98</f>
        <v>0</v>
      </c>
      <c r="AR98" s="43"/>
    </row>
    <row r="99" customFormat="false" ht="18.75" hidden="false" customHeight="true" outlineLevel="0" collapsed="false">
      <c r="A99" s="18" t="n">
        <v>2019</v>
      </c>
      <c r="B99" s="18" t="n">
        <v>1</v>
      </c>
      <c r="C99" s="24" t="n">
        <v>170252.27</v>
      </c>
      <c r="D99" s="24" t="n">
        <v>17141.79</v>
      </c>
      <c r="E99" s="25" t="n">
        <v>92975.46</v>
      </c>
      <c r="F99" s="26" t="n">
        <f aca="false">97460.19+2277.35</f>
        <v>99737.54</v>
      </c>
      <c r="G99" s="26" t="n">
        <v>10222</v>
      </c>
      <c r="H99" s="26"/>
      <c r="I99" s="27" t="n">
        <v>253220.31</v>
      </c>
      <c r="J99" s="27"/>
      <c r="K99" s="28" t="n">
        <f aca="false">N99-L99</f>
        <v>199738</v>
      </c>
      <c r="L99" s="29" t="n">
        <v>19410</v>
      </c>
      <c r="M99" s="30" t="n">
        <f aca="false">L99/N99</f>
        <v>0.0885702812711045</v>
      </c>
      <c r="N99" s="29" t="n">
        <v>219148</v>
      </c>
      <c r="O99" s="31" t="n">
        <v>191028</v>
      </c>
      <c r="P99" s="24" t="n">
        <v>619441</v>
      </c>
      <c r="Q99" s="32" t="n">
        <v>158</v>
      </c>
      <c r="R99" s="32" t="n">
        <f aca="false">O99/Q99</f>
        <v>1209.03797468354</v>
      </c>
      <c r="S99" s="33" t="n">
        <v>20</v>
      </c>
      <c r="T99" s="29" t="n">
        <f aca="false">N99/S99</f>
        <v>10957.4</v>
      </c>
      <c r="U99" s="29" t="n">
        <v>23970</v>
      </c>
      <c r="V99" s="34" t="n">
        <f aca="false">'$'!C86</f>
        <v>5.36303</v>
      </c>
      <c r="W99" s="35" t="n">
        <f aca="false">SUM(C99:E99)/V99</f>
        <v>52278.1934839074</v>
      </c>
      <c r="X99" s="35" t="n">
        <f aca="false">C99/$V99</f>
        <v>31745.5375039856</v>
      </c>
      <c r="Y99" s="35" t="n">
        <f aca="false">D99/$V99</f>
        <v>3196.2882922527</v>
      </c>
      <c r="Z99" s="35" t="n">
        <f aca="false">E99/$V99</f>
        <v>17336.3676876691</v>
      </c>
      <c r="AA99" s="36" t="n">
        <f aca="false">C99/((N99+U99)*V99)</f>
        <v>0.130576664434495</v>
      </c>
      <c r="AB99" s="36" t="n">
        <f aca="false">D99/((N99+U99)*V99)</f>
        <v>0.0131470655905885</v>
      </c>
      <c r="AC99" s="36" t="n">
        <f aca="false">E99/((N99+U99)*V99)</f>
        <v>0.0713084497555471</v>
      </c>
      <c r="AD99" s="36" t="n">
        <f aca="false">(C99+D99+E99)/((N99+U99)*V99)</f>
        <v>0.215032179780631</v>
      </c>
      <c r="AE99" s="36" t="n">
        <f aca="false">(C99+D99+E99)/((K99+U99)*V99)</f>
        <v>0.233689423194108</v>
      </c>
      <c r="AF99" s="37" t="n">
        <f aca="false">(P99/V99)/K99</f>
        <v>0.578267818870197</v>
      </c>
      <c r="AG99" s="38" t="n">
        <f aca="false">F99/($N99+$U99)</f>
        <v>0.410243338625688</v>
      </c>
      <c r="AH99" s="38" t="n">
        <f aca="false">G99/($N99+$U99)</f>
        <v>0.0420454265007116</v>
      </c>
      <c r="AI99" s="39" t="n">
        <f aca="false">I99/($N99+$U99)</f>
        <v>1.04155311412565</v>
      </c>
      <c r="AJ99" s="40" t="n">
        <f aca="false">C99/F99</f>
        <v>1.70700289981084</v>
      </c>
      <c r="AK99" s="40" t="n">
        <f aca="false">D99/G99</f>
        <v>1.67695069458032</v>
      </c>
      <c r="AL99" s="40" t="n">
        <f aca="false">E99/I99</f>
        <v>0.367172206684369</v>
      </c>
      <c r="AM99" s="41"/>
      <c r="AN99" s="42" t="n">
        <f aca="false">AJ99/$V99</f>
        <v>0.318290760971101</v>
      </c>
      <c r="AO99" s="42" t="n">
        <f aca="false">AK99/$V99</f>
        <v>0.312687173963285</v>
      </c>
      <c r="AP99" s="42" t="n">
        <f aca="false">AL99/$V99</f>
        <v>0.0684635750097182</v>
      </c>
      <c r="AQ99" s="42" t="n">
        <f aca="false">AM99/$V99</f>
        <v>0</v>
      </c>
      <c r="AR99" s="43"/>
    </row>
    <row r="100" customFormat="false" ht="18.75" hidden="false" customHeight="true" outlineLevel="0" collapsed="false">
      <c r="A100" s="18" t="n">
        <v>2019</v>
      </c>
      <c r="B100" s="18" t="n">
        <v>2</v>
      </c>
      <c r="C100" s="24" t="n">
        <v>199152.53</v>
      </c>
      <c r="D100" s="24" t="n">
        <v>23157.26</v>
      </c>
      <c r="E100" s="25" t="n">
        <v>126064.83</v>
      </c>
      <c r="F100" s="26" t="n">
        <f aca="false">114651.46+2020.27</f>
        <v>116671.73</v>
      </c>
      <c r="G100" s="26" t="n">
        <v>14106</v>
      </c>
      <c r="H100" s="26"/>
      <c r="I100" s="27" t="n">
        <v>285803.91</v>
      </c>
      <c r="J100" s="27"/>
      <c r="K100" s="28" t="n">
        <f aca="false">N100-L100</f>
        <v>269724</v>
      </c>
      <c r="L100" s="29" t="n">
        <v>15033</v>
      </c>
      <c r="M100" s="30" t="n">
        <f aca="false">L100/N100</f>
        <v>0.052792380872112</v>
      </c>
      <c r="N100" s="29" t="n">
        <v>284757</v>
      </c>
      <c r="O100" s="31" t="n">
        <v>288104</v>
      </c>
      <c r="P100" s="24" t="n">
        <v>619077</v>
      </c>
      <c r="Q100" s="32" t="n">
        <v>166</v>
      </c>
      <c r="R100" s="32" t="n">
        <f aca="false">O100/Q100</f>
        <v>1735.56626506024</v>
      </c>
      <c r="S100" s="33" t="n">
        <v>28</v>
      </c>
      <c r="T100" s="29" t="n">
        <f aca="false">N100/S100</f>
        <v>10169.8928571429</v>
      </c>
      <c r="U100" s="29" t="n">
        <v>12642</v>
      </c>
      <c r="V100" s="34" t="n">
        <f aca="false">'$'!C87</f>
        <v>5.269724</v>
      </c>
      <c r="W100" s="35" t="n">
        <f aca="false">SUM(C100:E100)/V100</f>
        <v>66108.7032262031</v>
      </c>
      <c r="X100" s="35" t="n">
        <f aca="false">C100/$V100</f>
        <v>37791.833120672</v>
      </c>
      <c r="Y100" s="35" t="n">
        <f aca="false">D100/$V100</f>
        <v>4394.39712592159</v>
      </c>
      <c r="Z100" s="35" t="n">
        <f aca="false">E100/$V100</f>
        <v>23922.4729796096</v>
      </c>
      <c r="AA100" s="36" t="n">
        <f aca="false">C100/((N100+U100)*V100)</f>
        <v>0.127074513097462</v>
      </c>
      <c r="AB100" s="36" t="n">
        <f aca="false">D100/((N100+U100)*V100)</f>
        <v>0.0147760991998009</v>
      </c>
      <c r="AC100" s="36" t="n">
        <f aca="false">E100/((N100+U100)*V100)</f>
        <v>0.0804389825776467</v>
      </c>
      <c r="AD100" s="36" t="n">
        <f aca="false">(C100+D100+E100)/((N100+U100)*V100)</f>
        <v>0.222289594874909</v>
      </c>
      <c r="AE100" s="36" t="n">
        <f aca="false">(C100+D100+E100)/((K100+U100)*V100)</f>
        <v>0.234124162350294</v>
      </c>
      <c r="AF100" s="37" t="n">
        <f aca="false">(P100/V100)/K100</f>
        <v>0.435549187540461</v>
      </c>
      <c r="AG100" s="38" t="n">
        <f aca="false">F100/($N100+$U100)</f>
        <v>0.392307068954502</v>
      </c>
      <c r="AH100" s="38" t="n">
        <f aca="false">G100/($N100+$U100)</f>
        <v>0.047431228753291</v>
      </c>
      <c r="AI100" s="39" t="n">
        <f aca="false">I100/($N100+$U100)</f>
        <v>0.96101167118921</v>
      </c>
      <c r="AJ100" s="40" t="n">
        <f aca="false">C100/F100</f>
        <v>1.70694760418826</v>
      </c>
      <c r="AK100" s="40" t="n">
        <f aca="false">D100/G100</f>
        <v>1.64166028640295</v>
      </c>
      <c r="AL100" s="44" t="n">
        <f aca="false">E100/I100</f>
        <v>0.441088542140659</v>
      </c>
      <c r="AM100" s="45"/>
      <c r="AN100" s="42" t="n">
        <f aca="false">AJ100/$V100</f>
        <v>0.323915940225383</v>
      </c>
      <c r="AO100" s="42" t="n">
        <f aca="false">AK100/$V100</f>
        <v>0.311526806034424</v>
      </c>
      <c r="AP100" s="42" t="n">
        <f aca="false">AL100/$V100</f>
        <v>0.0837023992415274</v>
      </c>
      <c r="AQ100" s="42" t="n">
        <f aca="false">AM100/$V100</f>
        <v>0</v>
      </c>
      <c r="AR100" s="43"/>
    </row>
    <row r="101" customFormat="false" ht="18.75" hidden="false" customHeight="true" outlineLevel="0" collapsed="false">
      <c r="A101" s="18" t="n">
        <v>2019</v>
      </c>
      <c r="B101" s="18" t="n">
        <v>3</v>
      </c>
      <c r="C101" s="24" t="n">
        <v>208601.95</v>
      </c>
      <c r="D101" s="24" t="n">
        <v>33055.42</v>
      </c>
      <c r="E101" s="25" t="n">
        <v>142319.42</v>
      </c>
      <c r="F101" s="26" t="n">
        <f aca="false">120066.85+2131.38</f>
        <v>122198.23</v>
      </c>
      <c r="G101" s="26" t="n">
        <v>20022</v>
      </c>
      <c r="H101" s="26"/>
      <c r="I101" s="27" t="n">
        <v>323859.06</v>
      </c>
      <c r="J101" s="27"/>
      <c r="K101" s="28" t="n">
        <f aca="false">N101-L101</f>
        <v>256651</v>
      </c>
      <c r="L101" s="29" t="n">
        <v>16793</v>
      </c>
      <c r="M101" s="30" t="n">
        <f aca="false">L101/N101</f>
        <v>0.0614129401266804</v>
      </c>
      <c r="N101" s="29" t="n">
        <v>273444</v>
      </c>
      <c r="O101" s="31" t="n">
        <v>282303</v>
      </c>
      <c r="P101" s="24" t="n">
        <v>721373</v>
      </c>
      <c r="Q101" s="32" t="n">
        <v>167</v>
      </c>
      <c r="R101" s="32" t="n">
        <f aca="false">O101/Q101</f>
        <v>1690.4371257485</v>
      </c>
      <c r="S101" s="33" t="n">
        <v>28</v>
      </c>
      <c r="T101" s="29" t="n">
        <f aca="false">N101/S101</f>
        <v>9765.85714285714</v>
      </c>
      <c r="U101" s="29" t="n">
        <v>28659</v>
      </c>
      <c r="V101" s="34" t="n">
        <f aca="false">'$'!C88</f>
        <v>5.476742</v>
      </c>
      <c r="W101" s="35" t="n">
        <f aca="false">SUM(C101:E101)/V101</f>
        <v>70110.4397468422</v>
      </c>
      <c r="X101" s="35" t="n">
        <f aca="false">C101/$V101</f>
        <v>38088.693971708</v>
      </c>
      <c r="Y101" s="35" t="n">
        <f aca="false">D101/$V101</f>
        <v>6035.5992668634</v>
      </c>
      <c r="Z101" s="35" t="n">
        <f aca="false">E101/$V101</f>
        <v>25986.1465082708</v>
      </c>
      <c r="AA101" s="36" t="n">
        <f aca="false">C101/((N101+U101)*V101)</f>
        <v>0.126078502933463</v>
      </c>
      <c r="AB101" s="36" t="n">
        <f aca="false">D101/((N101+U101)*V101)</f>
        <v>0.0199786141377722</v>
      </c>
      <c r="AC101" s="36" t="n">
        <f aca="false">E101/((N101+U101)*V101)</f>
        <v>0.0860175056463219</v>
      </c>
      <c r="AD101" s="36" t="n">
        <f aca="false">(C101+D101+E101)/((N101+U101)*V101)</f>
        <v>0.232074622717557</v>
      </c>
      <c r="AE101" s="36" t="n">
        <f aca="false">(C101+D101+E101)/((K101+U101)*V101)</f>
        <v>0.245734253082059</v>
      </c>
      <c r="AF101" s="37" t="n">
        <f aca="false">(P101/V101)/K101</f>
        <v>0.513209444412649</v>
      </c>
      <c r="AG101" s="38" t="n">
        <f aca="false">F101/($N101+$U101)</f>
        <v>0.404491944800283</v>
      </c>
      <c r="AH101" s="38" t="n">
        <f aca="false">G101/($N101+$U101)</f>
        <v>0.0662754093802445</v>
      </c>
      <c r="AI101" s="39" t="n">
        <f aca="false">I101/($N101+$U101)</f>
        <v>1.07201537224059</v>
      </c>
      <c r="AJ101" s="40" t="n">
        <f aca="false">C101/F101</f>
        <v>1.70707832674827</v>
      </c>
      <c r="AK101" s="40" t="n">
        <f aca="false">D101/G101</f>
        <v>1.65095494955549</v>
      </c>
      <c r="AL101" s="40" t="n">
        <f aca="false">E101/I101</f>
        <v>0.439448629289544</v>
      </c>
      <c r="AM101" s="41"/>
      <c r="AN101" s="42" t="n">
        <f aca="false">AJ101/$V101</f>
        <v>0.311695954775351</v>
      </c>
      <c r="AO101" s="42" t="n">
        <f aca="false">AK101/$V101</f>
        <v>0.30144837013602</v>
      </c>
      <c r="AP101" s="42" t="n">
        <f aca="false">AL101/$V101</f>
        <v>0.0802390598807728</v>
      </c>
      <c r="AQ101" s="42" t="n">
        <f aca="false">AM101/$V101</f>
        <v>0</v>
      </c>
      <c r="AR101" s="43"/>
    </row>
    <row r="102" customFormat="false" ht="18.75" hidden="false" customHeight="true" outlineLevel="0" collapsed="false">
      <c r="A102" s="18" t="n">
        <v>2019</v>
      </c>
      <c r="B102" s="18" t="n">
        <v>4</v>
      </c>
      <c r="C102" s="24" t="n">
        <v>211964.61</v>
      </c>
      <c r="D102" s="24" t="n">
        <f aca="false">23947.8+297.89</f>
        <v>24245.69</v>
      </c>
      <c r="E102" s="25" t="n">
        <v>128997.01</v>
      </c>
      <c r="F102" s="26" t="n">
        <f aca="false">122168.75+1997.41</f>
        <v>124166.16</v>
      </c>
      <c r="G102" s="26" t="n">
        <v>14628</v>
      </c>
      <c r="H102" s="26"/>
      <c r="I102" s="27" t="n">
        <v>340054.47</v>
      </c>
      <c r="J102" s="27"/>
      <c r="K102" s="28" t="n">
        <f aca="false">N102-L102</f>
        <v>290490</v>
      </c>
      <c r="L102" s="29" t="n">
        <v>15784</v>
      </c>
      <c r="M102" s="30" t="n">
        <f aca="false">L102/N102</f>
        <v>0.0515355531321627</v>
      </c>
      <c r="N102" s="29" t="n">
        <v>306274</v>
      </c>
      <c r="O102" s="31" t="n">
        <v>318877</v>
      </c>
      <c r="P102" s="24" t="n">
        <v>768327</v>
      </c>
      <c r="Q102" s="32" t="n">
        <v>167</v>
      </c>
      <c r="R102" s="32" t="n">
        <f aca="false">O102/Q102</f>
        <v>1909.44311377246</v>
      </c>
      <c r="S102" s="33" t="n">
        <v>28</v>
      </c>
      <c r="T102" s="29" t="n">
        <f aca="false">N102/S102</f>
        <v>10938.3571428571</v>
      </c>
      <c r="U102" s="29" t="n">
        <v>45169.7</v>
      </c>
      <c r="V102" s="34" t="n">
        <f aca="false">'$'!C89</f>
        <v>5.764748</v>
      </c>
      <c r="W102" s="35" t="n">
        <f aca="false">SUM(C102:E102)/V102</f>
        <v>63351.8256131925</v>
      </c>
      <c r="X102" s="35" t="n">
        <f aca="false">C102/$V102</f>
        <v>36769.1024828839</v>
      </c>
      <c r="Y102" s="35" t="n">
        <f aca="false">D102/$V102</f>
        <v>4205.85427151369</v>
      </c>
      <c r="Z102" s="35" t="n">
        <f aca="false">E102/$V102</f>
        <v>22376.8688587949</v>
      </c>
      <c r="AA102" s="36" t="n">
        <f aca="false">C102/((N102+U102)*V102)</f>
        <v>0.104623023496748</v>
      </c>
      <c r="AB102" s="36" t="n">
        <f aca="false">D102/((N102+U102)*V102)</f>
        <v>0.0119673628279969</v>
      </c>
      <c r="AC102" s="36" t="n">
        <f aca="false">E102/((N102+U102)*V102)</f>
        <v>0.0636712761070831</v>
      </c>
      <c r="AD102" s="36" t="n">
        <f aca="false">(C102+D102+E102)/((N102+U102)*V102)</f>
        <v>0.180261662431828</v>
      </c>
      <c r="AE102" s="36" t="n">
        <f aca="false">(C102+D102+E102)/((K102+U102)*V102)</f>
        <v>0.188738253693227</v>
      </c>
      <c r="AF102" s="37" t="n">
        <f aca="false">(P102/V102)/K102</f>
        <v>0.458811802554157</v>
      </c>
      <c r="AG102" s="38" t="n">
        <f aca="false">F102/($N102+$U102)</f>
        <v>0.353303132194431</v>
      </c>
      <c r="AH102" s="38" t="n">
        <f aca="false">G102/($N102+$U102)</f>
        <v>0.0416225984417988</v>
      </c>
      <c r="AI102" s="39" t="n">
        <f aca="false">I102/($N102+$U102)</f>
        <v>0.967593017032315</v>
      </c>
      <c r="AJ102" s="40" t="n">
        <f aca="false">C102/F102</f>
        <v>1.70710449610425</v>
      </c>
      <c r="AK102" s="40" t="n">
        <f aca="false">D102/G102</f>
        <v>1.65748496035001</v>
      </c>
      <c r="AL102" s="44" t="n">
        <f aca="false">E102/I102</f>
        <v>0.379342197736733</v>
      </c>
      <c r="AM102" s="45"/>
      <c r="AN102" s="42" t="n">
        <f aca="false">AJ102/$V102</f>
        <v>0.296128208224237</v>
      </c>
      <c r="AO102" s="42" t="n">
        <f aca="false">AK102/$V102</f>
        <v>0.28752080062303</v>
      </c>
      <c r="AP102" s="42" t="n">
        <f aca="false">AL102/$V102</f>
        <v>0.0658037780206061</v>
      </c>
      <c r="AQ102" s="42" t="n">
        <f aca="false">AM102/$V102</f>
        <v>0</v>
      </c>
      <c r="AR102" s="43"/>
    </row>
    <row r="103" customFormat="false" ht="18.75" hidden="false" customHeight="true" outlineLevel="0" collapsed="false">
      <c r="A103" s="18" t="n">
        <v>2019</v>
      </c>
      <c r="B103" s="18" t="n">
        <v>5</v>
      </c>
      <c r="C103" s="24" t="n">
        <v>199634.38</v>
      </c>
      <c r="D103" s="24" t="n">
        <f aca="false">29334.38+349.69</f>
        <v>29684.07</v>
      </c>
      <c r="E103" s="25" t="n">
        <v>165092.35</v>
      </c>
      <c r="F103" s="26" t="n">
        <f aca="false">115356.12+1578.02</f>
        <v>116934.14</v>
      </c>
      <c r="G103" s="26" t="n">
        <v>17912</v>
      </c>
      <c r="H103" s="26"/>
      <c r="I103" s="27" t="n">
        <v>349196.4</v>
      </c>
      <c r="J103" s="27"/>
      <c r="K103" s="28" t="n">
        <f aca="false">N103-L103</f>
        <v>300850</v>
      </c>
      <c r="L103" s="29" t="n">
        <v>24712</v>
      </c>
      <c r="M103" s="30" t="n">
        <f aca="false">L103/N103</f>
        <v>0.0759056646660237</v>
      </c>
      <c r="N103" s="29" t="n">
        <v>325562</v>
      </c>
      <c r="O103" s="31" t="n">
        <v>307901</v>
      </c>
      <c r="P103" s="24" t="n">
        <v>781044</v>
      </c>
      <c r="Q103" s="32" t="n">
        <v>168</v>
      </c>
      <c r="R103" s="32" t="n">
        <f aca="false">O103/Q103</f>
        <v>1832.74404761905</v>
      </c>
      <c r="S103" s="33" t="n">
        <v>29</v>
      </c>
      <c r="T103" s="29" t="n">
        <f aca="false">N103/S103</f>
        <v>11226.275862069</v>
      </c>
      <c r="U103" s="29" t="n">
        <v>32125</v>
      </c>
      <c r="V103" s="34" t="n">
        <f aca="false">'$'!C90</f>
        <v>6.044426</v>
      </c>
      <c r="W103" s="35" t="n">
        <f aca="false">SUM(C103:E103)/V103</f>
        <v>65251.9858792216</v>
      </c>
      <c r="X103" s="35" t="n">
        <f aca="false">C103/$V103</f>
        <v>33027.8474746816</v>
      </c>
      <c r="Y103" s="35" t="n">
        <f aca="false">D103/$V103</f>
        <v>4910.9824489538</v>
      </c>
      <c r="Z103" s="35" t="n">
        <f aca="false">E103/$V103</f>
        <v>27313.1559555862</v>
      </c>
      <c r="AA103" s="36" t="n">
        <f aca="false">C103/((N103+U103)*V103)</f>
        <v>0.0923372878373596</v>
      </c>
      <c r="AB103" s="36" t="n">
        <f aca="false">D103/((N103+U103)*V103)</f>
        <v>0.0137298320849061</v>
      </c>
      <c r="AC103" s="36" t="n">
        <f aca="false">E103/((N103+U103)*V103)</f>
        <v>0.0763604938272461</v>
      </c>
      <c r="AD103" s="36" t="n">
        <f aca="false">(C103+D103+E103)/((N103+U103)*V103)</f>
        <v>0.182427613749512</v>
      </c>
      <c r="AE103" s="36" t="n">
        <f aca="false">(C103+D103+E103)/((K103+U103)*V103)</f>
        <v>0.195966621756053</v>
      </c>
      <c r="AF103" s="37" t="n">
        <f aca="false">(P103/V103)/K103</f>
        <v>0.429507171473753</v>
      </c>
      <c r="AG103" s="38" t="n">
        <f aca="false">F103/($N103+$U103)</f>
        <v>0.326917500496244</v>
      </c>
      <c r="AH103" s="38" t="n">
        <f aca="false">G103/($N103+$U103)</f>
        <v>0.050077302222334</v>
      </c>
      <c r="AI103" s="39" t="n">
        <f aca="false">I103/($N103+$U103)</f>
        <v>0.976262486475606</v>
      </c>
      <c r="AJ103" s="40" t="n">
        <f aca="false">C103/F103</f>
        <v>1.70723776648975</v>
      </c>
      <c r="AK103" s="40" t="n">
        <f aca="false">D103/G103</f>
        <v>1.65721694953104</v>
      </c>
      <c r="AL103" s="44" t="n">
        <f aca="false">E103/I103</f>
        <v>0.472777926691111</v>
      </c>
      <c r="AM103" s="45"/>
      <c r="AN103" s="42" t="n">
        <f aca="false">AJ103/$V103</f>
        <v>0.282448286485723</v>
      </c>
      <c r="AO103" s="42" t="n">
        <f aca="false">AK103/$V103</f>
        <v>0.274172758427523</v>
      </c>
      <c r="AP103" s="42" t="n">
        <f aca="false">AL103/$V103</f>
        <v>0.0782171750785122</v>
      </c>
      <c r="AQ103" s="42" t="n">
        <f aca="false">AM103/$V103</f>
        <v>0</v>
      </c>
      <c r="AR103" s="43"/>
    </row>
    <row r="104" customFormat="false" ht="18.75" hidden="false" customHeight="true" outlineLevel="0" collapsed="false">
      <c r="A104" s="18" t="n">
        <v>2019</v>
      </c>
      <c r="B104" s="18" t="n">
        <v>6</v>
      </c>
      <c r="C104" s="24" t="n">
        <v>136236.28</v>
      </c>
      <c r="D104" s="24" t="n">
        <f aca="false">394.69+19526.94</f>
        <v>19921.63</v>
      </c>
      <c r="E104" s="25" t="n">
        <v>135965.3</v>
      </c>
      <c r="F104" s="26" t="n">
        <f aca="false">77660.62+2128.4</f>
        <v>79789.02</v>
      </c>
      <c r="G104" s="26" t="n">
        <v>11724</v>
      </c>
      <c r="H104" s="26"/>
      <c r="I104" s="27" t="n">
        <v>245322</v>
      </c>
      <c r="J104" s="27"/>
      <c r="K104" s="28" t="n">
        <f aca="false">N104-L104</f>
        <v>208661</v>
      </c>
      <c r="L104" s="29" t="n">
        <v>20001</v>
      </c>
      <c r="M104" s="30" t="n">
        <f aca="false">L104/N104</f>
        <v>0.0874697151253816</v>
      </c>
      <c r="N104" s="29" t="n">
        <v>228662</v>
      </c>
      <c r="O104" s="31" t="n">
        <v>224862</v>
      </c>
      <c r="P104" s="24" t="n">
        <v>710948</v>
      </c>
      <c r="Q104" s="32" t="n">
        <v>171</v>
      </c>
      <c r="R104" s="32" t="n">
        <f aca="false">O104/Q104</f>
        <v>1314.98245614035</v>
      </c>
      <c r="S104" s="33" t="n">
        <v>24</v>
      </c>
      <c r="T104" s="29" t="n">
        <f aca="false">N104/S104</f>
        <v>9527.58333333333</v>
      </c>
      <c r="U104" s="29" t="n">
        <v>11398.5</v>
      </c>
      <c r="V104" s="34" t="n">
        <f aca="false">'$'!C91</f>
        <v>5.820426</v>
      </c>
      <c r="W104" s="35" t="n">
        <f aca="false">SUM(C104:E104)/V104</f>
        <v>50189.3177578411</v>
      </c>
      <c r="X104" s="35" t="n">
        <f aca="false">C104/$V104</f>
        <v>23406.5822673461</v>
      </c>
      <c r="Y104" s="35" t="n">
        <f aca="false">D104/$V104</f>
        <v>3422.70995284538</v>
      </c>
      <c r="Z104" s="35" t="n">
        <f aca="false">E104/$V104</f>
        <v>23360.0255376496</v>
      </c>
      <c r="AA104" s="36" t="n">
        <f aca="false">C104/((N104+U104)*V104)</f>
        <v>0.0975028472711923</v>
      </c>
      <c r="AB104" s="36" t="n">
        <f aca="false">D104/((N104+U104)*V104)</f>
        <v>0.0142576973423174</v>
      </c>
      <c r="AC104" s="36" t="n">
        <f aca="false">E104/((N104+U104)*V104)</f>
        <v>0.097308909785865</v>
      </c>
      <c r="AD104" s="36" t="n">
        <f aca="false">(C104+D104+E104)/((N104+U104)*V104)</f>
        <v>0.209069454399375</v>
      </c>
      <c r="AE104" s="36" t="n">
        <f aca="false">(C104+D104+E104)/((K104+U104)*V104)</f>
        <v>0.228071579540266</v>
      </c>
      <c r="AF104" s="37" t="n">
        <f aca="false">(P104/V104)/K104</f>
        <v>0.585385256869535</v>
      </c>
      <c r="AG104" s="38" t="n">
        <f aca="false">F104/($N104+$U104)</f>
        <v>0.332370464945295</v>
      </c>
      <c r="AH104" s="38" t="n">
        <f aca="false">G104/($N104+$U104)</f>
        <v>0.0488376888326068</v>
      </c>
      <c r="AI104" s="39" t="n">
        <f aca="false">I104/($N104+$U104)</f>
        <v>1.02191739165752</v>
      </c>
      <c r="AJ104" s="40" t="n">
        <f aca="false">C104/F104</f>
        <v>1.70745648962727</v>
      </c>
      <c r="AK104" s="40" t="n">
        <f aca="false">D104/G104</f>
        <v>1.69921784373934</v>
      </c>
      <c r="AL104" s="44" t="n">
        <f aca="false">E104/I104</f>
        <v>0.554231988977752</v>
      </c>
      <c r="AM104" s="45"/>
      <c r="AN104" s="42" t="n">
        <f aca="false">AJ104/$V104</f>
        <v>0.293355931271572</v>
      </c>
      <c r="AO104" s="42" t="n">
        <f aca="false">AK104/$V104</f>
        <v>0.291940459983399</v>
      </c>
      <c r="AP104" s="42" t="n">
        <f aca="false">AL104/$V104</f>
        <v>0.0952218942355339</v>
      </c>
      <c r="AQ104" s="42" t="n">
        <f aca="false">AM104/$V104</f>
        <v>0</v>
      </c>
      <c r="AR104" s="43"/>
    </row>
    <row r="105" customFormat="false" ht="18.75" hidden="false" customHeight="true" outlineLevel="0" collapsed="false">
      <c r="A105" s="18" t="n">
        <v>2019</v>
      </c>
      <c r="B105" s="18" t="n">
        <v>7</v>
      </c>
      <c r="C105" s="24" t="n">
        <v>169794.13</v>
      </c>
      <c r="D105" s="24" t="n">
        <f aca="false">349.69+25849.97</f>
        <v>26199.66</v>
      </c>
      <c r="E105" s="25" t="n">
        <v>164500.15</v>
      </c>
      <c r="F105" s="26" t="n">
        <f aca="false">97912.89+1522.18</f>
        <v>99435.07</v>
      </c>
      <c r="G105" s="26" t="n">
        <v>15618</v>
      </c>
      <c r="H105" s="26"/>
      <c r="I105" s="27" t="n">
        <v>340224.57</v>
      </c>
      <c r="J105" s="27"/>
      <c r="K105" s="28" t="n">
        <f aca="false">N105-L105</f>
        <v>324162</v>
      </c>
      <c r="L105" s="29" t="n">
        <v>29185</v>
      </c>
      <c r="M105" s="30" t="n">
        <f aca="false">L105/N105</f>
        <v>0.0825958618581734</v>
      </c>
      <c r="N105" s="29" t="n">
        <v>353347</v>
      </c>
      <c r="O105" s="31" t="n">
        <v>330301</v>
      </c>
      <c r="P105" s="24" t="n">
        <v>861061</v>
      </c>
      <c r="Q105" s="32" t="n">
        <v>173</v>
      </c>
      <c r="R105" s="32" t="n">
        <f aca="false">O105/Q105</f>
        <v>1909.25433526012</v>
      </c>
      <c r="S105" s="33" t="n">
        <v>30</v>
      </c>
      <c r="T105" s="29" t="n">
        <f aca="false">N105/S105</f>
        <v>11778.2333333333</v>
      </c>
      <c r="U105" s="29" t="n">
        <v>20335.4</v>
      </c>
      <c r="V105" s="34" t="n">
        <f aca="false">'$'!C92</f>
        <v>5.676879</v>
      </c>
      <c r="W105" s="35" t="n">
        <f aca="false">SUM(C105:E105)/V105</f>
        <v>63502.135592462</v>
      </c>
      <c r="X105" s="35" t="n">
        <f aca="false">C105/$V105</f>
        <v>29909.7673210932</v>
      </c>
      <c r="Y105" s="35" t="n">
        <f aca="false">D105/$V105</f>
        <v>4615.15209325406</v>
      </c>
      <c r="Z105" s="35" t="n">
        <f aca="false">E105/$V105</f>
        <v>28977.2161781148</v>
      </c>
      <c r="AA105" s="36" t="n">
        <f aca="false">C105/((N105+U105)*V105)</f>
        <v>0.0800406102109523</v>
      </c>
      <c r="AB105" s="36" t="n">
        <f aca="false">D105/((N105+U105)*V105)</f>
        <v>0.0123504668489981</v>
      </c>
      <c r="AC105" s="36" t="n">
        <f aca="false">E105/((N105+U105)*V105)</f>
        <v>0.07754503872303</v>
      </c>
      <c r="AD105" s="36" t="n">
        <f aca="false">(C105+D105+E105)/((N105+U105)*V105)</f>
        <v>0.16993611578298</v>
      </c>
      <c r="AE105" s="36" t="n">
        <f aca="false">(C105+D105+E105)/((K105+U105)*V105)</f>
        <v>0.184332699150885</v>
      </c>
      <c r="AF105" s="37" t="n">
        <f aca="false">(P105/V105)/K105</f>
        <v>0.467909840114564</v>
      </c>
      <c r="AG105" s="38" t="n">
        <f aca="false">F105/($N105+$U105)</f>
        <v>0.26609513854546</v>
      </c>
      <c r="AH105" s="38" t="n">
        <f aca="false">G105/($N105+$U105)</f>
        <v>0.0417948503863174</v>
      </c>
      <c r="AI105" s="39" t="n">
        <f aca="false">I105/($N105+$U105)</f>
        <v>0.910464528166165</v>
      </c>
      <c r="AJ105" s="40" t="n">
        <f aca="false">C105/F105</f>
        <v>1.70758797675709</v>
      </c>
      <c r="AK105" s="40" t="n">
        <f aca="false">D105/G105</f>
        <v>1.67752977333846</v>
      </c>
      <c r="AL105" s="40" t="n">
        <f aca="false">E105/I105</f>
        <v>0.483504615789506</v>
      </c>
      <c r="AM105" s="41"/>
      <c r="AN105" s="42" t="n">
        <f aca="false">AJ105/$V105</f>
        <v>0.300796965508177</v>
      </c>
      <c r="AO105" s="42" t="n">
        <f aca="false">AK105/$V105</f>
        <v>0.295502118917535</v>
      </c>
      <c r="AP105" s="42" t="n">
        <f aca="false">AL105/$V105</f>
        <v>0.0851708510590954</v>
      </c>
      <c r="AQ105" s="42" t="n">
        <f aca="false">AM105/$V105</f>
        <v>0</v>
      </c>
      <c r="AR105" s="43"/>
    </row>
    <row r="106" customFormat="false" ht="18.75" hidden="false" customHeight="true" outlineLevel="0" collapsed="false">
      <c r="A106" s="18" t="n">
        <v>2019</v>
      </c>
      <c r="B106" s="18" t="n">
        <v>8</v>
      </c>
      <c r="C106" s="24" t="n">
        <v>167397.37</v>
      </c>
      <c r="D106" s="24" t="n">
        <v>21011.61</v>
      </c>
      <c r="E106" s="25" t="n">
        <v>148610.33</v>
      </c>
      <c r="F106" s="26" t="n">
        <f aca="false">82483.05+2522.63</f>
        <v>85005.68</v>
      </c>
      <c r="G106" s="26" t="n">
        <v>12349</v>
      </c>
      <c r="H106" s="26"/>
      <c r="I106" s="27" t="n">
        <v>302492.61</v>
      </c>
      <c r="J106" s="27"/>
      <c r="K106" s="28" t="n">
        <f aca="false">N106-L106</f>
        <v>284377</v>
      </c>
      <c r="L106" s="29" t="n">
        <v>27454</v>
      </c>
      <c r="M106" s="30" t="n">
        <f aca="false">L106/N106</f>
        <v>0.0880412787695899</v>
      </c>
      <c r="N106" s="29" t="n">
        <v>311831</v>
      </c>
      <c r="O106" s="31" t="n">
        <v>297864</v>
      </c>
      <c r="P106" s="24" t="n">
        <v>882437</v>
      </c>
      <c r="Q106" s="32" t="n">
        <v>180</v>
      </c>
      <c r="R106" s="32" t="n">
        <f aca="false">O106/Q106</f>
        <v>1654.8</v>
      </c>
      <c r="S106" s="33" t="n">
        <v>27</v>
      </c>
      <c r="T106" s="29" t="n">
        <f aca="false">N106/S106</f>
        <v>11549.2962962963</v>
      </c>
      <c r="U106" s="29" t="n">
        <v>22415</v>
      </c>
      <c r="V106" s="34" t="n">
        <f aca="false">'$'!C93</f>
        <v>5.641561</v>
      </c>
      <c r="W106" s="35" t="n">
        <f aca="false">SUM(C106:E106)/V106</f>
        <v>59738.6627566377</v>
      </c>
      <c r="X106" s="35" t="n">
        <f aca="false">C106/$V106</f>
        <v>29672.1722941576</v>
      </c>
      <c r="Y106" s="35" t="n">
        <f aca="false">D106/$V106</f>
        <v>3724.43194357023</v>
      </c>
      <c r="Z106" s="35" t="n">
        <f aca="false">E106/$V106</f>
        <v>26342.0585189099</v>
      </c>
      <c r="AA106" s="36" t="n">
        <f aca="false">C106/((N106+U106)*V106)</f>
        <v>0.0887734551622386</v>
      </c>
      <c r="AB106" s="36" t="n">
        <f aca="false">D106/((N106+U106)*V106)</f>
        <v>0.0111427868802326</v>
      </c>
      <c r="AC106" s="36" t="n">
        <f aca="false">E106/((N106+U106)*V106)</f>
        <v>0.078810392701513</v>
      </c>
      <c r="AD106" s="36" t="n">
        <f aca="false">(C106+D106+E106)/((N106+U106)*V106)</f>
        <v>0.178726634743984</v>
      </c>
      <c r="AE106" s="36" t="n">
        <f aca="false">(C106+D106+E106)/((K106+U106)*V106)</f>
        <v>0.194720405866638</v>
      </c>
      <c r="AF106" s="37" t="n">
        <f aca="false">(P106/V106)/K106</f>
        <v>0.550034527883916</v>
      </c>
      <c r="AG106" s="38" t="n">
        <f aca="false">F106/($N106+$U106)</f>
        <v>0.254320709896304</v>
      </c>
      <c r="AH106" s="38" t="n">
        <f aca="false">G106/($N106+$U106)</f>
        <v>0.0369458422838269</v>
      </c>
      <c r="AI106" s="39" t="n">
        <f aca="false">I106/($N106+$U106)</f>
        <v>0.904999940163831</v>
      </c>
      <c r="AJ106" s="44" t="n">
        <f aca="false">C106/F106</f>
        <v>1.96924923134548</v>
      </c>
      <c r="AK106" s="40" t="n">
        <f aca="false">D106/G106</f>
        <v>1.7014827111507</v>
      </c>
      <c r="AL106" s="40" t="n">
        <f aca="false">E106/I106</f>
        <v>0.491285820172599</v>
      </c>
      <c r="AM106" s="41"/>
      <c r="AN106" s="42" t="n">
        <f aca="false">AJ106/$V106</f>
        <v>0.349061054439628</v>
      </c>
      <c r="AO106" s="42" t="n">
        <f aca="false">AK106/$V106</f>
        <v>0.301597857605493</v>
      </c>
      <c r="AP106" s="42" t="n">
        <f aca="false">AL106/$V106</f>
        <v>0.0870833126102153</v>
      </c>
      <c r="AQ106" s="42" t="n">
        <f aca="false">AM106/$V106</f>
        <v>0</v>
      </c>
      <c r="AR106" s="53"/>
    </row>
    <row r="107" customFormat="false" ht="18.75" hidden="false" customHeight="true" outlineLevel="0" collapsed="false">
      <c r="A107" s="18" t="n">
        <v>2019</v>
      </c>
      <c r="B107" s="18" t="n">
        <v>9</v>
      </c>
      <c r="C107" s="24" t="n">
        <v>205141.28</v>
      </c>
      <c r="D107" s="24" t="n">
        <f aca="false">20887.59</f>
        <v>20887.59</v>
      </c>
      <c r="E107" s="25" t="n">
        <v>148452.66</v>
      </c>
      <c r="F107" s="26" t="n">
        <f aca="false">103061.95+1681.74</f>
        <v>104743.69</v>
      </c>
      <c r="G107" s="26" t="n">
        <v>12507</v>
      </c>
      <c r="H107" s="26"/>
      <c r="I107" s="27" t="n">
        <v>328213.62</v>
      </c>
      <c r="J107" s="27"/>
      <c r="K107" s="28" t="n">
        <f aca="false">N107-L107</f>
        <v>333840</v>
      </c>
      <c r="L107" s="29" t="n">
        <v>23161</v>
      </c>
      <c r="M107" s="30" t="n">
        <f aca="false">L107/N107</f>
        <v>0.0648765689731962</v>
      </c>
      <c r="N107" s="29" t="n">
        <v>357001</v>
      </c>
      <c r="O107" s="31" t="n">
        <v>339595</v>
      </c>
      <c r="P107" s="24" t="n">
        <v>915319</v>
      </c>
      <c r="Q107" s="32" t="n">
        <v>202</v>
      </c>
      <c r="R107" s="32" t="n">
        <f aca="false">O107/Q107</f>
        <v>1681.16336633663</v>
      </c>
      <c r="S107" s="33" t="n">
        <v>27</v>
      </c>
      <c r="T107" s="29" t="n">
        <f aca="false">N107/S107</f>
        <v>13222.2592592593</v>
      </c>
      <c r="U107" s="29" t="n">
        <v>36813</v>
      </c>
      <c r="V107" s="34" t="n">
        <f aca="false">'$'!C94</f>
        <v>5.719617</v>
      </c>
      <c r="W107" s="35" t="n">
        <f aca="false">SUM(C107:E107)/V107</f>
        <v>65473.1829071772</v>
      </c>
      <c r="X107" s="35" t="n">
        <f aca="false">C107/$V107</f>
        <v>35866.2616745142</v>
      </c>
      <c r="Y107" s="35" t="n">
        <f aca="false">D107/$V107</f>
        <v>3651.92109891274</v>
      </c>
      <c r="Z107" s="35" t="n">
        <f aca="false">E107/$V107</f>
        <v>25955.0001337502</v>
      </c>
      <c r="AA107" s="36" t="n">
        <f aca="false">C107/((N107+U107)*V107)</f>
        <v>0.0910741153806473</v>
      </c>
      <c r="AB107" s="36" t="n">
        <f aca="false">D107/((N107+U107)*V107)</f>
        <v>0.00927321298611208</v>
      </c>
      <c r="AC107" s="36" t="n">
        <f aca="false">E107/((N107+U107)*V107)</f>
        <v>0.0659067481952145</v>
      </c>
      <c r="AD107" s="36" t="n">
        <f aca="false">(C107+D107+E107)/((N107+U107)*V107)</f>
        <v>0.166254076561974</v>
      </c>
      <c r="AE107" s="36" t="n">
        <f aca="false">(C107+D107+E107)/((K107+U107)*V107)</f>
        <v>0.17664279773043</v>
      </c>
      <c r="AF107" s="37" t="n">
        <f aca="false">(P107/V107)/K107</f>
        <v>0.479365922576707</v>
      </c>
      <c r="AG107" s="38" t="n">
        <f aca="false">F107/($N107+$U107)</f>
        <v>0.265972489550905</v>
      </c>
      <c r="AH107" s="38" t="n">
        <f aca="false">G107/($N107+$U107)</f>
        <v>0.0317586474833297</v>
      </c>
      <c r="AI107" s="39" t="n">
        <f aca="false">I107/($N107+$U107)</f>
        <v>0.83342293570061</v>
      </c>
      <c r="AJ107" s="40" t="n">
        <f aca="false">C107/F107</f>
        <v>1.95850728573721</v>
      </c>
      <c r="AK107" s="40" t="n">
        <f aca="false">D107/G107</f>
        <v>1.67007195970257</v>
      </c>
      <c r="AL107" s="40" t="n">
        <f aca="false">E107/I107</f>
        <v>0.452304995752461</v>
      </c>
      <c r="AM107" s="41"/>
      <c r="AN107" s="42" t="n">
        <f aca="false">AJ107/$V107</f>
        <v>0.342419306351669</v>
      </c>
      <c r="AO107" s="42" t="n">
        <f aca="false">AK107/$V107</f>
        <v>0.291990173415906</v>
      </c>
      <c r="AP107" s="42" t="n">
        <f aca="false">AL107/$V107</f>
        <v>0.0790795949715622</v>
      </c>
      <c r="AQ107" s="42" t="n">
        <f aca="false">AM107/$V107</f>
        <v>0</v>
      </c>
      <c r="AR107" s="43"/>
    </row>
    <row r="108" customFormat="false" ht="18.75" hidden="false" customHeight="true" outlineLevel="0" collapsed="false">
      <c r="A108" s="18" t="n">
        <v>2019</v>
      </c>
      <c r="B108" s="18" t="n">
        <v>10</v>
      </c>
      <c r="C108" s="24" t="n">
        <v>229611.02</v>
      </c>
      <c r="D108" s="24" t="n">
        <f aca="false">21179.42</f>
        <v>21179.42</v>
      </c>
      <c r="E108" s="25" t="n">
        <v>157785.56</v>
      </c>
      <c r="F108" s="26" t="n">
        <f aca="false">115730.18+1516.06</f>
        <v>117246.24</v>
      </c>
      <c r="G108" s="26" t="n">
        <v>12787</v>
      </c>
      <c r="H108" s="26"/>
      <c r="I108" s="27" t="n">
        <v>345163.14</v>
      </c>
      <c r="J108" s="27"/>
      <c r="K108" s="28" t="n">
        <f aca="false">N108-L108</f>
        <v>399136</v>
      </c>
      <c r="L108" s="29" t="n">
        <v>19669</v>
      </c>
      <c r="M108" s="30" t="n">
        <f aca="false">L108/N108</f>
        <v>0.0469645777867982</v>
      </c>
      <c r="N108" s="29" t="n">
        <v>418805</v>
      </c>
      <c r="O108" s="31" t="n">
        <v>412989</v>
      </c>
      <c r="P108" s="24" t="n">
        <v>973323</v>
      </c>
      <c r="Q108" s="32" t="n">
        <v>207</v>
      </c>
      <c r="R108" s="32" t="n">
        <f aca="false">O108/Q108</f>
        <v>1995.11594202899</v>
      </c>
      <c r="S108" s="33" t="n">
        <v>31</v>
      </c>
      <c r="T108" s="29" t="n">
        <f aca="false">N108/S108</f>
        <v>13509.8387096774</v>
      </c>
      <c r="U108" s="29" t="n">
        <v>24639.3</v>
      </c>
      <c r="V108" s="34" t="n">
        <f aca="false">'$'!C95</f>
        <v>5.792574</v>
      </c>
      <c r="W108" s="35" t="n">
        <f aca="false">SUM(C108:E108)/V108</f>
        <v>70534.4463445784</v>
      </c>
      <c r="X108" s="35" t="n">
        <f aca="false">C108/$V108</f>
        <v>39638.8583037524</v>
      </c>
      <c r="Y108" s="35" t="n">
        <f aca="false">D108/$V108</f>
        <v>3656.30546972727</v>
      </c>
      <c r="Z108" s="35" t="n">
        <f aca="false">E108/$V108</f>
        <v>27239.2825710988</v>
      </c>
      <c r="AA108" s="36" t="n">
        <f aca="false">C108/((N108+U108)*V108)</f>
        <v>0.0893885845499702</v>
      </c>
      <c r="AB108" s="36" t="n">
        <f aca="false">D108/((N108+U108)*V108)</f>
        <v>0.00824524178059629</v>
      </c>
      <c r="AC108" s="36" t="n">
        <f aca="false">E108/((N108+U108)*V108)</f>
        <v>0.0614266156337984</v>
      </c>
      <c r="AD108" s="36" t="n">
        <f aca="false">(C108+D108+E108)/((N108+U108)*V108)</f>
        <v>0.159060441964365</v>
      </c>
      <c r="AE108" s="36" t="n">
        <f aca="false">(C108+D108+E108)/((K108+U108)*V108)</f>
        <v>0.166443033240914</v>
      </c>
      <c r="AF108" s="37" t="n">
        <f aca="false">(P108/V108)/K108</f>
        <v>0.420982938088437</v>
      </c>
      <c r="AG108" s="38" t="n">
        <f aca="false">F108/($N108+$U108)</f>
        <v>0.264399023733082</v>
      </c>
      <c r="AH108" s="38" t="n">
        <f aca="false">G108/($N108+$U108)</f>
        <v>0.0288356395605942</v>
      </c>
      <c r="AI108" s="39" t="n">
        <f aca="false">I108/($N108+$U108)</f>
        <v>0.77836864742652</v>
      </c>
      <c r="AJ108" s="40" t="n">
        <f aca="false">C108/F108</f>
        <v>1.95836574375434</v>
      </c>
      <c r="AK108" s="40" t="n">
        <f aca="false">D108/G108</f>
        <v>1.65632439196058</v>
      </c>
      <c r="AL108" s="40" t="n">
        <f aca="false">E108/I108</f>
        <v>0.457133284857705</v>
      </c>
      <c r="AM108" s="41"/>
      <c r="AN108" s="42" t="n">
        <f aca="false">AJ108/$V108</f>
        <v>0.338082127868257</v>
      </c>
      <c r="AO108" s="42" t="n">
        <f aca="false">AK108/$V108</f>
        <v>0.285939271895462</v>
      </c>
      <c r="AP108" s="42" t="n">
        <f aca="false">AL108/$V108</f>
        <v>0.0789171247286103</v>
      </c>
      <c r="AQ108" s="42" t="n">
        <f aca="false">AM108/$V108</f>
        <v>0</v>
      </c>
      <c r="AR108" s="43"/>
    </row>
    <row r="109" customFormat="false" ht="18.75" hidden="false" customHeight="true" outlineLevel="0" collapsed="false">
      <c r="A109" s="18" t="n">
        <v>2019</v>
      </c>
      <c r="B109" s="18" t="n">
        <v>11</v>
      </c>
      <c r="C109" s="24" t="n">
        <f aca="false">239112.04</f>
        <v>239112.04</v>
      </c>
      <c r="D109" s="24" t="n">
        <f aca="false">20625.95</f>
        <v>20625.95</v>
      </c>
      <c r="E109" s="25" t="n">
        <v>158812.93</v>
      </c>
      <c r="F109" s="26" t="n">
        <f aca="false">120040.95+2044.79</f>
        <v>122085.74</v>
      </c>
      <c r="G109" s="26" t="n">
        <v>12366</v>
      </c>
      <c r="H109" s="26"/>
      <c r="I109" s="27" t="n">
        <v>343154.07</v>
      </c>
      <c r="J109" s="27"/>
      <c r="K109" s="54" t="n">
        <f aca="false">N109-L109</f>
        <v>472207</v>
      </c>
      <c r="L109" s="29" t="n">
        <v>22203</v>
      </c>
      <c r="M109" s="30" t="n">
        <f aca="false">L109/N109</f>
        <v>0.0449080722477296</v>
      </c>
      <c r="N109" s="47" t="n">
        <v>494410</v>
      </c>
      <c r="O109" s="55" t="n">
        <v>473584</v>
      </c>
      <c r="P109" s="24" t="n">
        <v>961904</v>
      </c>
      <c r="Q109" s="32" t="n">
        <v>218</v>
      </c>
      <c r="R109" s="32" t="n">
        <f aca="false">O109/Q109</f>
        <v>2172.40366972477</v>
      </c>
      <c r="S109" s="33" t="n">
        <v>30</v>
      </c>
      <c r="T109" s="47" t="n">
        <f aca="false">N109/S109</f>
        <v>16480.3333333333</v>
      </c>
      <c r="U109" s="29" t="n">
        <v>19614.5</v>
      </c>
      <c r="V109" s="34" t="n">
        <f aca="false">'$'!C96</f>
        <v>5.740255</v>
      </c>
      <c r="W109" s="35" t="n">
        <f aca="false">SUM(C109:E109)/V109</f>
        <v>72915.0394886638</v>
      </c>
      <c r="X109" s="35" t="n">
        <f aca="false">C109/$V109</f>
        <v>41655.2992854847</v>
      </c>
      <c r="Y109" s="35" t="n">
        <f aca="false">D109/$V109</f>
        <v>3593.21145140765</v>
      </c>
      <c r="Z109" s="35" t="n">
        <f aca="false">E109/$V109</f>
        <v>27666.5287517715</v>
      </c>
      <c r="AA109" s="36" t="n">
        <f aca="false">C109/((N109+U109)*V109)</f>
        <v>0.0810375756126113</v>
      </c>
      <c r="AB109" s="36" t="n">
        <f aca="false">D109/((N109+U109)*V109)</f>
        <v>0.006990350559959</v>
      </c>
      <c r="AC109" s="36" t="n">
        <f aca="false">E109/((N109+U109)*V109)</f>
        <v>0.0538233659130479</v>
      </c>
      <c r="AD109" s="36" t="n">
        <f aca="false">(C109+D109+E109)/((N109+U109)*V109)</f>
        <v>0.141851292085618</v>
      </c>
      <c r="AE109" s="36" t="n">
        <f aca="false">(C109+D109+E109)/((K109+U109)*V109)</f>
        <v>0.148255087442627</v>
      </c>
      <c r="AF109" s="37" t="n">
        <f aca="false">(P109/V109)/K109</f>
        <v>0.354869050419669</v>
      </c>
      <c r="AG109" s="56" t="n">
        <f aca="false">F109/($N109+$U109)</f>
        <v>0.237509573959996</v>
      </c>
      <c r="AH109" s="56" t="n">
        <f aca="false">G109/($N109+$U109)</f>
        <v>0.0240572190625155</v>
      </c>
      <c r="AI109" s="39" t="n">
        <f aca="false">I109/($N109+$U109)</f>
        <v>0.667583101583679</v>
      </c>
      <c r="AJ109" s="40" t="n">
        <f aca="false">C109/F109</f>
        <v>1.95855830500761</v>
      </c>
      <c r="AK109" s="40" t="n">
        <f aca="false">D109/G109</f>
        <v>1.66795649361152</v>
      </c>
      <c r="AL109" s="40" t="n">
        <f aca="false">E109/I109</f>
        <v>0.462803573916521</v>
      </c>
      <c r="AM109" s="41"/>
      <c r="AN109" s="42" t="n">
        <f aca="false">AJ109/$V109</f>
        <v>0.341197090548697</v>
      </c>
      <c r="AO109" s="42" t="n">
        <f aca="false">AK109/$V109</f>
        <v>0.290571846305001</v>
      </c>
      <c r="AP109" s="42" t="n">
        <f aca="false">AL109/$V109</f>
        <v>0.0806242185959545</v>
      </c>
      <c r="AQ109" s="42" t="n">
        <f aca="false">AM109/$V109</f>
        <v>0</v>
      </c>
      <c r="AR109" s="43"/>
    </row>
    <row r="110" customFormat="false" ht="18.75" hidden="false" customHeight="true" outlineLevel="0" collapsed="false">
      <c r="A110" s="18" t="n">
        <v>2019</v>
      </c>
      <c r="B110" s="18" t="n">
        <v>12</v>
      </c>
      <c r="C110" s="24" t="n">
        <v>276403.33</v>
      </c>
      <c r="D110" s="24" t="n">
        <f aca="false">23858.56</f>
        <v>23858.56</v>
      </c>
      <c r="E110" s="25" t="n">
        <v>165336.75</v>
      </c>
      <c r="F110" s="26" t="n">
        <f aca="false">138128.37+2969.44</f>
        <v>141097.81</v>
      </c>
      <c r="G110" s="26" t="n">
        <v>14293</v>
      </c>
      <c r="H110" s="26"/>
      <c r="I110" s="27" t="n">
        <v>366601.41</v>
      </c>
      <c r="J110" s="27"/>
      <c r="K110" s="28" t="n">
        <f aca="false">N110-L110</f>
        <v>404473</v>
      </c>
      <c r="L110" s="29" t="n">
        <v>35484</v>
      </c>
      <c r="M110" s="30" t="n">
        <f aca="false">L110/N110</f>
        <v>0.0806533365760745</v>
      </c>
      <c r="N110" s="29" t="n">
        <v>439957</v>
      </c>
      <c r="O110" s="31" t="n">
        <v>443077</v>
      </c>
      <c r="P110" s="24" t="n">
        <v>995544</v>
      </c>
      <c r="Q110" s="32" t="n">
        <v>218</v>
      </c>
      <c r="R110" s="32" t="n">
        <f aca="false">O110/Q110</f>
        <v>2032.46330275229</v>
      </c>
      <c r="S110" s="33" t="n">
        <v>30</v>
      </c>
      <c r="T110" s="29" t="n">
        <f aca="false">N110/S110</f>
        <v>14665.2333333333</v>
      </c>
      <c r="U110" s="29" t="n">
        <v>25821</v>
      </c>
      <c r="V110" s="34" t="n">
        <f aca="false">'$'!C97</f>
        <v>5.853509</v>
      </c>
      <c r="W110" s="35" t="n">
        <f aca="false">SUM(C110:E110)/V110</f>
        <v>79541.799628223</v>
      </c>
      <c r="X110" s="35" t="n">
        <f aca="false">C110/$V110</f>
        <v>47220.1084853547</v>
      </c>
      <c r="Y110" s="35" t="n">
        <f aca="false">D110/$V110</f>
        <v>4075.94145665446</v>
      </c>
      <c r="Z110" s="35" t="n">
        <f aca="false">E110/$V110</f>
        <v>28245.7496862139</v>
      </c>
      <c r="AA110" s="36" t="n">
        <f aca="false">C110/((N110+U110)*V110)</f>
        <v>0.101379001338309</v>
      </c>
      <c r="AB110" s="36" t="n">
        <f aca="false">D110/((N110+U110)*V110)</f>
        <v>0.00875082433402707</v>
      </c>
      <c r="AC110" s="36" t="n">
        <f aca="false">E110/((N110+U110)*V110)</f>
        <v>0.0606420863291393</v>
      </c>
      <c r="AD110" s="36" t="n">
        <f aca="false">(C110+D110+E110)/((N110+U110)*V110)</f>
        <v>0.170771912001475</v>
      </c>
      <c r="AE110" s="36" t="n">
        <f aca="false">(C110+D110+E110)/((K110+U110)*V110)</f>
        <v>0.184854540449607</v>
      </c>
      <c r="AF110" s="37" t="n">
        <f aca="false">(P110/V110)/K110</f>
        <v>0.420488993689347</v>
      </c>
      <c r="AG110" s="38" t="n">
        <f aca="false">F110/($N110+$U110)</f>
        <v>0.302929313965022</v>
      </c>
      <c r="AH110" s="38" t="n">
        <f aca="false">G110/($N110+$U110)</f>
        <v>0.0306862926115016</v>
      </c>
      <c r="AI110" s="39" t="n">
        <f aca="false">I110/($N110+$U110)</f>
        <v>0.787073262369627</v>
      </c>
      <c r="AJ110" s="40" t="n">
        <f aca="false">C110/F110</f>
        <v>1.95894840607377</v>
      </c>
      <c r="AK110" s="40" t="n">
        <f aca="false">D110/G110</f>
        <v>1.66924788357937</v>
      </c>
      <c r="AL110" s="40" t="n">
        <f aca="false">E110/I110</f>
        <v>0.450998674555016</v>
      </c>
      <c r="AM110" s="41"/>
      <c r="AN110" s="42" t="n">
        <f aca="false">AJ110/$V110</f>
        <v>0.334662235263288</v>
      </c>
      <c r="AO110" s="42" t="n">
        <f aca="false">AK110/$V110</f>
        <v>0.285170465028648</v>
      </c>
      <c r="AP110" s="42" t="n">
        <f aca="false">AL110/$V110</f>
        <v>0.077047575147662</v>
      </c>
      <c r="AQ110" s="42" t="n">
        <f aca="false">AM110/$V110</f>
        <v>0</v>
      </c>
      <c r="AR110" s="43"/>
    </row>
    <row r="111" customFormat="false" ht="18.75" hidden="false" customHeight="true" outlineLevel="0" collapsed="false">
      <c r="A111" s="18" t="n">
        <v>2020</v>
      </c>
      <c r="B111" s="18" t="n">
        <v>1</v>
      </c>
      <c r="C111" s="24" t="n">
        <v>288882.44</v>
      </c>
      <c r="D111" s="24" t="n">
        <f aca="false">43057.31</f>
        <v>43057.31</v>
      </c>
      <c r="E111" s="25" t="n">
        <v>176415.83</v>
      </c>
      <c r="F111" s="26" t="n">
        <f aca="false">143522.28+3939.61</f>
        <v>147461.89</v>
      </c>
      <c r="G111" s="26" t="n">
        <v>20117</v>
      </c>
      <c r="H111" s="26"/>
      <c r="I111" s="27" t="n">
        <v>373715.37</v>
      </c>
      <c r="J111" s="27"/>
      <c r="K111" s="28" t="n">
        <f aca="false">N111-L111</f>
        <v>351493</v>
      </c>
      <c r="L111" s="29" t="n">
        <v>40358</v>
      </c>
      <c r="M111" s="30" t="n">
        <f aca="false">L111/N111</f>
        <v>0.102993229569403</v>
      </c>
      <c r="N111" s="29" t="n">
        <v>391851</v>
      </c>
      <c r="O111" s="31" t="n">
        <v>414728</v>
      </c>
      <c r="P111" s="24" t="n">
        <v>1051754</v>
      </c>
      <c r="Q111" s="32" t="n">
        <v>211</v>
      </c>
      <c r="R111" s="32" t="n">
        <f aca="false">O111/Q111</f>
        <v>1965.5355450237</v>
      </c>
      <c r="S111" s="33" t="n">
        <v>30</v>
      </c>
      <c r="T111" s="29" t="n">
        <f aca="false">N111/S111</f>
        <v>13061.7</v>
      </c>
      <c r="U111" s="29" t="n">
        <v>20741</v>
      </c>
      <c r="V111" s="34" t="n">
        <f aca="false">'$'!C98</f>
        <v>5.924601</v>
      </c>
      <c r="W111" s="35" t="n">
        <f aca="false">SUM(C111:E111)/V111</f>
        <v>85804.1883326827</v>
      </c>
      <c r="X111" s="35" t="n">
        <f aca="false">C111/$V111</f>
        <v>48759.8135300588</v>
      </c>
      <c r="Y111" s="35" t="n">
        <f aca="false">D111/$V111</f>
        <v>7267.54594950782</v>
      </c>
      <c r="Z111" s="35" t="n">
        <f aca="false">E111/$V111</f>
        <v>29776.828853116</v>
      </c>
      <c r="AA111" s="36" t="n">
        <f aca="false">C111/((N111+U111)*V111)</f>
        <v>0.118179251003555</v>
      </c>
      <c r="AB111" s="36" t="n">
        <f aca="false">D111/((N111+U111)*V111)</f>
        <v>0.0176143646738372</v>
      </c>
      <c r="AC111" s="36" t="n">
        <f aca="false">E111/((N111+U111)*V111)</f>
        <v>0.0721701556334491</v>
      </c>
      <c r="AD111" s="36" t="n">
        <f aca="false">(C111+D111+E111)/((N111+U111)*V111)</f>
        <v>0.207963771310841</v>
      </c>
      <c r="AE111" s="36" t="n">
        <f aca="false">(C111+D111+E111)/((K111+U111)*V111)</f>
        <v>0.230511421129404</v>
      </c>
      <c r="AF111" s="37" t="n">
        <f aca="false">(P111/V111)/K111</f>
        <v>0.505054662124481</v>
      </c>
      <c r="AG111" s="38" t="n">
        <f aca="false">F111/($N111+$U111)</f>
        <v>0.357403657850855</v>
      </c>
      <c r="AH111" s="38" t="n">
        <f aca="false">G111/($N111+$U111)</f>
        <v>0.048757610423857</v>
      </c>
      <c r="AI111" s="39" t="n">
        <f aca="false">I111/($N111+$U111)</f>
        <v>0.905774639353162</v>
      </c>
      <c r="AJ111" s="40" t="n">
        <f aca="false">C111/F111</f>
        <v>1.95903117747914</v>
      </c>
      <c r="AK111" s="44" t="n">
        <f aca="false">D111/G111</f>
        <v>2.14034448476413</v>
      </c>
      <c r="AL111" s="40" t="n">
        <f aca="false">E111/I111</f>
        <v>0.472059337564842</v>
      </c>
      <c r="AM111" s="41"/>
      <c r="AN111" s="42" t="n">
        <f aca="false">AJ111/$V111</f>
        <v>0.330660440674257</v>
      </c>
      <c r="AO111" s="42" t="n">
        <f aca="false">AK111/$V111</f>
        <v>0.361263903639102</v>
      </c>
      <c r="AP111" s="42" t="n">
        <f aca="false">AL111/$V111</f>
        <v>0.0796778276823777</v>
      </c>
      <c r="AQ111" s="42" t="n">
        <f aca="false">AM111/$V111</f>
        <v>0</v>
      </c>
      <c r="AR111" s="43"/>
    </row>
    <row r="112" customFormat="false" ht="18.75" hidden="false" customHeight="true" outlineLevel="0" collapsed="false">
      <c r="A112" s="18" t="n">
        <v>2020</v>
      </c>
      <c r="B112" s="18" t="n">
        <v>2</v>
      </c>
      <c r="C112" s="24" t="n">
        <v>246833.16</v>
      </c>
      <c r="D112" s="24" t="n">
        <f aca="false">45566.67</f>
        <v>45566.67</v>
      </c>
      <c r="E112" s="25" t="n">
        <v>166489.13</v>
      </c>
      <c r="F112" s="26" t="n">
        <f aca="false">120736.29+5251.9</f>
        <v>125988.19</v>
      </c>
      <c r="G112" s="26" t="n">
        <v>21060</v>
      </c>
      <c r="H112" s="26"/>
      <c r="I112" s="27" t="n">
        <v>341870.76</v>
      </c>
      <c r="J112" s="27"/>
      <c r="K112" s="28" t="n">
        <f aca="false">N112-L112</f>
        <v>299671</v>
      </c>
      <c r="L112" s="29" t="n">
        <v>21208</v>
      </c>
      <c r="M112" s="30" t="n">
        <f aca="false">L112/N112</f>
        <v>0.0660934495557515</v>
      </c>
      <c r="N112" s="29" t="n">
        <v>320879</v>
      </c>
      <c r="O112" s="31" t="n">
        <v>319744</v>
      </c>
      <c r="P112" s="24" t="n">
        <v>1049385</v>
      </c>
      <c r="Q112" s="32" t="n">
        <v>212</v>
      </c>
      <c r="R112" s="32" t="n">
        <f aca="false">O112/Q112</f>
        <v>1508.22641509434</v>
      </c>
      <c r="S112" s="33" t="n">
        <v>27</v>
      </c>
      <c r="T112" s="29" t="n">
        <f aca="false">N112/S112</f>
        <v>11884.4074074074</v>
      </c>
      <c r="U112" s="29" t="n">
        <v>15689.4</v>
      </c>
      <c r="V112" s="34" t="n">
        <f aca="false">'$'!C99</f>
        <v>6.057833</v>
      </c>
      <c r="W112" s="35" t="n">
        <f aca="false">SUM(C112:E112)/V112</f>
        <v>75751.3388038264</v>
      </c>
      <c r="X112" s="35" t="n">
        <f aca="false">C112/$V112</f>
        <v>40746.1149886436</v>
      </c>
      <c r="Y112" s="35" t="n">
        <f aca="false">D112/$V112</f>
        <v>7521.94225228725</v>
      </c>
      <c r="Z112" s="35" t="n">
        <f aca="false">E112/$V112</f>
        <v>27483.2815628955</v>
      </c>
      <c r="AA112" s="36" t="n">
        <f aca="false">C112/((N112+U112)*V112)</f>
        <v>0.121063400451865</v>
      </c>
      <c r="AB112" s="36" t="n">
        <f aca="false">D112/((N112+U112)*V112)</f>
        <v>0.0223489259606286</v>
      </c>
      <c r="AC112" s="36" t="n">
        <f aca="false">E112/((N112+U112)*V112)</f>
        <v>0.0816573438352962</v>
      </c>
      <c r="AD112" s="36" t="n">
        <f aca="false">(C112+D112+E112)/((N112+U112)*V112)</f>
        <v>0.22506967024779</v>
      </c>
      <c r="AE112" s="36" t="n">
        <f aca="false">(C112+D112+E112)/((K112+U112)*V112)</f>
        <v>0.240205614921298</v>
      </c>
      <c r="AF112" s="37" t="n">
        <f aca="false">(P112/V112)/K112</f>
        <v>0.578059893148596</v>
      </c>
      <c r="AG112" s="38" t="n">
        <f aca="false">F112/($N112+$U112)</f>
        <v>0.374331606888823</v>
      </c>
      <c r="AH112" s="38" t="n">
        <f aca="false">G112/($N112+$U112)</f>
        <v>0.0625727192451817</v>
      </c>
      <c r="AI112" s="39" t="n">
        <f aca="false">I112/($N112+$U112)</f>
        <v>1.01575418250792</v>
      </c>
      <c r="AJ112" s="40" t="n">
        <f aca="false">C112/F112</f>
        <v>1.95917696730146</v>
      </c>
      <c r="AK112" s="40" t="n">
        <f aca="false">D112/G112</f>
        <v>2.16365954415954</v>
      </c>
      <c r="AL112" s="40" t="n">
        <f aca="false">E112/I112</f>
        <v>0.486994354240766</v>
      </c>
      <c r="AM112" s="41"/>
      <c r="AN112" s="42" t="n">
        <f aca="false">AJ112/$V112</f>
        <v>0.323412178464058</v>
      </c>
      <c r="AO112" s="42" t="n">
        <f aca="false">AK112/$V112</f>
        <v>0.357167248446688</v>
      </c>
      <c r="AP112" s="42" t="n">
        <f aca="false">AL112/$V112</f>
        <v>0.0803908516858696</v>
      </c>
      <c r="AQ112" s="42" t="n">
        <f aca="false">AM112/$V112</f>
        <v>0</v>
      </c>
      <c r="AR112" s="43"/>
    </row>
    <row r="113" customFormat="false" ht="18.75" hidden="false" customHeight="true" outlineLevel="0" collapsed="false">
      <c r="A113" s="18" t="n">
        <v>2020</v>
      </c>
      <c r="B113" s="18" t="n">
        <v>3</v>
      </c>
      <c r="C113" s="24" t="n">
        <v>250092.07</v>
      </c>
      <c r="D113" s="24" t="n">
        <f aca="false">31661.62</f>
        <v>31661.62</v>
      </c>
      <c r="E113" s="25" t="n">
        <v>152968.2</v>
      </c>
      <c r="F113" s="26" t="n">
        <f aca="false">123397.19+4236.68</f>
        <v>127633.87</v>
      </c>
      <c r="G113" s="26" t="n">
        <v>16427</v>
      </c>
      <c r="H113" s="26"/>
      <c r="I113" s="27" t="n">
        <v>333484.83</v>
      </c>
      <c r="J113" s="27"/>
      <c r="K113" s="28" t="n">
        <f aca="false">N113-L113</f>
        <v>256156</v>
      </c>
      <c r="L113" s="29" t="n">
        <v>26337</v>
      </c>
      <c r="M113" s="30" t="n">
        <f aca="false">L113/N113</f>
        <v>0.0932306287235436</v>
      </c>
      <c r="N113" s="29" t="n">
        <v>282493</v>
      </c>
      <c r="O113" s="31" t="n">
        <v>297135</v>
      </c>
      <c r="P113" s="24" t="n">
        <v>1082137</v>
      </c>
      <c r="Q113" s="32" t="n">
        <v>207</v>
      </c>
      <c r="R113" s="32" t="n">
        <f aca="false">O113/Q113</f>
        <v>1435.4347826087</v>
      </c>
      <c r="S113" s="33" t="n">
        <v>29</v>
      </c>
      <c r="T113" s="29" t="n">
        <f aca="false">N113/S113</f>
        <v>9741.13793103448</v>
      </c>
      <c r="U113" s="29" t="n">
        <v>29627</v>
      </c>
      <c r="V113" s="34" t="n">
        <f aca="false">'$'!C100</f>
        <v>6.335075</v>
      </c>
      <c r="W113" s="35" t="n">
        <f aca="false">SUM(C113:E113)/V113</f>
        <v>68621.4275284823</v>
      </c>
      <c r="X113" s="35" t="n">
        <f aca="false">C113/$V113</f>
        <v>39477.3653034889</v>
      </c>
      <c r="Y113" s="35" t="n">
        <f aca="false">D113/$V113</f>
        <v>4997.82875498712</v>
      </c>
      <c r="Z113" s="35" t="n">
        <f aca="false">E113/$V113</f>
        <v>24146.2334700063</v>
      </c>
      <c r="AA113" s="36" t="n">
        <f aca="false">C113/((N113+U113)*V113)</f>
        <v>0.126481370317471</v>
      </c>
      <c r="AB113" s="36" t="n">
        <f aca="false">D113/((N113+U113)*V113)</f>
        <v>0.0160125232442237</v>
      </c>
      <c r="AC113" s="36" t="n">
        <f aca="false">E113/((N113+U113)*V113)</f>
        <v>0.0773620193195126</v>
      </c>
      <c r="AD113" s="36" t="n">
        <f aca="false">(C113+D113+E113)/((N113+U113)*V113)</f>
        <v>0.219855912881207</v>
      </c>
      <c r="AE113" s="36" t="n">
        <f aca="false">(C113+D113+E113)/((K113+U113)*V113)</f>
        <v>0.240117248151508</v>
      </c>
      <c r="AF113" s="37" t="n">
        <f aca="false">(P113/V113)/K113</f>
        <v>0.66684661781294</v>
      </c>
      <c r="AG113" s="38" t="n">
        <f aca="false">F113/($N113+$U113)</f>
        <v>0.408925637575292</v>
      </c>
      <c r="AH113" s="38" t="n">
        <f aca="false">G113/($N113+$U113)</f>
        <v>0.0526303985646546</v>
      </c>
      <c r="AI113" s="39" t="n">
        <f aca="false">I113/($N113+$U113)</f>
        <v>1.06845069204152</v>
      </c>
      <c r="AJ113" s="40" t="n">
        <f aca="false">C113/F113</f>
        <v>1.95944908667268</v>
      </c>
      <c r="AK113" s="40" t="n">
        <f aca="false">D113/G113</f>
        <v>1.92741340476046</v>
      </c>
      <c r="AL113" s="40" t="n">
        <f aca="false">E113/I113</f>
        <v>0.45869612719715</v>
      </c>
      <c r="AM113" s="41"/>
      <c r="AN113" s="42" t="n">
        <f aca="false">AJ113/$V113</f>
        <v>0.309301639944702</v>
      </c>
      <c r="AO113" s="42" t="n">
        <f aca="false">AK113/$V113</f>
        <v>0.304244765020218</v>
      </c>
      <c r="AP113" s="42" t="n">
        <f aca="false">AL113/$V113</f>
        <v>0.072405792701294</v>
      </c>
      <c r="AQ113" s="42" t="n">
        <f aca="false">AM113/$V113</f>
        <v>0</v>
      </c>
      <c r="AR113" s="43"/>
    </row>
    <row r="114" customFormat="false" ht="18.75" hidden="false" customHeight="true" outlineLevel="0" collapsed="false">
      <c r="A114" s="18" t="n">
        <v>2020</v>
      </c>
      <c r="B114" s="18" t="n">
        <v>4</v>
      </c>
      <c r="C114" s="24" t="n">
        <v>150547.6</v>
      </c>
      <c r="D114" s="24" t="n">
        <f aca="false">24756.41</f>
        <v>24756.41</v>
      </c>
      <c r="E114" s="25" t="n">
        <v>138822.55</v>
      </c>
      <c r="F114" s="26" t="n">
        <f aca="false">71598.21+4989.43</f>
        <v>76587.64</v>
      </c>
      <c r="G114" s="26" t="n">
        <v>13110</v>
      </c>
      <c r="H114" s="26"/>
      <c r="I114" s="27" t="n">
        <v>224048.16</v>
      </c>
      <c r="J114" s="27"/>
      <c r="K114" s="28" t="n">
        <f aca="false">N114-L114</f>
        <v>157032</v>
      </c>
      <c r="L114" s="29" t="n">
        <v>28838</v>
      </c>
      <c r="M114" s="30" t="n">
        <f aca="false">L114/N114</f>
        <v>0.155151449938129</v>
      </c>
      <c r="N114" s="29" t="n">
        <v>185870</v>
      </c>
      <c r="O114" s="31" t="n">
        <v>194938</v>
      </c>
      <c r="P114" s="24" t="n">
        <v>715862</v>
      </c>
      <c r="Q114" s="32" t="n">
        <v>205</v>
      </c>
      <c r="R114" s="32" t="n">
        <f aca="false">O114/Q114</f>
        <v>950.917073170732</v>
      </c>
      <c r="S114" s="33" t="n">
        <v>20</v>
      </c>
      <c r="T114" s="29" t="n">
        <f aca="false">N114/S114</f>
        <v>9293.5</v>
      </c>
      <c r="U114" s="29" t="n">
        <v>9960</v>
      </c>
      <c r="V114" s="34" t="n">
        <f aca="false">'$'!C101</f>
        <v>6.839434</v>
      </c>
      <c r="W114" s="35" t="n">
        <f aca="false">SUM(C114:E114)/V114</f>
        <v>45928.7362082886</v>
      </c>
      <c r="X114" s="35" t="n">
        <f aca="false">C114/$V114</f>
        <v>22011.7044773003</v>
      </c>
      <c r="Y114" s="35" t="n">
        <f aca="false">D114/$V114</f>
        <v>3619.65770851799</v>
      </c>
      <c r="Z114" s="35" t="n">
        <f aca="false">E114/$V114</f>
        <v>20297.3740224703</v>
      </c>
      <c r="AA114" s="36" t="n">
        <f aca="false">C114/((N114+U114)*V114)</f>
        <v>0.112402106302917</v>
      </c>
      <c r="AB114" s="36" t="n">
        <f aca="false">D114/((N114+U114)*V114)</f>
        <v>0.018483673127294</v>
      </c>
      <c r="AC114" s="36" t="n">
        <f aca="false">E114/((N114+U114)*V114)</f>
        <v>0.1036479294412</v>
      </c>
      <c r="AD114" s="36" t="n">
        <f aca="false">(C114+D114+E114)/((N114+U114)*V114)</f>
        <v>0.234533708871412</v>
      </c>
      <c r="AE114" s="36" t="n">
        <f aca="false">(C114+D114+E114)/((K114+U114)*V114)</f>
        <v>0.275035547860308</v>
      </c>
      <c r="AF114" s="37" t="n">
        <f aca="false">(P114/V114)/K114</f>
        <v>0.666531969045588</v>
      </c>
      <c r="AG114" s="38" t="n">
        <f aca="false">F114/($N114+$U114)</f>
        <v>0.391092478169841</v>
      </c>
      <c r="AH114" s="38" t="n">
        <f aca="false">G114/($N114+$U114)</f>
        <v>0.066945820354389</v>
      </c>
      <c r="AI114" s="39" t="n">
        <f aca="false">I114/($N114+$U114)</f>
        <v>1.14409518459889</v>
      </c>
      <c r="AJ114" s="40" t="n">
        <f aca="false">C114/F114</f>
        <v>1.96569054745648</v>
      </c>
      <c r="AK114" s="40" t="n">
        <f aca="false">D114/G114</f>
        <v>1.88836079328757</v>
      </c>
      <c r="AL114" s="44" t="n">
        <f aca="false">E114/I114</f>
        <v>0.619610310568942</v>
      </c>
      <c r="AM114" s="45"/>
      <c r="AN114" s="42" t="n">
        <f aca="false">AJ114/$V114</f>
        <v>0.287405441364955</v>
      </c>
      <c r="AO114" s="42" t="n">
        <f aca="false">AK114/$V114</f>
        <v>0.276098986156978</v>
      </c>
      <c r="AP114" s="42" t="n">
        <f aca="false">AL114/$V114</f>
        <v>0.0905937992191959</v>
      </c>
      <c r="AQ114" s="42" t="n">
        <f aca="false">AM114/$V114</f>
        <v>0</v>
      </c>
      <c r="AR114" s="43"/>
    </row>
    <row r="115" customFormat="false" ht="18.75" hidden="false" customHeight="true" outlineLevel="0" collapsed="false">
      <c r="A115" s="18" t="n">
        <v>2020</v>
      </c>
      <c r="B115" s="18" t="n">
        <v>5</v>
      </c>
      <c r="C115" s="24" t="n">
        <v>149847.85</v>
      </c>
      <c r="D115" s="24" t="n">
        <f aca="false">22033.95</f>
        <v>22033.95</v>
      </c>
      <c r="E115" s="25" t="n">
        <v>142938.34</v>
      </c>
      <c r="F115" s="26" t="n">
        <f aca="false">73121.11+3345.8</f>
        <v>76466.91</v>
      </c>
      <c r="G115" s="26" t="n">
        <v>11694</v>
      </c>
      <c r="H115" s="26"/>
      <c r="I115" s="27" t="n">
        <v>246716.82</v>
      </c>
      <c r="J115" s="27"/>
      <c r="K115" s="28" t="n">
        <f aca="false">N115-L115</f>
        <v>209463</v>
      </c>
      <c r="L115" s="29" t="n">
        <v>14305</v>
      </c>
      <c r="M115" s="30" t="n">
        <f aca="false">L115/N115</f>
        <v>0.0639278180973151</v>
      </c>
      <c r="N115" s="29" t="n">
        <v>223768</v>
      </c>
      <c r="O115" s="31" t="n">
        <v>253908</v>
      </c>
      <c r="P115" s="24" t="n">
        <v>862924</v>
      </c>
      <c r="Q115" s="32" t="n">
        <v>202</v>
      </c>
      <c r="R115" s="32" t="n">
        <f aca="false">O115/Q115</f>
        <v>1256.9702970297</v>
      </c>
      <c r="S115" s="33" t="n">
        <v>23</v>
      </c>
      <c r="T115" s="29" t="n">
        <f aca="false">N115/S115</f>
        <v>9729.04347826087</v>
      </c>
      <c r="U115" s="29" t="n">
        <v>5738</v>
      </c>
      <c r="V115" s="34" t="n">
        <f aca="false">'$'!C102</f>
        <v>6.931656</v>
      </c>
      <c r="W115" s="35" t="n">
        <f aca="false">SUM(C115:E115)/V115</f>
        <v>45417.7385605979</v>
      </c>
      <c r="X115" s="35" t="n">
        <f aca="false">C115/$V115</f>
        <v>21617.9005420927</v>
      </c>
      <c r="Y115" s="35" t="n">
        <f aca="false">D115/$V115</f>
        <v>3178.74256887532</v>
      </c>
      <c r="Z115" s="35" t="n">
        <f aca="false">E115/$V115</f>
        <v>20621.0954496299</v>
      </c>
      <c r="AA115" s="36" t="n">
        <f aca="false">C115/((N115+U115)*V115)</f>
        <v>0.094193182496722</v>
      </c>
      <c r="AB115" s="36" t="n">
        <f aca="false">D115/((N115+U115)*V115)</f>
        <v>0.0138503680464795</v>
      </c>
      <c r="AC115" s="36" t="n">
        <f aca="false">E115/((N115+U115)*V115)</f>
        <v>0.0898499187368955</v>
      </c>
      <c r="AD115" s="36" t="n">
        <f aca="false">(C115+D115+E115)/((N115+U115)*V115)</f>
        <v>0.197893469280097</v>
      </c>
      <c r="AE115" s="36" t="n">
        <f aca="false">(C115+D115+E115)/((K115+U115)*V115)</f>
        <v>0.211047990300221</v>
      </c>
      <c r="AF115" s="37" t="n">
        <f aca="false">(P115/V115)/K115</f>
        <v>0.594330785801722</v>
      </c>
      <c r="AG115" s="38" t="n">
        <f aca="false">F115/($N115+$U115)</f>
        <v>0.333180439727066</v>
      </c>
      <c r="AH115" s="38" t="n">
        <f aca="false">G115/($N115+$U115)</f>
        <v>0.0509529162636271</v>
      </c>
      <c r="AI115" s="39" t="n">
        <f aca="false">I115/($N115+$U115)</f>
        <v>1.07499071919688</v>
      </c>
      <c r="AJ115" s="40" t="n">
        <f aca="false">C115/F115</f>
        <v>1.95964306652381</v>
      </c>
      <c r="AK115" s="40" t="n">
        <f aca="false">D115/G115</f>
        <v>1.88420985120575</v>
      </c>
      <c r="AL115" s="40" t="n">
        <f aca="false">E115/I115</f>
        <v>0.57936195837803</v>
      </c>
      <c r="AM115" s="41"/>
      <c r="AN115" s="42" t="n">
        <f aca="false">AJ115/$V115</f>
        <v>0.28270922078704</v>
      </c>
      <c r="AO115" s="42" t="n">
        <f aca="false">AK115/$V115</f>
        <v>0.271826797406817</v>
      </c>
      <c r="AP115" s="42" t="n">
        <f aca="false">AL115/$V115</f>
        <v>0.0835820413445258</v>
      </c>
      <c r="AQ115" s="42" t="n">
        <f aca="false">AM115/$V115</f>
        <v>0</v>
      </c>
      <c r="AR115" s="43"/>
    </row>
    <row r="116" customFormat="false" ht="18.75" hidden="false" customHeight="true" outlineLevel="0" collapsed="false">
      <c r="A116" s="18" t="n">
        <v>2020</v>
      </c>
      <c r="B116" s="18" t="n">
        <v>6</v>
      </c>
      <c r="C116" s="24" t="n">
        <v>200199.86</v>
      </c>
      <c r="D116" s="24" t="n">
        <f aca="false">64873.38</f>
        <v>64873.38</v>
      </c>
      <c r="E116" s="25" t="n">
        <v>166599.52</v>
      </c>
      <c r="F116" s="26" t="n">
        <f aca="false">98733.73+3418.48</f>
        <v>102152.21</v>
      </c>
      <c r="G116" s="26" t="n">
        <v>30050</v>
      </c>
      <c r="H116" s="26"/>
      <c r="I116" s="27" t="n">
        <v>294828.66</v>
      </c>
      <c r="J116" s="27"/>
      <c r="K116" s="28" t="n">
        <f aca="false">N116-L116</f>
        <v>272379</v>
      </c>
      <c r="L116" s="29" t="n">
        <v>28547</v>
      </c>
      <c r="M116" s="30" t="n">
        <f aca="false">L116/N116</f>
        <v>0.0948638535719745</v>
      </c>
      <c r="N116" s="29" t="n">
        <v>300926</v>
      </c>
      <c r="O116" s="31" t="n">
        <v>302779</v>
      </c>
      <c r="P116" s="24" t="n">
        <v>935910</v>
      </c>
      <c r="Q116" s="32" t="n">
        <v>202</v>
      </c>
      <c r="R116" s="32" t="n">
        <f aca="false">O116/Q116</f>
        <v>1498.90594059406</v>
      </c>
      <c r="S116" s="33" t="n">
        <v>27</v>
      </c>
      <c r="T116" s="29" t="n">
        <f aca="false">N116/S116</f>
        <v>11145.4074074074</v>
      </c>
      <c r="U116" s="29" t="n">
        <v>11160</v>
      </c>
      <c r="V116" s="34" t="n">
        <f aca="false">'$'!C103</f>
        <v>6.816762</v>
      </c>
      <c r="W116" s="35" t="n">
        <f aca="false">SUM(C116:E116)/V116</f>
        <v>63325.1916379067</v>
      </c>
      <c r="X116" s="35" t="n">
        <f aca="false">C116/$V116</f>
        <v>29368.7618843081</v>
      </c>
      <c r="Y116" s="35" t="n">
        <f aca="false">D116/$V116</f>
        <v>9516.7441668053</v>
      </c>
      <c r="Z116" s="35" t="n">
        <f aca="false">E116/$V116</f>
        <v>24439.6855867933</v>
      </c>
      <c r="AA116" s="36" t="n">
        <f aca="false">C116/((N116+U116)*V116)</f>
        <v>0.094104707946874</v>
      </c>
      <c r="AB116" s="36" t="n">
        <f aca="false">D116/((N116+U116)*V116)</f>
        <v>0.0304939797581606</v>
      </c>
      <c r="AC116" s="36" t="n">
        <f aca="false">E116/((N116+U116)*V116)</f>
        <v>0.0783107399460189</v>
      </c>
      <c r="AD116" s="36" t="n">
        <f aca="false">(C116+D116+E116)/((N116+U116)*V116)</f>
        <v>0.202909427651053</v>
      </c>
      <c r="AE116" s="36" t="n">
        <f aca="false">(C116+D116+E116)/((K116+U116)*V116)</f>
        <v>0.223338558850481</v>
      </c>
      <c r="AF116" s="37" t="n">
        <f aca="false">(P116/V116)/K116</f>
        <v>0.504060116206078</v>
      </c>
      <c r="AG116" s="38" t="n">
        <f aca="false">F116/($N116+$U116)</f>
        <v>0.327320706471934</v>
      </c>
      <c r="AH116" s="38" t="n">
        <f aca="false">G116/($N116+$U116)</f>
        <v>0.0962875617618221</v>
      </c>
      <c r="AI116" s="39" t="n">
        <f aca="false">I116/($N116+$U116)</f>
        <v>0.944703254872054</v>
      </c>
      <c r="AJ116" s="40" t="n">
        <f aca="false">C116/F116</f>
        <v>1.95981917571827</v>
      </c>
      <c r="AK116" s="40" t="n">
        <f aca="false">D116/G116</f>
        <v>2.15884792013311</v>
      </c>
      <c r="AL116" s="40" t="n">
        <f aca="false">E116/I116</f>
        <v>0.565072337268704</v>
      </c>
      <c r="AM116" s="41"/>
      <c r="AN116" s="42" t="n">
        <f aca="false">AJ116/$V116</f>
        <v>0.28750001477509</v>
      </c>
      <c r="AO116" s="42" t="n">
        <f aca="false">AK116/$V116</f>
        <v>0.316696977264735</v>
      </c>
      <c r="AP116" s="42" t="n">
        <f aca="false">AL116/$V116</f>
        <v>0.0828945380913554</v>
      </c>
      <c r="AQ116" s="42" t="n">
        <f aca="false">AM116/$V116</f>
        <v>0</v>
      </c>
      <c r="AR116" s="43"/>
    </row>
    <row r="117" customFormat="false" ht="18.75" hidden="false" customHeight="true" outlineLevel="0" collapsed="false">
      <c r="A117" s="18" t="n">
        <v>2020</v>
      </c>
      <c r="B117" s="18" t="n">
        <v>7</v>
      </c>
      <c r="C117" s="24" t="n">
        <v>171379.97</v>
      </c>
      <c r="D117" s="24" t="n">
        <f aca="false">43845.53</f>
        <v>43845.53</v>
      </c>
      <c r="E117" s="25" t="n">
        <v>155825.36</v>
      </c>
      <c r="F117" s="26" t="n">
        <f aca="false">91339.79+4715.63</f>
        <v>96055.42</v>
      </c>
      <c r="G117" s="26" t="n">
        <v>21469</v>
      </c>
      <c r="H117" s="26"/>
      <c r="I117" s="27" t="n">
        <v>319740.75</v>
      </c>
      <c r="J117" s="27"/>
      <c r="K117" s="28" t="n">
        <f aca="false">N117-L117</f>
        <v>240382</v>
      </c>
      <c r="L117" s="29" t="n">
        <v>28172</v>
      </c>
      <c r="M117" s="30" t="n">
        <f aca="false">L117/N117</f>
        <v>0.104902552186897</v>
      </c>
      <c r="N117" s="29" t="n">
        <v>268554</v>
      </c>
      <c r="O117" s="31" t="n">
        <v>256366</v>
      </c>
      <c r="P117" s="24" t="n">
        <v>781108</v>
      </c>
      <c r="Q117" s="32" t="n">
        <v>201</v>
      </c>
      <c r="R117" s="32" t="n">
        <f aca="false">O117/Q117</f>
        <v>1275.45273631841</v>
      </c>
      <c r="S117" s="33" t="n">
        <v>28</v>
      </c>
      <c r="T117" s="29" t="n">
        <f aca="false">N117/S117</f>
        <v>9591.21428571429</v>
      </c>
      <c r="U117" s="29" t="n">
        <v>26088</v>
      </c>
      <c r="V117" s="34" t="n">
        <f aca="false">'$'!C104</f>
        <v>6.867708</v>
      </c>
      <c r="W117" s="35" t="n">
        <f aca="false">SUM(C117:E117)/V117</f>
        <v>54028.3395857832</v>
      </c>
      <c r="X117" s="35" t="n">
        <f aca="false">C117/$V117</f>
        <v>24954.4637017182</v>
      </c>
      <c r="Y117" s="35" t="n">
        <f aca="false">D117/$V117</f>
        <v>6384.3031765474</v>
      </c>
      <c r="Z117" s="35" t="n">
        <f aca="false">E117/$V117</f>
        <v>22689.5727075176</v>
      </c>
      <c r="AA117" s="36" t="n">
        <f aca="false">C117/((N117+U117)*V117)</f>
        <v>0.0846941837949723</v>
      </c>
      <c r="AB117" s="36" t="n">
        <f aca="false">D117/((N117+U117)*V117)</f>
        <v>0.0216680010879216</v>
      </c>
      <c r="AC117" s="36" t="n">
        <f aca="false">E117/((N117+U117)*V117)</f>
        <v>0.0770072586648121</v>
      </c>
      <c r="AD117" s="36" t="n">
        <f aca="false">(C117+D117+E117)/((N117+U117)*V117)</f>
        <v>0.183369443547706</v>
      </c>
      <c r="AE117" s="36" t="n">
        <f aca="false">(C117+D117+E117)/((K117+U117)*V117)</f>
        <v>0.202755805853504</v>
      </c>
      <c r="AF117" s="37" t="n">
        <f aca="false">(P117/V117)/K117</f>
        <v>0.473148339148609</v>
      </c>
      <c r="AG117" s="38" t="n">
        <f aca="false">F117/($N117+$U117)</f>
        <v>0.326007222324041</v>
      </c>
      <c r="AH117" s="38" t="n">
        <f aca="false">G117/($N117+$U117)</f>
        <v>0.072864696818512</v>
      </c>
      <c r="AI117" s="39" t="n">
        <f aca="false">I117/($N117+$U117)</f>
        <v>1.0851838841713</v>
      </c>
      <c r="AJ117" s="40" t="n">
        <f aca="false">C117/F117</f>
        <v>1.78417802972492</v>
      </c>
      <c r="AK117" s="40" t="n">
        <f aca="false">D117/G117</f>
        <v>2.04227164749173</v>
      </c>
      <c r="AL117" s="40" t="n">
        <f aca="false">E117/I117</f>
        <v>0.487349078902204</v>
      </c>
      <c r="AM117" s="41"/>
      <c r="AN117" s="42" t="n">
        <f aca="false">AJ117/$V117</f>
        <v>0.259792354265051</v>
      </c>
      <c r="AO117" s="42" t="n">
        <f aca="false">AK117/$V117</f>
        <v>0.297373104315404</v>
      </c>
      <c r="AP117" s="42" t="n">
        <f aca="false">AL117/$V117</f>
        <v>0.0709624053471994</v>
      </c>
      <c r="AQ117" s="42" t="n">
        <f aca="false">AM117/$V117</f>
        <v>0</v>
      </c>
      <c r="AR117" s="53"/>
    </row>
    <row r="118" customFormat="false" ht="18.75" hidden="false" customHeight="true" outlineLevel="0" collapsed="false">
      <c r="A118" s="18" t="n">
        <v>2020</v>
      </c>
      <c r="B118" s="18" t="n">
        <v>8</v>
      </c>
      <c r="C118" s="24" t="n">
        <v>170917.22</v>
      </c>
      <c r="D118" s="24" t="n">
        <f aca="false">43065.29</f>
        <v>43065.29</v>
      </c>
      <c r="E118" s="25" t="n">
        <v>147414.31</v>
      </c>
      <c r="F118" s="26" t="n">
        <f aca="false">94369.79+1902.83</f>
        <v>96272.62</v>
      </c>
      <c r="G118" s="26" t="n">
        <v>20932</v>
      </c>
      <c r="H118" s="26"/>
      <c r="I118" s="27" t="n">
        <v>282441.6</v>
      </c>
      <c r="J118" s="27"/>
      <c r="K118" s="28" t="n">
        <f aca="false">N118-L118</f>
        <v>277695</v>
      </c>
      <c r="L118" s="29" t="n">
        <v>32177</v>
      </c>
      <c r="M118" s="30" t="n">
        <f aca="false">L118/N118</f>
        <v>0.103839649919967</v>
      </c>
      <c r="N118" s="29" t="n">
        <v>309872</v>
      </c>
      <c r="O118" s="31" t="n">
        <v>279177</v>
      </c>
      <c r="P118" s="24" t="n">
        <v>1132184</v>
      </c>
      <c r="Q118" s="32" t="n">
        <v>197</v>
      </c>
      <c r="R118" s="32" t="n">
        <f aca="false">O118/Q118</f>
        <v>1417.1421319797</v>
      </c>
      <c r="S118" s="33" t="n">
        <v>28</v>
      </c>
      <c r="T118" s="29" t="n">
        <f aca="false">N118/S118</f>
        <v>11066.8571428571</v>
      </c>
      <c r="U118" s="29" t="n">
        <v>12090</v>
      </c>
      <c r="V118" s="34" t="n">
        <f aca="false">'$'!C105</f>
        <v>7.26562</v>
      </c>
      <c r="W118" s="35" t="n">
        <f aca="false">SUM(C118:E118)/V118</f>
        <v>49740.6718215376</v>
      </c>
      <c r="X118" s="35" t="n">
        <f aca="false">C118/$V118</f>
        <v>23524.1066832562</v>
      </c>
      <c r="Y118" s="35" t="n">
        <f aca="false">D118/$V118</f>
        <v>5927.26979941148</v>
      </c>
      <c r="Z118" s="35" t="n">
        <f aca="false">E118/$V118</f>
        <v>20289.2953388699</v>
      </c>
      <c r="AA118" s="36" t="n">
        <f aca="false">C118/((N118+U118)*V118)</f>
        <v>0.0730648544960468</v>
      </c>
      <c r="AB118" s="36" t="n">
        <f aca="false">D118/((N118+U118)*V118)</f>
        <v>0.0184098427746488</v>
      </c>
      <c r="AC118" s="36" t="n">
        <f aca="false">E118/((N118+U118)*V118)</f>
        <v>0.063017670839633</v>
      </c>
      <c r="AD118" s="36" t="n">
        <f aca="false">(C118+D118+E118)/((N118+U118)*V118)</f>
        <v>0.154492368110329</v>
      </c>
      <c r="AE118" s="36" t="n">
        <f aca="false">(C118+D118+E118)/((K118+U118)*V118)</f>
        <v>0.171646813401445</v>
      </c>
      <c r="AF118" s="37" t="n">
        <f aca="false">(P118/V118)/K118</f>
        <v>0.561146518680578</v>
      </c>
      <c r="AG118" s="38" t="n">
        <f aca="false">F118/($N118+$U118)</f>
        <v>0.299018579832403</v>
      </c>
      <c r="AH118" s="38" t="n">
        <f aca="false">G118/($N118+$U118)</f>
        <v>0.065013883626018</v>
      </c>
      <c r="AI118" s="39" t="n">
        <f aca="false">I118/($N118+$U118)</f>
        <v>0.877251352644101</v>
      </c>
      <c r="AJ118" s="40" t="n">
        <f aca="false">C118/F118</f>
        <v>1.77534609528649</v>
      </c>
      <c r="AK118" s="40" t="n">
        <f aca="false">D118/G118</f>
        <v>2.05739012038983</v>
      </c>
      <c r="AL118" s="40" t="n">
        <f aca="false">E118/I118</f>
        <v>0.52192846237948</v>
      </c>
      <c r="AM118" s="41"/>
      <c r="AN118" s="42" t="n">
        <f aca="false">AJ118/$V118</f>
        <v>0.24434887804296</v>
      </c>
      <c r="AO118" s="42" t="n">
        <f aca="false">AK118/$V118</f>
        <v>0.283167867351972</v>
      </c>
      <c r="AP118" s="42" t="n">
        <f aca="false">AL118/$V118</f>
        <v>0.0718353646873191</v>
      </c>
      <c r="AQ118" s="42" t="n">
        <f aca="false">AM118/$V118</f>
        <v>0</v>
      </c>
      <c r="AR118" s="53"/>
    </row>
    <row r="119" customFormat="false" ht="18.75" hidden="false" customHeight="true" outlineLevel="0" collapsed="false">
      <c r="A119" s="18" t="n">
        <v>2020</v>
      </c>
      <c r="B119" s="18" t="n">
        <v>9</v>
      </c>
      <c r="C119" s="24" t="n">
        <v>196247.56</v>
      </c>
      <c r="D119" s="24" t="n">
        <f aca="false">46892.18</f>
        <v>46892.18</v>
      </c>
      <c r="E119" s="25" t="n">
        <v>165434.23</v>
      </c>
      <c r="F119" s="26" t="n">
        <f aca="false">108393.79+2138.75</f>
        <v>110532.54</v>
      </c>
      <c r="G119" s="26" t="n">
        <v>22636</v>
      </c>
      <c r="H119" s="26"/>
      <c r="I119" s="27" t="n">
        <v>323224.02</v>
      </c>
      <c r="J119" s="27"/>
      <c r="K119" s="28" t="n">
        <f aca="false">N119-L119</f>
        <v>357723</v>
      </c>
      <c r="L119" s="29" t="n">
        <v>37870</v>
      </c>
      <c r="M119" s="30" t="n">
        <f aca="false">L119/N119</f>
        <v>0.0957297019916935</v>
      </c>
      <c r="N119" s="29" t="n">
        <v>395593</v>
      </c>
      <c r="O119" s="31" t="n">
        <v>380665</v>
      </c>
      <c r="P119" s="24" t="n">
        <v>1136367</v>
      </c>
      <c r="Q119" s="32" t="n">
        <v>216</v>
      </c>
      <c r="R119" s="32" t="n">
        <f aca="false">O119/Q119</f>
        <v>1762.33796296296</v>
      </c>
      <c r="S119" s="33" t="n">
        <v>27</v>
      </c>
      <c r="T119" s="29" t="n">
        <f aca="false">N119/S119</f>
        <v>14651.5925925926</v>
      </c>
      <c r="U119" s="29" t="n">
        <v>25504</v>
      </c>
      <c r="V119" s="34" t="n">
        <f aca="false">'$'!C106</f>
        <v>7.537593</v>
      </c>
      <c r="W119" s="35" t="n">
        <f aca="false">SUM(C119:E119)/V119</f>
        <v>54204.8330282625</v>
      </c>
      <c r="X119" s="35" t="n">
        <f aca="false">C119/$V119</f>
        <v>26035.8392924638</v>
      </c>
      <c r="Y119" s="35" t="n">
        <f aca="false">D119/$V119</f>
        <v>6221.10798500264</v>
      </c>
      <c r="Z119" s="35" t="n">
        <f aca="false">E119/$V119</f>
        <v>21947.885750796</v>
      </c>
      <c r="AA119" s="36" t="n">
        <f aca="false">C119/((N119+U119)*V119)</f>
        <v>0.0618286031305466</v>
      </c>
      <c r="AB119" s="36" t="n">
        <f aca="false">D119/((N119+U119)*V119)</f>
        <v>0.0147735746989474</v>
      </c>
      <c r="AC119" s="36" t="n">
        <f aca="false">E119/((N119+U119)*V119)</f>
        <v>0.0521207364355387</v>
      </c>
      <c r="AD119" s="36" t="n">
        <f aca="false">(C119+D119+E119)/((N119+U119)*V119)</f>
        <v>0.128722914265033</v>
      </c>
      <c r="AE119" s="36" t="n">
        <f aca="false">(C119+D119+E119)/((K119+U119)*V119)</f>
        <v>0.141443147346775</v>
      </c>
      <c r="AF119" s="37" t="n">
        <f aca="false">(P119/V119)/K119</f>
        <v>0.4214432142251</v>
      </c>
      <c r="AG119" s="38" t="n">
        <f aca="false">F119/($N119+$U119)</f>
        <v>0.262487122919422</v>
      </c>
      <c r="AH119" s="38" t="n">
        <f aca="false">G119/($N119+$U119)</f>
        <v>0.0537548355842003</v>
      </c>
      <c r="AI119" s="39" t="n">
        <f aca="false">I119/($N119+$U119)</f>
        <v>0.767576164161701</v>
      </c>
      <c r="AJ119" s="40" t="n">
        <f aca="false">C119/F119</f>
        <v>1.77547317740097</v>
      </c>
      <c r="AK119" s="40" t="n">
        <f aca="false">D119/G119</f>
        <v>2.07157536667256</v>
      </c>
      <c r="AL119" s="40" t="n">
        <f aca="false">E119/I119</f>
        <v>0.511825296894705</v>
      </c>
      <c r="AM119" s="41"/>
      <c r="AN119" s="42" t="n">
        <f aca="false">AJ119/$V119</f>
        <v>0.235549090724449</v>
      </c>
      <c r="AO119" s="42" t="n">
        <f aca="false">AK119/$V119</f>
        <v>0.27483247857407</v>
      </c>
      <c r="AP119" s="42" t="n">
        <f aca="false">AL119/$V119</f>
        <v>0.0679030158426841</v>
      </c>
      <c r="AQ119" s="42" t="n">
        <f aca="false">AM119/$V119</f>
        <v>0</v>
      </c>
      <c r="AR119" s="53"/>
    </row>
    <row r="120" customFormat="false" ht="18.75" hidden="false" customHeight="true" outlineLevel="0" collapsed="false">
      <c r="A120" s="18" t="n">
        <v>2020</v>
      </c>
      <c r="B120" s="18" t="n">
        <v>10</v>
      </c>
      <c r="C120" s="24" t="n">
        <v>202386.31</v>
      </c>
      <c r="D120" s="24" t="n">
        <f aca="false">21068.53+32726.47</f>
        <v>53795</v>
      </c>
      <c r="E120" s="25" t="n">
        <v>174443.2</v>
      </c>
      <c r="F120" s="26" t="n">
        <f aca="false">113333.02+644.99</f>
        <v>113978.01</v>
      </c>
      <c r="G120" s="26" t="n">
        <v>24614</v>
      </c>
      <c r="H120" s="26"/>
      <c r="I120" s="27" t="n">
        <v>319296.6</v>
      </c>
      <c r="J120" s="27"/>
      <c r="K120" s="28" t="n">
        <f aca="false">N120-L120</f>
        <v>378996</v>
      </c>
      <c r="L120" s="29" t="n">
        <v>37281</v>
      </c>
      <c r="M120" s="30" t="n">
        <f aca="false">L120/N120</f>
        <v>0.0895581547863562</v>
      </c>
      <c r="N120" s="29" t="n">
        <v>416277</v>
      </c>
      <c r="O120" s="31" t="n">
        <v>382202</v>
      </c>
      <c r="P120" s="24" t="n">
        <v>1137275</v>
      </c>
      <c r="Q120" s="32" t="n">
        <v>219</v>
      </c>
      <c r="R120" s="32" t="n">
        <f aca="false">O120/Q120</f>
        <v>1745.21461187215</v>
      </c>
      <c r="S120" s="33" t="n">
        <v>31</v>
      </c>
      <c r="T120" s="29" t="n">
        <f aca="false">N120/S120</f>
        <v>13428.2903225806</v>
      </c>
      <c r="U120" s="29" t="n">
        <v>26353</v>
      </c>
      <c r="V120" s="34" t="n">
        <f aca="false">'$'!C107</f>
        <v>7.930235</v>
      </c>
      <c r="W120" s="35" t="n">
        <f aca="false">SUM(C120:E120)/V120</f>
        <v>54301.6077077161</v>
      </c>
      <c r="X120" s="35" t="n">
        <f aca="false">C120/$V120</f>
        <v>25520.8464818508</v>
      </c>
      <c r="Y120" s="35" t="n">
        <f aca="false">D120/$V120</f>
        <v>6783.53163556944</v>
      </c>
      <c r="Z120" s="35" t="n">
        <f aca="false">E120/$V120</f>
        <v>21997.2295902959</v>
      </c>
      <c r="AA120" s="36" t="n">
        <f aca="false">C120/((N120+U120)*V120)</f>
        <v>0.0576572904725183</v>
      </c>
      <c r="AB120" s="36" t="n">
        <f aca="false">D120/((N120+U120)*V120)</f>
        <v>0.0153255125851602</v>
      </c>
      <c r="AC120" s="36" t="n">
        <f aca="false">E120/((N120+U120)*V120)</f>
        <v>0.0496966531647106</v>
      </c>
      <c r="AD120" s="36" t="n">
        <f aca="false">(C120+D120+E120)/((N120+U120)*V120)</f>
        <v>0.122679456222389</v>
      </c>
      <c r="AE120" s="36" t="n">
        <f aca="false">(C120+D120+E120)/((K120+U120)*V120)</f>
        <v>0.133962604342717</v>
      </c>
      <c r="AF120" s="37" t="n">
        <f aca="false">(P120/V120)/K120</f>
        <v>0.378394494479534</v>
      </c>
      <c r="AG120" s="38" t="n">
        <f aca="false">F120/($N120+$U120)</f>
        <v>0.257501773490274</v>
      </c>
      <c r="AH120" s="38" t="n">
        <f aca="false">G120/($N120+$U120)</f>
        <v>0.0556085217902085</v>
      </c>
      <c r="AI120" s="39" t="n">
        <f aca="false">I120/($N120+$U120)</f>
        <v>0.721362311637259</v>
      </c>
      <c r="AJ120" s="40" t="n">
        <f aca="false">C120/F120</f>
        <v>1.77566102443796</v>
      </c>
      <c r="AK120" s="40" t="n">
        <f aca="false">D120/G120</f>
        <v>2.18554481189567</v>
      </c>
      <c r="AL120" s="40" t="n">
        <f aca="false">E120/I120</f>
        <v>0.546335914632351</v>
      </c>
      <c r="AM120" s="41"/>
      <c r="AN120" s="42" t="n">
        <f aca="false">AJ120/$V120</f>
        <v>0.223910265513942</v>
      </c>
      <c r="AO120" s="42" t="n">
        <f aca="false">AK120/$V120</f>
        <v>0.275596474996727</v>
      </c>
      <c r="AP120" s="42" t="n">
        <f aca="false">AL120/$V120</f>
        <v>0.0688927774060102</v>
      </c>
      <c r="AQ120" s="42" t="n">
        <f aca="false">AM120/$V120</f>
        <v>0</v>
      </c>
      <c r="AR120" s="43"/>
    </row>
    <row r="121" customFormat="false" ht="18.75" hidden="false" customHeight="true" outlineLevel="0" collapsed="false">
      <c r="A121" s="18" t="n">
        <v>2020</v>
      </c>
      <c r="B121" s="18" t="n">
        <v>11</v>
      </c>
      <c r="C121" s="24" t="n">
        <v>242508.49</v>
      </c>
      <c r="D121" s="24" t="n">
        <v>44272.11</v>
      </c>
      <c r="E121" s="25" t="n">
        <v>162752.95</v>
      </c>
      <c r="F121" s="26" t="n">
        <f aca="false">131442.7+5115.13</f>
        <v>136557.83</v>
      </c>
      <c r="G121" s="26" t="n">
        <v>19898</v>
      </c>
      <c r="H121" s="26"/>
      <c r="I121" s="27" t="n">
        <v>324577.26</v>
      </c>
      <c r="J121" s="27"/>
      <c r="K121" s="28" t="n">
        <f aca="false">N121-L121</f>
        <v>341134</v>
      </c>
      <c r="L121" s="29" t="n">
        <v>48919</v>
      </c>
      <c r="M121" s="30" t="n">
        <f aca="false">L121/N121</f>
        <v>0.12541628958116</v>
      </c>
      <c r="N121" s="29" t="n">
        <v>390053</v>
      </c>
      <c r="O121" s="31" t="n">
        <v>347100</v>
      </c>
      <c r="P121" s="24" t="n">
        <v>1125599</v>
      </c>
      <c r="Q121" s="32" t="n">
        <v>222</v>
      </c>
      <c r="R121" s="32" t="n">
        <f aca="false">O121/Q121</f>
        <v>1563.51351351351</v>
      </c>
      <c r="S121" s="33" t="n">
        <v>28</v>
      </c>
      <c r="T121" s="29" t="n">
        <f aca="false">N121/S121</f>
        <v>13930.4642857143</v>
      </c>
      <c r="U121" s="29" t="n">
        <v>24420</v>
      </c>
      <c r="V121" s="57" t="n">
        <f aca="false">'$'!C108</f>
        <v>7.983238</v>
      </c>
      <c r="W121" s="35" t="n">
        <f aca="false">SUM(C121:E121)/V121</f>
        <v>56309.6765998959</v>
      </c>
      <c r="X121" s="35" t="n">
        <f aca="false">C121/$V121</f>
        <v>30377.2090973612</v>
      </c>
      <c r="Y121" s="35" t="n">
        <f aca="false">D121/$V121</f>
        <v>5545.63323804201</v>
      </c>
      <c r="Z121" s="35" t="n">
        <f aca="false">E121/$V121</f>
        <v>20386.8342644927</v>
      </c>
      <c r="AA121" s="36" t="n">
        <f aca="false">C121/((N121+U121)*V121)</f>
        <v>0.0732911651600014</v>
      </c>
      <c r="AB121" s="36" t="n">
        <f aca="false">D121/((N121+U121)*V121)</f>
        <v>0.0133799625983888</v>
      </c>
      <c r="AC121" s="36" t="n">
        <f aca="false">E121/((N121+U121)*V121)</f>
        <v>0.0491873638680751</v>
      </c>
      <c r="AD121" s="36" t="n">
        <f aca="false">(C121+D121+E121)/((N121+U121)*V121)</f>
        <v>0.135858491626465</v>
      </c>
      <c r="AE121" s="36" t="n">
        <f aca="false">(C121+D121+E121)/((K121+U121)*V121)</f>
        <v>0.154039284482993</v>
      </c>
      <c r="AF121" s="37" t="n">
        <f aca="false">(P121/V121)/K121</f>
        <v>0.41331352311019</v>
      </c>
      <c r="AG121" s="38" t="n">
        <f aca="false">F121/($N121+$U121)</f>
        <v>0.329473403575142</v>
      </c>
      <c r="AH121" s="38" t="n">
        <f aca="false">G121/($N121+$U121)</f>
        <v>0.0480079522670958</v>
      </c>
      <c r="AI121" s="39" t="n">
        <f aca="false">I121/($N121+$U121)</f>
        <v>0.783108332750264</v>
      </c>
      <c r="AJ121" s="40" t="n">
        <f aca="false">C121/F121</f>
        <v>1.77586660537883</v>
      </c>
      <c r="AK121" s="40" t="n">
        <f aca="false">D121/G121</f>
        <v>2.22495275907126</v>
      </c>
      <c r="AL121" s="40" t="n">
        <f aca="false">E121/I121</f>
        <v>0.501430537678456</v>
      </c>
      <c r="AM121" s="41"/>
      <c r="AN121" s="42" t="n">
        <f aca="false">AJ121/$V121</f>
        <v>0.222449412804533</v>
      </c>
      <c r="AO121" s="42" t="n">
        <f aca="false">AK121/$V121</f>
        <v>0.278703047444065</v>
      </c>
      <c r="AP121" s="42" t="n">
        <f aca="false">AL121/$V121</f>
        <v>0.0628104207438706</v>
      </c>
      <c r="AQ121" s="42" t="n">
        <f aca="false">AM121/$V121</f>
        <v>0</v>
      </c>
      <c r="AR121" s="43"/>
    </row>
    <row r="122" customFormat="false" ht="18.75" hidden="false" customHeight="true" outlineLevel="0" collapsed="false">
      <c r="A122" s="18" t="n">
        <v>2020</v>
      </c>
      <c r="B122" s="18" t="n">
        <v>12</v>
      </c>
      <c r="C122" s="24" t="n">
        <v>244282.45</v>
      </c>
      <c r="D122" s="24" t="n">
        <v>52966.48</v>
      </c>
      <c r="E122" s="25" t="n">
        <v>165929.02</v>
      </c>
      <c r="F122" s="26" t="n">
        <f aca="false">134433.4+3087.2</f>
        <v>137520.6</v>
      </c>
      <c r="G122" s="26" t="n">
        <v>21429</v>
      </c>
      <c r="H122" s="26"/>
      <c r="I122" s="27" t="n">
        <v>333278.82</v>
      </c>
      <c r="J122" s="27"/>
      <c r="K122" s="28" t="n">
        <f aca="false">N122-L122</f>
        <v>340629</v>
      </c>
      <c r="L122" s="29" t="n">
        <v>37411</v>
      </c>
      <c r="M122" s="30" t="n">
        <f aca="false">L122/N122</f>
        <v>0.0989604274679928</v>
      </c>
      <c r="N122" s="29" t="n">
        <v>378040</v>
      </c>
      <c r="O122" s="31" t="n">
        <v>373597</v>
      </c>
      <c r="P122" s="24" t="n">
        <v>1128200</v>
      </c>
      <c r="Q122" s="32" t="n">
        <v>231</v>
      </c>
      <c r="R122" s="32" t="n">
        <f aca="false">O122/Q122</f>
        <v>1617.30303030303</v>
      </c>
      <c r="S122" s="33" t="n">
        <v>28</v>
      </c>
      <c r="T122" s="29" t="n">
        <f aca="false">N122/S122</f>
        <v>13501.4285714286</v>
      </c>
      <c r="U122" s="29" t="n">
        <v>18620</v>
      </c>
      <c r="V122" s="34" t="n">
        <f aca="false">'$'!C109</f>
        <v>7.718763</v>
      </c>
      <c r="W122" s="35" t="n">
        <f aca="false">SUM(C122:E122)/V122</f>
        <v>60006.7588550134</v>
      </c>
      <c r="X122" s="35" t="n">
        <f aca="false">C122/$V122</f>
        <v>31647.8754432543</v>
      </c>
      <c r="Y122" s="35" t="n">
        <f aca="false">D122/$V122</f>
        <v>6862.04253194456</v>
      </c>
      <c r="Z122" s="35" t="n">
        <f aca="false">E122/$V122</f>
        <v>21496.8408798146</v>
      </c>
      <c r="AA122" s="36" t="n">
        <f aca="false">C122/((N122+U122)*V122)</f>
        <v>0.0797859008804879</v>
      </c>
      <c r="AB122" s="36" t="n">
        <f aca="false">D122/((N122+U122)*V122)</f>
        <v>0.017299557636123</v>
      </c>
      <c r="AC122" s="36" t="n">
        <f aca="false">E122/((N122+U122)*V122)</f>
        <v>0.0541946273378071</v>
      </c>
      <c r="AD122" s="36" t="n">
        <f aca="false">(C122+D122+E122)/((N122+U122)*V122)</f>
        <v>0.151280085854418</v>
      </c>
      <c r="AE122" s="36" t="n">
        <f aca="false">(C122+D122+E122)/((K122+U122)*V122)</f>
        <v>0.167033892523051</v>
      </c>
      <c r="AF122" s="37" t="n">
        <f aca="false">(P122/V122)/K122</f>
        <v>0.429098275787558</v>
      </c>
      <c r="AG122" s="38" t="n">
        <f aca="false">F122/($N122+$U122)</f>
        <v>0.346696415065799</v>
      </c>
      <c r="AH122" s="38" t="n">
        <f aca="false">G122/($N122+$U122)</f>
        <v>0.0540235970352443</v>
      </c>
      <c r="AI122" s="39" t="n">
        <f aca="false">I122/($N122+$U122)</f>
        <v>0.840212827106338</v>
      </c>
      <c r="AJ122" s="40" t="n">
        <f aca="false">C122/F122</f>
        <v>1.77633350930697</v>
      </c>
      <c r="AK122" s="44" t="n">
        <f aca="false">D122/G122</f>
        <v>2.47171963227402</v>
      </c>
      <c r="AL122" s="40" t="n">
        <f aca="false">E122/I122</f>
        <v>0.49786848141145</v>
      </c>
      <c r="AM122" s="41"/>
      <c r="AN122" s="42" t="n">
        <f aca="false">AJ122/$V122</f>
        <v>0.230131888918855</v>
      </c>
      <c r="AO122" s="42" t="n">
        <f aca="false">AK122/$V122</f>
        <v>0.320222247045805</v>
      </c>
      <c r="AP122" s="42" t="n">
        <f aca="false">AL122/$V122</f>
        <v>0.0645010711446186</v>
      </c>
      <c r="AQ122" s="42" t="n">
        <f aca="false">AM122/$V122</f>
        <v>0</v>
      </c>
      <c r="AR122" s="43"/>
    </row>
    <row r="123" customFormat="false" ht="18.75" hidden="false" customHeight="true" outlineLevel="0" collapsed="false">
      <c r="A123" s="18" t="n">
        <v>2021</v>
      </c>
      <c r="B123" s="18" t="n">
        <v>1</v>
      </c>
      <c r="C123" s="24" t="n">
        <v>256401.19</v>
      </c>
      <c r="D123" s="24" t="n">
        <v>59364.04</v>
      </c>
      <c r="E123" s="25" t="n">
        <v>161129.09</v>
      </c>
      <c r="F123" s="26" t="n">
        <v>144590.72</v>
      </c>
      <c r="G123" s="26" t="n">
        <v>21980</v>
      </c>
      <c r="H123" s="26"/>
      <c r="I123" s="27" t="n">
        <v>309867.39</v>
      </c>
      <c r="J123" s="27"/>
      <c r="K123" s="28" t="n">
        <f aca="false">N123-L123</f>
        <v>307143</v>
      </c>
      <c r="L123" s="29" t="n">
        <v>25441</v>
      </c>
      <c r="M123" s="30" t="n">
        <f aca="false">L123/N123</f>
        <v>0.0764949606715897</v>
      </c>
      <c r="N123" s="29" t="n">
        <v>332584</v>
      </c>
      <c r="O123" s="31" t="n">
        <v>312942</v>
      </c>
      <c r="P123" s="24" t="n">
        <v>1445235</v>
      </c>
      <c r="Q123" s="32" t="n">
        <v>248</v>
      </c>
      <c r="R123" s="32" t="n">
        <f aca="false">O123/Q123</f>
        <v>1261.86290322581</v>
      </c>
      <c r="S123" s="33" t="n">
        <v>26</v>
      </c>
      <c r="T123" s="29" t="n">
        <f aca="false">N123/S123</f>
        <v>12791.6923076923</v>
      </c>
      <c r="U123" s="29" t="n">
        <v>26820</v>
      </c>
      <c r="V123" s="34" t="n">
        <f aca="false">'$'!C110</f>
        <v>7.403641</v>
      </c>
      <c r="W123" s="35" t="n">
        <f aca="false">SUM(C123:E123)/V123</f>
        <v>64413.4852027536</v>
      </c>
      <c r="X123" s="35" t="n">
        <f aca="false">C123/$V123</f>
        <v>34631.7696927768</v>
      </c>
      <c r="Y123" s="35" t="n">
        <f aca="false">D123/$V123</f>
        <v>8018.22238544522</v>
      </c>
      <c r="Z123" s="35" t="n">
        <f aca="false">E123/$V123</f>
        <v>21763.4931245316</v>
      </c>
      <c r="AA123" s="36" t="n">
        <f aca="false">C123/((N123+U123)*V123)</f>
        <v>0.0963588877496545</v>
      </c>
      <c r="AB123" s="36" t="n">
        <f aca="false">D123/((N123+U123)*V123)</f>
        <v>0.0223097750315667</v>
      </c>
      <c r="AC123" s="36" t="n">
        <f aca="false">E123/((N123+U123)*V123)</f>
        <v>0.0605543987393896</v>
      </c>
      <c r="AD123" s="36" t="n">
        <f aca="false">(C123+D123+E123)/((N123+U123)*V123)</f>
        <v>0.179223061520611</v>
      </c>
      <c r="AE123" s="36" t="n">
        <f aca="false">(C123+D123+E123)/((K123+U123)*V123)</f>
        <v>0.1928761126315</v>
      </c>
      <c r="AF123" s="37" t="n">
        <f aca="false">(P123/V123)/K123</f>
        <v>0.635554059212903</v>
      </c>
      <c r="AG123" s="38" t="n">
        <f aca="false">F123/($N123+$U123)</f>
        <v>0.402306930362489</v>
      </c>
      <c r="AH123" s="38" t="n">
        <f aca="false">G123/($N123+$U123)</f>
        <v>0.0611568040422477</v>
      </c>
      <c r="AI123" s="39" t="n">
        <f aca="false">I123/($N123+$U123)</f>
        <v>0.862170120532882</v>
      </c>
      <c r="AJ123" s="40" t="n">
        <f aca="false">C123/F123</f>
        <v>1.77328939229295</v>
      </c>
      <c r="AK123" s="44" t="n">
        <f aca="false">D123/G123</f>
        <v>2.70082074613285</v>
      </c>
      <c r="AL123" s="40" t="n">
        <f aca="false">E123/I123</f>
        <v>0.519993697949307</v>
      </c>
      <c r="AM123" s="41"/>
      <c r="AN123" s="42" t="n">
        <f aca="false">AJ123/$V123</f>
        <v>0.239515853387941</v>
      </c>
      <c r="AO123" s="42" t="n">
        <f aca="false">AK123/$V123</f>
        <v>0.364796286871939</v>
      </c>
      <c r="AP123" s="42" t="n">
        <f aca="false">AL123/$V123</f>
        <v>0.0702348611918523</v>
      </c>
      <c r="AQ123" s="42" t="n">
        <f aca="false">AM123/$V123</f>
        <v>0</v>
      </c>
      <c r="AR123" s="43"/>
    </row>
    <row r="124" customFormat="false" ht="18.75" hidden="false" customHeight="true" outlineLevel="0" collapsed="false">
      <c r="A124" s="18" t="n">
        <v>2021</v>
      </c>
      <c r="B124" s="18" t="n">
        <v>2</v>
      </c>
      <c r="C124" s="24" t="n">
        <v>263686.84</v>
      </c>
      <c r="D124" s="24" t="n">
        <v>52214.75</v>
      </c>
      <c r="E124" s="25" t="n">
        <v>183117.86</v>
      </c>
      <c r="F124" s="26" t="n">
        <v>147244.61</v>
      </c>
      <c r="G124" s="26" t="n">
        <v>22988</v>
      </c>
      <c r="H124" s="26"/>
      <c r="I124" s="27" t="n">
        <v>345333.24</v>
      </c>
      <c r="J124" s="27"/>
      <c r="K124" s="28" t="n">
        <f aca="false">N124-L124</f>
        <v>327401</v>
      </c>
      <c r="L124" s="29" t="n">
        <v>28758</v>
      </c>
      <c r="M124" s="30" t="n">
        <f aca="false">L124/N124</f>
        <v>0.0807448358738653</v>
      </c>
      <c r="N124" s="29" t="n">
        <v>356159</v>
      </c>
      <c r="O124" s="31" t="n">
        <v>346194</v>
      </c>
      <c r="P124" s="24" t="n">
        <v>1408916</v>
      </c>
      <c r="Q124" s="32" t="n">
        <v>240</v>
      </c>
      <c r="R124" s="32" t="n">
        <f aca="false">O124/Q124</f>
        <v>1442.475</v>
      </c>
      <c r="S124" s="33" t="n">
        <v>28</v>
      </c>
      <c r="T124" s="29" t="n">
        <f aca="false">N124/S124</f>
        <v>12719.9642857143</v>
      </c>
      <c r="U124" s="29" t="n">
        <v>26799</v>
      </c>
      <c r="V124" s="34" t="n">
        <f aca="false">'$'!C111</f>
        <v>7.099851</v>
      </c>
      <c r="W124" s="35" t="n">
        <f aca="false">SUM(C124:E124)/V124</f>
        <v>70285.9045915189</v>
      </c>
      <c r="X124" s="35" t="n">
        <f aca="false">C124/$V124</f>
        <v>37139.7709613906</v>
      </c>
      <c r="Y124" s="35" t="n">
        <f aca="false">D124/$V124</f>
        <v>7354.3444784968</v>
      </c>
      <c r="Z124" s="35" t="n">
        <f aca="false">E124/$V124</f>
        <v>25791.7891516315</v>
      </c>
      <c r="AA124" s="36" t="n">
        <f aca="false">C124/((N124+U124)*V124)</f>
        <v>0.0969813163881956</v>
      </c>
      <c r="AB124" s="36" t="n">
        <f aca="false">D124/((N124+U124)*V124)</f>
        <v>0.0192040497352107</v>
      </c>
      <c r="AC124" s="36" t="n">
        <f aca="false">E124/((N124+U124)*V124)</f>
        <v>0.0673488715515317</v>
      </c>
      <c r="AD124" s="36" t="n">
        <f aca="false">(C124+D124+E124)/((N124+U124)*V124)</f>
        <v>0.183534237674938</v>
      </c>
      <c r="AE124" s="36" t="n">
        <f aca="false">(C124+D124+E124)/((K124+U124)*V124)</f>
        <v>0.198435642550872</v>
      </c>
      <c r="AF124" s="37" t="n">
        <f aca="false">(P124/V124)/K124</f>
        <v>0.606116162590392</v>
      </c>
      <c r="AG124" s="38" t="n">
        <f aca="false">F124/($N124+$U124)</f>
        <v>0.384492842557147</v>
      </c>
      <c r="AH124" s="38" t="n">
        <f aca="false">G124/($N124+$U124)</f>
        <v>0.0600274703753414</v>
      </c>
      <c r="AI124" s="39" t="n">
        <f aca="false">I124/($N124+$U124)</f>
        <v>0.901752254816455</v>
      </c>
      <c r="AJ124" s="40" t="n">
        <f aca="false">C124/F124</f>
        <v>1.79080809817079</v>
      </c>
      <c r="AK124" s="40" t="n">
        <f aca="false">D124/G124</f>
        <v>2.2713915956151</v>
      </c>
      <c r="AL124" s="40" t="n">
        <f aca="false">E124/I124</f>
        <v>0.530264216673726</v>
      </c>
      <c r="AM124" s="41"/>
      <c r="AN124" s="42" t="n">
        <f aca="false">AJ124/$V124</f>
        <v>0.252231786015058</v>
      </c>
      <c r="AO124" s="42" t="n">
        <f aca="false">AK124/$V124</f>
        <v>0.319921023077119</v>
      </c>
      <c r="AP124" s="42" t="n">
        <f aca="false">AL124/$V124</f>
        <v>0.074686668308071</v>
      </c>
      <c r="AQ124" s="42" t="n">
        <f aca="false">AM124/$V124</f>
        <v>0</v>
      </c>
      <c r="AR124" s="43"/>
    </row>
    <row r="125" customFormat="false" ht="18.75" hidden="false" customHeight="true" outlineLevel="0" collapsed="false">
      <c r="A125" s="18" t="n">
        <v>2021</v>
      </c>
      <c r="B125" s="18" t="n">
        <v>3</v>
      </c>
      <c r="C125" s="24" t="n">
        <v>276404.32</v>
      </c>
      <c r="D125" s="24" t="n">
        <v>64556.11</v>
      </c>
      <c r="E125" s="25" t="n">
        <v>237464.89</v>
      </c>
      <c r="F125" s="26" t="n">
        <v>152827.49</v>
      </c>
      <c r="G125" s="26" t="n">
        <v>26147</v>
      </c>
      <c r="H125" s="26"/>
      <c r="I125" s="27" t="n">
        <v>408137.94</v>
      </c>
      <c r="J125" s="27"/>
      <c r="K125" s="28" t="n">
        <f aca="false">N125-L125</f>
        <v>344040</v>
      </c>
      <c r="L125" s="29" t="n">
        <v>15598</v>
      </c>
      <c r="M125" s="30" t="n">
        <f aca="false">L125/N125</f>
        <v>0.0433713901200652</v>
      </c>
      <c r="N125" s="29" t="n">
        <v>359638</v>
      </c>
      <c r="O125" s="31" t="n">
        <v>355813</v>
      </c>
      <c r="P125" s="24" t="n">
        <v>1591717</v>
      </c>
      <c r="Q125" s="32" t="n">
        <v>256</v>
      </c>
      <c r="R125" s="32" t="n">
        <f aca="false">O125/Q125</f>
        <v>1389.89453125</v>
      </c>
      <c r="S125" s="33" t="n">
        <v>31</v>
      </c>
      <c r="T125" s="29" t="n">
        <f aca="false">N125/S125</f>
        <v>11601.2258064516</v>
      </c>
      <c r="U125" s="29" t="n">
        <v>33969</v>
      </c>
      <c r="V125" s="34" t="n">
        <f aca="false">'$'!C112</f>
        <v>7.64142</v>
      </c>
      <c r="W125" s="35" t="n">
        <f aca="false">SUM(C125:E125)/V125</f>
        <v>75696.0512574888</v>
      </c>
      <c r="X125" s="35" t="n">
        <f aca="false">C125/$V125</f>
        <v>36171.8528755127</v>
      </c>
      <c r="Y125" s="35" t="n">
        <f aca="false">D125/$V125</f>
        <v>8448.18240588791</v>
      </c>
      <c r="Z125" s="35" t="n">
        <f aca="false">E125/$V125</f>
        <v>31076.0159760882</v>
      </c>
      <c r="AA125" s="36" t="n">
        <f aca="false">C125/((N125+U125)*V125)</f>
        <v>0.0918983983402548</v>
      </c>
      <c r="AB125" s="36" t="n">
        <f aca="false">D125/((N125+U125)*V125)</f>
        <v>0.0214634963450546</v>
      </c>
      <c r="AC125" s="36" t="n">
        <f aca="false">E125/((N125+U125)*V125)</f>
        <v>0.0789518884981421</v>
      </c>
      <c r="AD125" s="36" t="n">
        <f aca="false">(C125+D125+E125)/((N125+U125)*V125)</f>
        <v>0.192313783183452</v>
      </c>
      <c r="AE125" s="36" t="n">
        <f aca="false">(C125+D125+E125)/((K125+U125)*V125)</f>
        <v>0.200249336014457</v>
      </c>
      <c r="AF125" s="37" t="n">
        <f aca="false">(P125/V125)/K125</f>
        <v>0.605456359135067</v>
      </c>
      <c r="AG125" s="38" t="n">
        <f aca="false">F125/($N125+$U125)</f>
        <v>0.388274319308346</v>
      </c>
      <c r="AH125" s="38" t="n">
        <f aca="false">G125/($N125+$U125)</f>
        <v>0.0664292047651592</v>
      </c>
      <c r="AI125" s="39" t="n">
        <f aca="false">I125/($N125+$U125)</f>
        <v>1.03691738205875</v>
      </c>
      <c r="AJ125" s="40" t="n">
        <f aca="false">C125/F125</f>
        <v>1.80860341290693</v>
      </c>
      <c r="AK125" s="40" t="n">
        <f aca="false">D125/G125</f>
        <v>2.46896814166061</v>
      </c>
      <c r="AL125" s="40" t="n">
        <f aca="false">E125/I125</f>
        <v>0.581825081000801</v>
      </c>
      <c r="AM125" s="41"/>
      <c r="AN125" s="42" t="n">
        <f aca="false">AJ125/$V125</f>
        <v>0.236684204363447</v>
      </c>
      <c r="AO125" s="42" t="n">
        <f aca="false">AK125/$V125</f>
        <v>0.323103316093162</v>
      </c>
      <c r="AP125" s="42" t="n">
        <f aca="false">AL125/$V125</f>
        <v>0.0761409634597759</v>
      </c>
      <c r="AQ125" s="42" t="n">
        <f aca="false">AM125/$V125</f>
        <v>0</v>
      </c>
      <c r="AR125" s="43"/>
    </row>
    <row r="126" customFormat="false" ht="18.75" hidden="false" customHeight="true" outlineLevel="0" collapsed="false">
      <c r="A126" s="18" t="n">
        <v>2021</v>
      </c>
      <c r="B126" s="18" t="n">
        <v>4</v>
      </c>
      <c r="C126" s="24" t="n">
        <v>251386.34</v>
      </c>
      <c r="D126" s="24" t="n">
        <v>57481.61</v>
      </c>
      <c r="E126" s="25" t="n">
        <v>229720.49</v>
      </c>
      <c r="F126" s="26" t="n">
        <v>137640.66</v>
      </c>
      <c r="G126" s="26" t="n">
        <v>24104</v>
      </c>
      <c r="H126" s="26"/>
      <c r="I126" s="27" t="n">
        <v>393344.919</v>
      </c>
      <c r="J126" s="27"/>
      <c r="K126" s="28" t="n">
        <f aca="false">N126-L126</f>
        <v>356316</v>
      </c>
      <c r="L126" s="29" t="n">
        <v>24188</v>
      </c>
      <c r="M126" s="30" t="n">
        <f aca="false">L126/N126</f>
        <v>0.0635683199125371</v>
      </c>
      <c r="N126" s="28" t="n">
        <v>380504</v>
      </c>
      <c r="O126" s="31" t="n">
        <v>370600</v>
      </c>
      <c r="P126" s="24" t="n">
        <v>1752000</v>
      </c>
      <c r="Q126" s="32" t="n">
        <v>282</v>
      </c>
      <c r="R126" s="32" t="n">
        <f aca="false">O126/Q126</f>
        <v>1314.18439716312</v>
      </c>
      <c r="S126" s="33" t="n">
        <v>30</v>
      </c>
      <c r="T126" s="29" t="n">
        <f aca="false">N126/S126</f>
        <v>12683.4666666667</v>
      </c>
      <c r="U126" s="29" t="n">
        <v>24241</v>
      </c>
      <c r="V126" s="34" t="n">
        <f aca="false">'$'!C113</f>
        <v>8.183046</v>
      </c>
      <c r="W126" s="35" t="n">
        <f aca="false">SUM(C126:E126)/V126</f>
        <v>65817.5989723142</v>
      </c>
      <c r="X126" s="35" t="n">
        <f aca="false">C126/$V126</f>
        <v>30720.3870050346</v>
      </c>
      <c r="Y126" s="35" t="n">
        <f aca="false">D126/$V126</f>
        <v>7024.475971417</v>
      </c>
      <c r="Z126" s="35" t="n">
        <f aca="false">E126/$V126</f>
        <v>28072.7359958627</v>
      </c>
      <c r="AA126" s="36" t="n">
        <f aca="false">C126/((N126+U126)*V126)</f>
        <v>0.0759005966844175</v>
      </c>
      <c r="AB126" s="36" t="n">
        <f aca="false">D126/((N126+U126)*V126)</f>
        <v>0.0173553125336125</v>
      </c>
      <c r="AC126" s="36" t="n">
        <f aca="false">E126/((N126+U126)*V126)</f>
        <v>0.0693590680449732</v>
      </c>
      <c r="AD126" s="36" t="n">
        <f aca="false">(C126+D126+E126)/((N126+U126)*V126)</f>
        <v>0.162614977263003</v>
      </c>
      <c r="AE126" s="36" t="n">
        <f aca="false">(C126+D126+E126)/((K126+U126)*V126)</f>
        <v>0.172950698508539</v>
      </c>
      <c r="AF126" s="37" t="n">
        <f aca="false">(P126/V126)/K126</f>
        <v>0.600874515540526</v>
      </c>
      <c r="AG126" s="38" t="n">
        <f aca="false">F126/($N126+$U126)</f>
        <v>0.340067598117333</v>
      </c>
      <c r="AH126" s="38" t="n">
        <f aca="false">G126/($N126+$U126)</f>
        <v>0.0595535460598649</v>
      </c>
      <c r="AI126" s="39" t="n">
        <f aca="false">I126/($N126+$U126)</f>
        <v>0.971833917651855</v>
      </c>
      <c r="AJ126" s="40" t="n">
        <f aca="false">C126/F126</f>
        <v>1.82639592108902</v>
      </c>
      <c r="AK126" s="40" t="n">
        <f aca="false">D126/G126</f>
        <v>2.38473323929638</v>
      </c>
      <c r="AL126" s="40" t="n">
        <f aca="false">E126/I126</f>
        <v>0.584017941769829</v>
      </c>
      <c r="AM126" s="41"/>
      <c r="AN126" s="42" t="n">
        <f aca="false">AJ126/$V126</f>
        <v>0.223192674352437</v>
      </c>
      <c r="AO126" s="42" t="n">
        <f aca="false">AK126/$V126</f>
        <v>0.291423662936318</v>
      </c>
      <c r="AP126" s="42" t="n">
        <f aca="false">AL126/$V126</f>
        <v>0.0713692605137291</v>
      </c>
      <c r="AQ126" s="42" t="n">
        <f aca="false">AM126/$V126</f>
        <v>0</v>
      </c>
      <c r="AR126" s="43"/>
    </row>
    <row r="127" customFormat="false" ht="18.75" hidden="false" customHeight="true" outlineLevel="0" collapsed="false">
      <c r="A127" s="18" t="n">
        <v>2021</v>
      </c>
      <c r="B127" s="18" t="n">
        <v>5</v>
      </c>
      <c r="C127" s="24" t="n">
        <v>219375.28</v>
      </c>
      <c r="D127" s="24" t="n">
        <v>54566.85</v>
      </c>
      <c r="E127" s="25" t="n">
        <v>240591.85</v>
      </c>
      <c r="F127" s="26" t="n">
        <v>118300.97</v>
      </c>
      <c r="G127" s="26" t="n">
        <v>21535</v>
      </c>
      <c r="H127" s="26"/>
      <c r="I127" s="27" t="n">
        <v>355123.44</v>
      </c>
      <c r="J127" s="27"/>
      <c r="K127" s="28" t="n">
        <f aca="false">N127-L127</f>
        <v>331723</v>
      </c>
      <c r="L127" s="29" t="n">
        <v>20590</v>
      </c>
      <c r="M127" s="30" t="n">
        <f aca="false">L127/N127</f>
        <v>0.0584423509776818</v>
      </c>
      <c r="N127" s="29" t="n">
        <v>352313</v>
      </c>
      <c r="O127" s="31" t="n">
        <v>349065</v>
      </c>
      <c r="P127" s="24" t="n">
        <v>1743672</v>
      </c>
      <c r="Q127" s="32" t="n">
        <v>273</v>
      </c>
      <c r="R127" s="32" t="n">
        <f aca="false">O127/Q127</f>
        <v>1278.62637362637</v>
      </c>
      <c r="S127" s="33" t="n">
        <v>29</v>
      </c>
      <c r="T127" s="29" t="n">
        <f aca="false">N127/S127</f>
        <v>12148.724137931</v>
      </c>
      <c r="U127" s="29" t="n">
        <v>23072</v>
      </c>
      <c r="V127" s="34" t="n">
        <f aca="false">'$'!C114</f>
        <v>8.384721</v>
      </c>
      <c r="W127" s="35" t="n">
        <f aca="false">SUM(C127:E127)/V127</f>
        <v>61365.6649994675</v>
      </c>
      <c r="X127" s="35" t="n">
        <f aca="false">C127/$V127</f>
        <v>26163.6946536444</v>
      </c>
      <c r="Y127" s="35" t="n">
        <f aca="false">D127/$V127</f>
        <v>6507.89096023589</v>
      </c>
      <c r="Z127" s="35" t="n">
        <f aca="false">E127/$V127</f>
        <v>28694.0793855872</v>
      </c>
      <c r="AA127" s="36" t="n">
        <f aca="false">C127/((N127+U127)*V127)</f>
        <v>0.0696982954930123</v>
      </c>
      <c r="AB127" s="36" t="n">
        <f aca="false">D127/((N127+U127)*V127)</f>
        <v>0.0173365770082339</v>
      </c>
      <c r="AC127" s="36" t="n">
        <f aca="false">E127/((N127+U127)*V127)</f>
        <v>0.0764390675855114</v>
      </c>
      <c r="AD127" s="36" t="n">
        <f aca="false">(C127+D127+E127)/((N127+U127)*V127)</f>
        <v>0.163473940086758</v>
      </c>
      <c r="AE127" s="36" t="n">
        <f aca="false">(C127+D127+E127)/((K127+U127)*V127)</f>
        <v>0.172960907001134</v>
      </c>
      <c r="AF127" s="37" t="n">
        <f aca="false">(P127/V127)/K127</f>
        <v>0.626903353771077</v>
      </c>
      <c r="AG127" s="38" t="n">
        <f aca="false">F127/($N127+$U127)</f>
        <v>0.315145703744156</v>
      </c>
      <c r="AH127" s="38" t="n">
        <f aca="false">G127/($N127+$U127)</f>
        <v>0.0573677690904005</v>
      </c>
      <c r="AI127" s="39" t="n">
        <f aca="false">I127/($N127+$U127)</f>
        <v>0.946024588089561</v>
      </c>
      <c r="AJ127" s="40" t="n">
        <f aca="false">C127/F127</f>
        <v>1.85438276626134</v>
      </c>
      <c r="AK127" s="40" t="n">
        <f aca="false">D127/G127</f>
        <v>2.53386812166241</v>
      </c>
      <c r="AL127" s="44" t="n">
        <f aca="false">E127/I127</f>
        <v>0.677487946163171</v>
      </c>
      <c r="AM127" s="45"/>
      <c r="AN127" s="42" t="n">
        <f aca="false">AJ127/$V127</f>
        <v>0.221162131245791</v>
      </c>
      <c r="AO127" s="42" t="n">
        <f aca="false">AK127/$V127</f>
        <v>0.302200648257993</v>
      </c>
      <c r="AP127" s="42" t="n">
        <f aca="false">AL127/$V127</f>
        <v>0.0808002968927852</v>
      </c>
      <c r="AQ127" s="42" t="n">
        <f aca="false">AM127/$V127</f>
        <v>0</v>
      </c>
      <c r="AR127" s="43"/>
    </row>
    <row r="128" customFormat="false" ht="18.75" hidden="false" customHeight="true" outlineLevel="0" collapsed="false">
      <c r="A128" s="18" t="n">
        <v>2021</v>
      </c>
      <c r="B128" s="18" t="n">
        <v>6</v>
      </c>
      <c r="C128" s="24" t="n">
        <v>231977.76</v>
      </c>
      <c r="D128" s="24" t="n">
        <v>62114.75</v>
      </c>
      <c r="E128" s="25" t="n">
        <v>258583.43</v>
      </c>
      <c r="F128" s="26" t="n">
        <v>124535.4</v>
      </c>
      <c r="G128" s="26" t="n">
        <v>25706</v>
      </c>
      <c r="H128" s="26"/>
      <c r="I128" s="27" t="n">
        <v>381570.21</v>
      </c>
      <c r="J128" s="27"/>
      <c r="K128" s="28" t="n">
        <f aca="false">N128-L128</f>
        <v>327453</v>
      </c>
      <c r="L128" s="29" t="n">
        <v>17200</v>
      </c>
      <c r="M128" s="30" t="n">
        <f aca="false">L128/N128</f>
        <v>0.0499052670367007</v>
      </c>
      <c r="N128" s="29" t="n">
        <v>344653</v>
      </c>
      <c r="O128" s="31" t="n">
        <v>352859</v>
      </c>
      <c r="P128" s="24" t="n">
        <v>1696788</v>
      </c>
      <c r="Q128" s="32" t="n">
        <v>292</v>
      </c>
      <c r="R128" s="32" t="n">
        <f aca="false">O128/Q128</f>
        <v>1208.42123287671</v>
      </c>
      <c r="S128" s="33" t="n">
        <v>29</v>
      </c>
      <c r="T128" s="29" t="n">
        <f aca="false">N128/S128</f>
        <v>11884.5862068966</v>
      </c>
      <c r="U128" s="29" t="n">
        <v>36250</v>
      </c>
      <c r="V128" s="34" t="n">
        <f aca="false">'$'!C115</f>
        <v>8.631709</v>
      </c>
      <c r="W128" s="35" t="n">
        <f aca="false">SUM(C128:E128)/V128</f>
        <v>64028.5649110738</v>
      </c>
      <c r="X128" s="35" t="n">
        <f aca="false">C128/$V128</f>
        <v>26875.067266517</v>
      </c>
      <c r="Y128" s="35" t="n">
        <f aca="false">D128/$V128</f>
        <v>7196.11261223009</v>
      </c>
      <c r="Z128" s="35" t="n">
        <f aca="false">E128/$V128</f>
        <v>29957.3850323267</v>
      </c>
      <c r="AA128" s="36" t="n">
        <f aca="false">C128/((N128+U128)*V128)</f>
        <v>0.0705561974216979</v>
      </c>
      <c r="AB128" s="36" t="n">
        <f aca="false">D128/((N128+U128)*V128)</f>
        <v>0.0188922445142992</v>
      </c>
      <c r="AC128" s="36" t="n">
        <f aca="false">E128/((N128+U128)*V128)</f>
        <v>0.0786483304996987</v>
      </c>
      <c r="AD128" s="36" t="n">
        <f aca="false">(C128+D128+E128)/((N128+U128)*V128)</f>
        <v>0.168096772435696</v>
      </c>
      <c r="AE128" s="36" t="n">
        <f aca="false">(C128+D128+E128)/((K128+U128)*V128)</f>
        <v>0.176046293022257</v>
      </c>
      <c r="AF128" s="37" t="n">
        <f aca="false">(P128/V128)/K128</f>
        <v>0.600318628120539</v>
      </c>
      <c r="AG128" s="38" t="n">
        <f aca="false">F128/($N128+$U128)</f>
        <v>0.326947805609302</v>
      </c>
      <c r="AH128" s="38" t="n">
        <f aca="false">G128/($N128+$U128)</f>
        <v>0.067486998002116</v>
      </c>
      <c r="AI128" s="39" t="n">
        <f aca="false">I128/($N128+$U128)</f>
        <v>1.00175165330806</v>
      </c>
      <c r="AJ128" s="40" t="n">
        <f aca="false">C128/F128</f>
        <v>1.86274553259555</v>
      </c>
      <c r="AK128" s="40" t="n">
        <f aca="false">D128/G128</f>
        <v>2.41635221349101</v>
      </c>
      <c r="AL128" s="40" t="n">
        <f aca="false">E128/I128</f>
        <v>0.677682437525718</v>
      </c>
      <c r="AM128" s="41"/>
      <c r="AN128" s="42" t="n">
        <f aca="false">AJ128/$V128</f>
        <v>0.215802633359808</v>
      </c>
      <c r="AO128" s="42" t="n">
        <f aca="false">AK128/$V128</f>
        <v>0.279939026384116</v>
      </c>
      <c r="AP128" s="42" t="n">
        <f aca="false">AL128/$V128</f>
        <v>0.0785108067852748</v>
      </c>
      <c r="AQ128" s="42" t="n">
        <f aca="false">AM128/$V128</f>
        <v>0</v>
      </c>
      <c r="AR128" s="43"/>
    </row>
    <row r="129" customFormat="false" ht="18.75" hidden="false" customHeight="true" outlineLevel="0" collapsed="false">
      <c r="A129" s="18" t="n">
        <v>2021</v>
      </c>
      <c r="B129" s="18" t="n">
        <v>7</v>
      </c>
      <c r="C129" s="24" t="n">
        <v>213290.7</v>
      </c>
      <c r="D129" s="24" t="n">
        <v>56146.58</v>
      </c>
      <c r="E129" s="25" t="n">
        <v>234133.04</v>
      </c>
      <c r="F129" s="26" t="n">
        <v>95853.85</v>
      </c>
      <c r="G129" s="26" t="n">
        <v>22891</v>
      </c>
      <c r="H129" s="26"/>
      <c r="I129" s="27" t="n">
        <v>299903.31</v>
      </c>
      <c r="J129" s="27"/>
      <c r="K129" s="28" t="n">
        <f aca="false">N129-L129</f>
        <v>206224</v>
      </c>
      <c r="L129" s="29" t="n">
        <v>27943</v>
      </c>
      <c r="M129" s="30" t="n">
        <f aca="false">L129/N129</f>
        <v>0.11932936750268</v>
      </c>
      <c r="N129" s="29" t="n">
        <v>234167</v>
      </c>
      <c r="O129" s="31" t="n">
        <v>214528</v>
      </c>
      <c r="P129" s="24" t="n">
        <v>1920973</v>
      </c>
      <c r="Q129" s="32" t="n">
        <v>285</v>
      </c>
      <c r="R129" s="32" t="n">
        <f aca="false">O129/Q129</f>
        <v>752.729824561404</v>
      </c>
      <c r="S129" s="33" t="n">
        <v>28</v>
      </c>
      <c r="T129" s="29" t="n">
        <f aca="false">N129/S129</f>
        <v>8363.10714285714</v>
      </c>
      <c r="U129" s="29" t="n">
        <v>21242</v>
      </c>
      <c r="V129" s="34" t="n">
        <f aca="false">'$'!C116</f>
        <v>8.605101</v>
      </c>
      <c r="W129" s="35" t="n">
        <f aca="false">SUM(C129:E129)/V129</f>
        <v>58519.977859644</v>
      </c>
      <c r="X129" s="35" t="n">
        <f aca="false">C129/$V129</f>
        <v>24786.5423078706</v>
      </c>
      <c r="Y129" s="35" t="n">
        <f aca="false">D129/$V129</f>
        <v>6524.80197501459</v>
      </c>
      <c r="Z129" s="35" t="n">
        <f aca="false">E129/$V129</f>
        <v>27208.6335767587</v>
      </c>
      <c r="AA129" s="36" t="n">
        <f aca="false">C129/((N129+U129)*V129)</f>
        <v>0.0970464717683036</v>
      </c>
      <c r="AB129" s="36" t="n">
        <f aca="false">D129/((N129+U129)*V129)</f>
        <v>0.0255464841685868</v>
      </c>
      <c r="AC129" s="36" t="n">
        <f aca="false">E129/((N129+U129)*V129)</f>
        <v>0.106529658613278</v>
      </c>
      <c r="AD129" s="36" t="n">
        <f aca="false">(C129+D129+E129)/((N129+U129)*V129)</f>
        <v>0.229122614550168</v>
      </c>
      <c r="AE129" s="36" t="n">
        <f aca="false">(C129+D129+E129)/((K129+U129)*V129)</f>
        <v>0.257269120922001</v>
      </c>
      <c r="AF129" s="37" t="n">
        <f aca="false">(P129/V129)/K129</f>
        <v>1.08249545673174</v>
      </c>
      <c r="AG129" s="38" t="n">
        <f aca="false">F129/($N129+$U129)</f>
        <v>0.375295506423031</v>
      </c>
      <c r="AH129" s="38" t="n">
        <f aca="false">G129/($N129+$U129)</f>
        <v>0.0896248761789913</v>
      </c>
      <c r="AI129" s="39" t="n">
        <f aca="false">I129/($N129+$U129)</f>
        <v>1.17420807410859</v>
      </c>
      <c r="AJ129" s="44" t="n">
        <f aca="false">C129/F129</f>
        <v>2.22516570800234</v>
      </c>
      <c r="AK129" s="40" t="n">
        <f aca="false">D129/G129</f>
        <v>2.45277969507667</v>
      </c>
      <c r="AL129" s="44" t="n">
        <f aca="false">E129/I129</f>
        <v>0.780695084692463</v>
      </c>
      <c r="AM129" s="45"/>
      <c r="AN129" s="42" t="n">
        <f aca="false">AJ129/$V129</f>
        <v>0.258586820538462</v>
      </c>
      <c r="AO129" s="42" t="n">
        <f aca="false">AK129/$V129</f>
        <v>0.285037874055943</v>
      </c>
      <c r="AP129" s="42" t="n">
        <f aca="false">AL129/$V129</f>
        <v>0.0907246858221029</v>
      </c>
      <c r="AQ129" s="42" t="n">
        <f aca="false">AM129/$V129</f>
        <v>0</v>
      </c>
      <c r="AR129" s="43"/>
    </row>
    <row r="130" customFormat="false" ht="18.75" hidden="false" customHeight="true" outlineLevel="0" collapsed="false">
      <c r="A130" s="18" t="n">
        <v>2021</v>
      </c>
      <c r="B130" s="18" t="n">
        <v>8</v>
      </c>
      <c r="C130" s="24" t="n">
        <v>255892.59</v>
      </c>
      <c r="D130" s="24" t="n">
        <v>50916.95</v>
      </c>
      <c r="E130" s="25" t="n">
        <v>294380.3</v>
      </c>
      <c r="F130" s="26" t="n">
        <v>114974.47</v>
      </c>
      <c r="G130" s="26" t="n">
        <v>23459</v>
      </c>
      <c r="H130" s="26"/>
      <c r="I130" s="27" t="n">
        <v>358650.18</v>
      </c>
      <c r="J130" s="27"/>
      <c r="K130" s="28" t="n">
        <f aca="false">N130-L130</f>
        <v>272828</v>
      </c>
      <c r="L130" s="29" t="n">
        <v>23459</v>
      </c>
      <c r="M130" s="30" t="n">
        <f aca="false">L130/N130</f>
        <v>0.0791766091661126</v>
      </c>
      <c r="N130" s="29" t="n">
        <v>296287</v>
      </c>
      <c r="O130" s="31" t="n">
        <v>265287</v>
      </c>
      <c r="P130" s="24" t="n">
        <v>1749734</v>
      </c>
      <c r="Q130" s="32" t="n">
        <v>286</v>
      </c>
      <c r="R130" s="32" t="n">
        <f aca="false">O130/Q130</f>
        <v>927.576923076923</v>
      </c>
      <c r="S130" s="33" t="n">
        <v>31</v>
      </c>
      <c r="T130" s="29" t="n">
        <f aca="false">N130/S130</f>
        <v>9557.64516129032</v>
      </c>
      <c r="U130" s="29" t="n">
        <v>19293</v>
      </c>
      <c r="V130" s="34" t="n">
        <f aca="false">'$'!C117</f>
        <v>8.484798</v>
      </c>
      <c r="W130" s="35" t="n">
        <f aca="false">SUM(C130:E130)/V130</f>
        <v>70854.9384440266</v>
      </c>
      <c r="X130" s="35" t="n">
        <f aca="false">C130/$V130</f>
        <v>30158.9489814607</v>
      </c>
      <c r="Y130" s="35" t="n">
        <f aca="false">D130/$V130</f>
        <v>6000.96195572364</v>
      </c>
      <c r="Z130" s="35" t="n">
        <f aca="false">E130/$V130</f>
        <v>34695.0275068422</v>
      </c>
      <c r="AA130" s="36" t="n">
        <f aca="false">C130/((N130+U130)*V130)</f>
        <v>0.0955667310395485</v>
      </c>
      <c r="AB130" s="36" t="n">
        <f aca="false">D130/((N130+U130)*V130)</f>
        <v>0.0190156599142013</v>
      </c>
      <c r="AC130" s="36" t="n">
        <f aca="false">E130/((N130+U130)*V130)</f>
        <v>0.109940514312828</v>
      </c>
      <c r="AD130" s="36" t="n">
        <f aca="false">(C130+D130+E130)/((N130+U130)*V130)</f>
        <v>0.224522905266578</v>
      </c>
      <c r="AE130" s="36" t="n">
        <f aca="false">(C130+D130+E130)/((K130+U130)*V130)</f>
        <v>0.242553388643838</v>
      </c>
      <c r="AF130" s="37" t="n">
        <f aca="false">(P130/V130)/K130</f>
        <v>0.75586038459494</v>
      </c>
      <c r="AG130" s="38" t="n">
        <f aca="false">F130/($N130+$U130)</f>
        <v>0.364327492236517</v>
      </c>
      <c r="AH130" s="38" t="n">
        <f aca="false">G130/($N130+$U130)</f>
        <v>0.07433614297484</v>
      </c>
      <c r="AI130" s="39" t="n">
        <f aca="false">I130/($N130+$U130)</f>
        <v>1.13647943469168</v>
      </c>
      <c r="AJ130" s="40" t="n">
        <f aca="false">C130/F130</f>
        <v>2.22564705016688</v>
      </c>
      <c r="AK130" s="40" t="n">
        <f aca="false">D130/G130</f>
        <v>2.17046549298777</v>
      </c>
      <c r="AL130" s="44" t="n">
        <f aca="false">E130/I130</f>
        <v>0.82080064758367</v>
      </c>
      <c r="AM130" s="45"/>
      <c r="AN130" s="42" t="n">
        <f aca="false">AJ130/$V130</f>
        <v>0.262309963085376</v>
      </c>
      <c r="AO130" s="42" t="n">
        <f aca="false">AK130/$V130</f>
        <v>0.255806383721541</v>
      </c>
      <c r="AP130" s="42" t="n">
        <f aca="false">AL130/$V130</f>
        <v>0.0967377947693829</v>
      </c>
      <c r="AQ130" s="42" t="n">
        <f aca="false">AM130/$V130</f>
        <v>0</v>
      </c>
      <c r="AR130" s="43"/>
    </row>
    <row r="131" customFormat="false" ht="18.75" hidden="false" customHeight="true" outlineLevel="0" collapsed="false">
      <c r="A131" s="18" t="n">
        <v>2021</v>
      </c>
      <c r="B131" s="18" t="n">
        <v>9</v>
      </c>
      <c r="C131" s="24" t="n">
        <v>299966.61</v>
      </c>
      <c r="D131" s="24" t="n">
        <v>55258.48</v>
      </c>
      <c r="E131" s="25" t="n">
        <v>253567.62</v>
      </c>
      <c r="F131" s="26" t="n">
        <v>117538.04</v>
      </c>
      <c r="G131" s="26" t="n">
        <v>23629</v>
      </c>
      <c r="H131" s="26"/>
      <c r="I131" s="27" t="n">
        <v>344855.07</v>
      </c>
      <c r="J131" s="27"/>
      <c r="K131" s="28" t="n">
        <f aca="false">N131-L131</f>
        <v>298101</v>
      </c>
      <c r="L131" s="29" t="n">
        <v>20941</v>
      </c>
      <c r="M131" s="30" t="n">
        <f aca="false">L131/N131</f>
        <v>0.0656371261464008</v>
      </c>
      <c r="N131" s="29" t="n">
        <v>319042</v>
      </c>
      <c r="O131" s="31" t="n">
        <v>310115</v>
      </c>
      <c r="P131" s="24" t="n">
        <v>1595243</v>
      </c>
      <c r="Q131" s="32" t="n">
        <v>281</v>
      </c>
      <c r="R131" s="32" t="n">
        <f aca="false">O131/Q131</f>
        <v>1103.61209964413</v>
      </c>
      <c r="S131" s="33" t="n">
        <v>29</v>
      </c>
      <c r="T131" s="29" t="n">
        <f aca="false">N131/S131</f>
        <v>11001.4482758621</v>
      </c>
      <c r="U131" s="29" t="n">
        <v>34115</v>
      </c>
      <c r="V131" s="34" t="n">
        <f aca="false">'$'!C118</f>
        <v>8.554109</v>
      </c>
      <c r="W131" s="35" t="n">
        <f aca="false">SUM(C131:E131)/V131</f>
        <v>71169.6226924394</v>
      </c>
      <c r="X131" s="35" t="n">
        <f aca="false">C131/$V131</f>
        <v>35066.9613866272</v>
      </c>
      <c r="Y131" s="35" t="n">
        <f aca="false">D131/$V131</f>
        <v>6459.87559896653</v>
      </c>
      <c r="Z131" s="35" t="n">
        <f aca="false">E131/$V131</f>
        <v>29642.7857068457</v>
      </c>
      <c r="AA131" s="36" t="n">
        <f aca="false">C131/((N131+U131)*V131)</f>
        <v>0.0992956712924483</v>
      </c>
      <c r="AB131" s="36" t="n">
        <f aca="false">D131/((N131+U131)*V131)</f>
        <v>0.0182917954308326</v>
      </c>
      <c r="AC131" s="36" t="n">
        <f aca="false">E131/((N131+U131)*V131)</f>
        <v>0.0839365656261824</v>
      </c>
      <c r="AD131" s="36" t="n">
        <f aca="false">(C131+D131+E131)/((N131+U131)*V131)</f>
        <v>0.201524032349463</v>
      </c>
      <c r="AE131" s="36" t="n">
        <f aca="false">(C131+D131+E131)/((K131+U131)*V131)</f>
        <v>0.214226956836635</v>
      </c>
      <c r="AF131" s="37" t="n">
        <f aca="false">(P131/V131)/K131</f>
        <v>0.625588324476973</v>
      </c>
      <c r="AG131" s="38" t="n">
        <f aca="false">F131/($N131+$U131)</f>
        <v>0.332820926670008</v>
      </c>
      <c r="AH131" s="38" t="n">
        <f aca="false">G131/($N131+$U131)</f>
        <v>0.0669079191407787</v>
      </c>
      <c r="AI131" s="39" t="n">
        <f aca="false">I131/($N131+$U131)</f>
        <v>0.976492239995243</v>
      </c>
      <c r="AJ131" s="44" t="n">
        <f aca="false">C131/F131</f>
        <v>2.55208109646885</v>
      </c>
      <c r="AK131" s="40" t="n">
        <f aca="false">D131/G131</f>
        <v>2.33858732912946</v>
      </c>
      <c r="AL131" s="40" t="n">
        <f aca="false">E131/I131</f>
        <v>0.735287493380915</v>
      </c>
      <c r="AM131" s="41"/>
      <c r="AN131" s="42" t="n">
        <f aca="false">AJ131/$V131</f>
        <v>0.298345636754086</v>
      </c>
      <c r="AO131" s="42" t="n">
        <f aca="false">AK131/$V131</f>
        <v>0.273387599939334</v>
      </c>
      <c r="AP131" s="42" t="n">
        <f aca="false">AL131/$V131</f>
        <v>0.085957227500949</v>
      </c>
      <c r="AQ131" s="42" t="n">
        <f aca="false">AM131/$V131</f>
        <v>0</v>
      </c>
      <c r="AR131" s="43"/>
    </row>
    <row r="132" customFormat="false" ht="18.75" hidden="false" customHeight="true" outlineLevel="0" collapsed="false">
      <c r="A132" s="18" t="n">
        <v>2021</v>
      </c>
      <c r="B132" s="18" t="n">
        <v>10</v>
      </c>
      <c r="C132" s="24" t="n">
        <v>391342.55</v>
      </c>
      <c r="D132" s="24" t="n">
        <v>55291.1</v>
      </c>
      <c r="E132" s="25" t="n">
        <v>344608.37</v>
      </c>
      <c r="F132" s="26" t="n">
        <v>133689.61</v>
      </c>
      <c r="G132" s="26" t="n">
        <v>23730</v>
      </c>
      <c r="H132" s="26"/>
      <c r="I132" s="27" t="n">
        <v>369513.9</v>
      </c>
      <c r="J132" s="27"/>
      <c r="K132" s="28" t="n">
        <f aca="false">N132-L132</f>
        <v>345745</v>
      </c>
      <c r="L132" s="29" t="n">
        <v>14009</v>
      </c>
      <c r="M132" s="30" t="n">
        <f aca="false">L132/N132</f>
        <v>0.0389404982293456</v>
      </c>
      <c r="N132" s="29" t="n">
        <v>359754</v>
      </c>
      <c r="O132" s="31" t="n">
        <v>343980</v>
      </c>
      <c r="P132" s="24" t="n">
        <v>1467635</v>
      </c>
      <c r="Q132" s="32" t="n">
        <v>238</v>
      </c>
      <c r="R132" s="32" t="n">
        <f aca="false">O132/Q132</f>
        <v>1445.29411764706</v>
      </c>
      <c r="S132" s="33" t="n">
        <v>31</v>
      </c>
      <c r="T132" s="29" t="n">
        <f aca="false">N132/S132</f>
        <v>11604.9677419355</v>
      </c>
      <c r="U132" s="29" t="n">
        <v>37129</v>
      </c>
      <c r="V132" s="34" t="n">
        <f aca="false">'$'!C119</f>
        <v>9.219938</v>
      </c>
      <c r="W132" s="35" t="n">
        <f aca="false">SUM(C132:E132)/V132</f>
        <v>85818.5835956814</v>
      </c>
      <c r="X132" s="35" t="n">
        <f aca="false">C132/$V132</f>
        <v>42445.2474626185</v>
      </c>
      <c r="Y132" s="35" t="n">
        <f aca="false">D132/$V132</f>
        <v>5996.90583602623</v>
      </c>
      <c r="Z132" s="35" t="n">
        <f aca="false">E132/$V132</f>
        <v>37376.4302970367</v>
      </c>
      <c r="AA132" s="36" t="n">
        <f aca="false">C132/((N132+U132)*V132)</f>
        <v>0.106946499251967</v>
      </c>
      <c r="AB132" s="36" t="n">
        <f aca="false">D132/((N132+U132)*V132)</f>
        <v>0.0151100093378306</v>
      </c>
      <c r="AC132" s="36" t="n">
        <f aca="false">E132/((N132+U132)*V132)</f>
        <v>0.0941749339151254</v>
      </c>
      <c r="AD132" s="36" t="n">
        <f aca="false">(C132+D132+E132)/((N132+U132)*V132)</f>
        <v>0.216231442504923</v>
      </c>
      <c r="AE132" s="36" t="n">
        <f aca="false">(C132+D132+E132)/((K132+U132)*V132)</f>
        <v>0.224143147865046</v>
      </c>
      <c r="AF132" s="37" t="n">
        <f aca="false">(P132/V132)/K132</f>
        <v>0.460398766421064</v>
      </c>
      <c r="AG132" s="38" t="n">
        <f aca="false">F132/($N132+$U132)</f>
        <v>0.336848920210742</v>
      </c>
      <c r="AH132" s="38" t="n">
        <f aca="false">G132/($N132+$U132)</f>
        <v>0.0597909207499439</v>
      </c>
      <c r="AI132" s="39" t="n">
        <f aca="false">I132/($N132+$U132)</f>
        <v>0.931039878251273</v>
      </c>
      <c r="AJ132" s="44" t="n">
        <f aca="false">C132/F132</f>
        <v>2.92724730066906</v>
      </c>
      <c r="AK132" s="40" t="n">
        <f aca="false">D132/G132</f>
        <v>2.33000842815002</v>
      </c>
      <c r="AL132" s="44" t="n">
        <f aca="false">E132/I132</f>
        <v>0.932599206687489</v>
      </c>
      <c r="AM132" s="45"/>
      <c r="AN132" s="42" t="n">
        <f aca="false">AJ132/$V132</f>
        <v>0.317490996215925</v>
      </c>
      <c r="AO132" s="42" t="n">
        <f aca="false">AK132/$V132</f>
        <v>0.252714110241308</v>
      </c>
      <c r="AP132" s="42" t="n">
        <f aca="false">AL132/$V132</f>
        <v>0.101150268764008</v>
      </c>
      <c r="AQ132" s="42" t="n">
        <f aca="false">AM132/$V132</f>
        <v>0</v>
      </c>
      <c r="AR132" s="43"/>
    </row>
    <row r="133" customFormat="false" ht="18.75" hidden="false" customHeight="true" outlineLevel="0" collapsed="false">
      <c r="A133" s="18" t="n">
        <v>2021</v>
      </c>
      <c r="B133" s="18" t="n">
        <v>11</v>
      </c>
      <c r="C133" s="24" t="n">
        <v>601936.79</v>
      </c>
      <c r="D133" s="24" t="n">
        <v>56817.34</v>
      </c>
      <c r="E133" s="25" t="n">
        <v>414218.86</v>
      </c>
      <c r="F133" s="26" t="n">
        <v>139381.81</v>
      </c>
      <c r="G133" s="26" t="n">
        <v>25408</v>
      </c>
      <c r="H133" s="26"/>
      <c r="I133" s="27" t="n">
        <v>386453.97</v>
      </c>
      <c r="J133" s="27"/>
      <c r="K133" s="28" t="n">
        <f aca="false">N133-L133</f>
        <v>357443</v>
      </c>
      <c r="L133" s="29" t="n">
        <v>19189</v>
      </c>
      <c r="M133" s="30" t="n">
        <f aca="false">L133/N133</f>
        <v>0.050948936893307</v>
      </c>
      <c r="N133" s="29" t="n">
        <v>376632</v>
      </c>
      <c r="O133" s="31" t="n">
        <v>414344</v>
      </c>
      <c r="P133" s="24" t="n">
        <v>1520952</v>
      </c>
      <c r="Q133" s="32" t="n">
        <v>254</v>
      </c>
      <c r="R133" s="32" t="n">
        <f aca="false">O133/Q133</f>
        <v>1631.27559055118</v>
      </c>
      <c r="S133" s="33" t="n">
        <v>29</v>
      </c>
      <c r="T133" s="29" t="n">
        <f aca="false">N133/S133</f>
        <v>12987.3103448276</v>
      </c>
      <c r="U133" s="29" t="n">
        <v>30837</v>
      </c>
      <c r="V133" s="34" t="n">
        <f aca="false">'$'!C120</f>
        <v>10.680956</v>
      </c>
      <c r="W133" s="35" t="n">
        <f aca="false">SUM(C133:E133)/V133</f>
        <v>100456.643581342</v>
      </c>
      <c r="X133" s="35" t="n">
        <f aca="false">C133/$V133</f>
        <v>56356.0780514403</v>
      </c>
      <c r="Y133" s="35" t="n">
        <f aca="false">D133/$V133</f>
        <v>5319.49949049505</v>
      </c>
      <c r="Z133" s="35" t="n">
        <f aca="false">E133/$V133</f>
        <v>38781.066039407</v>
      </c>
      <c r="AA133" s="36" t="n">
        <f aca="false">C133/((N133+U133)*V133)</f>
        <v>0.138307645615839</v>
      </c>
      <c r="AB133" s="36" t="n">
        <f aca="false">D133/((N133+U133)*V133)</f>
        <v>0.0130549796192963</v>
      </c>
      <c r="AC133" s="36" t="n">
        <f aca="false">E133/((N133+U133)*V133)</f>
        <v>0.0951755005642318</v>
      </c>
      <c r="AD133" s="36" t="n">
        <f aca="false">(C133+D133+E133)/((N133+U133)*V133)</f>
        <v>0.246538125799367</v>
      </c>
      <c r="AE133" s="36" t="n">
        <f aca="false">(C133+D133+E133)/((K133+U133)*V133)</f>
        <v>0.258722168490116</v>
      </c>
      <c r="AF133" s="37" t="n">
        <f aca="false">(P133/V133)/K133</f>
        <v>0.398380971018053</v>
      </c>
      <c r="AG133" s="38" t="n">
        <f aca="false">F133/($N133+$U133)</f>
        <v>0.34206727382942</v>
      </c>
      <c r="AH133" s="38" t="n">
        <f aca="false">G133/($N133+$U133)</f>
        <v>0.0623556638664536</v>
      </c>
      <c r="AI133" s="39" t="n">
        <f aca="false">I133/($N133+$U133)</f>
        <v>0.948425450770488</v>
      </c>
      <c r="AJ133" s="44" t="n">
        <f aca="false">C133/F133</f>
        <v>4.31861797461233</v>
      </c>
      <c r="AK133" s="40" t="n">
        <f aca="false">D133/G133</f>
        <v>2.23619883501259</v>
      </c>
      <c r="AL133" s="44" t="n">
        <f aca="false">E133/I133</f>
        <v>1.07184527047296</v>
      </c>
      <c r="AM133" s="45"/>
      <c r="AN133" s="42" t="n">
        <f aca="false">AJ133/$V133</f>
        <v>0.404328786169733</v>
      </c>
      <c r="AO133" s="42" t="n">
        <f aca="false">AK133/$V133</f>
        <v>0.20936317264228</v>
      </c>
      <c r="AP133" s="42" t="n">
        <f aca="false">AL133/$V133</f>
        <v>0.100351061316324</v>
      </c>
      <c r="AQ133" s="42" t="n">
        <f aca="false">AM133/$V133</f>
        <v>0</v>
      </c>
      <c r="AR133" s="43"/>
    </row>
    <row r="134" customFormat="false" ht="18.75" hidden="false" customHeight="true" outlineLevel="0" collapsed="false">
      <c r="A134" s="18" t="n">
        <v>2021</v>
      </c>
      <c r="B134" s="18" t="n">
        <v>12</v>
      </c>
      <c r="C134" s="24" t="n">
        <v>1023544.87</v>
      </c>
      <c r="D134" s="24" t="n">
        <v>55959.17</v>
      </c>
      <c r="E134" s="25" t="n">
        <v>526549.17</v>
      </c>
      <c r="F134" s="26" t="n">
        <v>157843.27</v>
      </c>
      <c r="G134" s="26" t="n">
        <v>25951</v>
      </c>
      <c r="H134" s="26"/>
      <c r="I134" s="27" t="n">
        <v>405660.15</v>
      </c>
      <c r="J134" s="27"/>
      <c r="K134" s="28" t="n">
        <f aca="false">N134-L134</f>
        <v>369213</v>
      </c>
      <c r="L134" s="29" t="n">
        <v>23988</v>
      </c>
      <c r="M134" s="30" t="n">
        <f aca="false">L134/N134</f>
        <v>0.0610069659029351</v>
      </c>
      <c r="N134" s="29" t="n">
        <v>393201</v>
      </c>
      <c r="O134" s="31" t="n">
        <v>370601</v>
      </c>
      <c r="P134" s="24" t="n">
        <v>1515489</v>
      </c>
      <c r="Q134" s="32" t="n">
        <v>261</v>
      </c>
      <c r="R134" s="32" t="n">
        <f aca="false">O134/Q134</f>
        <v>1419.92720306513</v>
      </c>
      <c r="S134" s="33" t="n">
        <v>31</v>
      </c>
      <c r="T134" s="29" t="n">
        <f aca="false">N134/S134</f>
        <v>12683.9032258065</v>
      </c>
      <c r="U134" s="29" t="n">
        <v>25920</v>
      </c>
      <c r="V134" s="34" t="n">
        <f aca="false">'$'!C121</f>
        <v>13.466856</v>
      </c>
      <c r="W134" s="35" t="n">
        <f aca="false">SUM(C134:E134)/V134</f>
        <v>119259.70025966</v>
      </c>
      <c r="X134" s="35" t="n">
        <f aca="false">C134/$V134</f>
        <v>76004.7385967445</v>
      </c>
      <c r="Y134" s="35" t="n">
        <f aca="false">D134/$V134</f>
        <v>4155.32548948322</v>
      </c>
      <c r="Z134" s="35" t="n">
        <f aca="false">E134/$V134</f>
        <v>39099.636173432</v>
      </c>
      <c r="AA134" s="36" t="n">
        <f aca="false">C134/((N134+U134)*V134)</f>
        <v>0.181343188713389</v>
      </c>
      <c r="AB134" s="36" t="n">
        <f aca="false">D134/((N134+U134)*V134)</f>
        <v>0.00991438150196057</v>
      </c>
      <c r="AC134" s="36" t="n">
        <f aca="false">E134/((N134+U134)*V134)</f>
        <v>0.0932896136758407</v>
      </c>
      <c r="AD134" s="36" t="n">
        <f aca="false">(C134+D134+E134)/((N134+U134)*V134)</f>
        <v>0.284547183891191</v>
      </c>
      <c r="AE134" s="36" t="n">
        <f aca="false">(C134+D134+E134)/((K134+U134)*V134)</f>
        <v>0.301821665767374</v>
      </c>
      <c r="AF134" s="37" t="n">
        <f aca="false">(P134/V134)/K134</f>
        <v>0.304796227949018</v>
      </c>
      <c r="AG134" s="38" t="n">
        <f aca="false">F134/($N134+$U134)</f>
        <v>0.376605491015721</v>
      </c>
      <c r="AH134" s="38" t="n">
        <f aca="false">G134/($N134+$U134)</f>
        <v>0.0619176800971557</v>
      </c>
      <c r="AI134" s="39" t="n">
        <f aca="false">I134/($N134+$U134)</f>
        <v>0.967883141145397</v>
      </c>
      <c r="AJ134" s="44" t="n">
        <f aca="false">C134/F134</f>
        <v>6.48456453037244</v>
      </c>
      <c r="AK134" s="40" t="n">
        <f aca="false">D134/G134</f>
        <v>2.15633964009094</v>
      </c>
      <c r="AL134" s="44" t="n">
        <f aca="false">E134/I134</f>
        <v>1.29800565818457</v>
      </c>
      <c r="AM134" s="41"/>
      <c r="AN134" s="42" t="n">
        <f aca="false">AJ134/$V134</f>
        <v>0.481520299197707</v>
      </c>
      <c r="AO134" s="42" t="n">
        <f aca="false">AK134/$V134</f>
        <v>0.160121979479913</v>
      </c>
      <c r="AP134" s="42" t="n">
        <f aca="false">AL134/$V134</f>
        <v>0.0963852036573768</v>
      </c>
      <c r="AQ134" s="42" t="n">
        <f aca="false">AM134/$V134</f>
        <v>0</v>
      </c>
      <c r="AR134" s="43"/>
    </row>
    <row r="135" customFormat="false" ht="18.75" hidden="false" customHeight="true" outlineLevel="0" collapsed="false">
      <c r="A135" s="18" t="n">
        <v>2022</v>
      </c>
      <c r="B135" s="18" t="n">
        <v>1</v>
      </c>
      <c r="C135" s="24" t="n">
        <v>1153267.88</v>
      </c>
      <c r="D135" s="24" t="n">
        <v>44441.09</v>
      </c>
      <c r="E135" s="25" t="n">
        <v>515231.53</v>
      </c>
      <c r="F135" s="26" t="n">
        <v>124439.41</v>
      </c>
      <c r="G135" s="26" t="n">
        <v>18156</v>
      </c>
      <c r="H135" s="26" t="n">
        <v>15529</v>
      </c>
      <c r="I135" s="27" t="n">
        <v>320778.36</v>
      </c>
      <c r="J135" s="27"/>
      <c r="K135" s="28" t="n">
        <f aca="false">N135-L135</f>
        <v>288875</v>
      </c>
      <c r="L135" s="29" t="n">
        <v>35309</v>
      </c>
      <c r="M135" s="30" t="n">
        <f aca="false">L135/N135</f>
        <v>0.108916541223503</v>
      </c>
      <c r="N135" s="28" t="n">
        <v>324184</v>
      </c>
      <c r="O135" s="31" t="n">
        <v>319009</v>
      </c>
      <c r="P135" s="24" t="n">
        <v>2229557</v>
      </c>
      <c r="Q135" s="32" t="n">
        <v>261</v>
      </c>
      <c r="R135" s="32" t="n">
        <f aca="false">O135/Q135</f>
        <v>1222.25670498084</v>
      </c>
      <c r="S135" s="33" t="n">
        <v>27</v>
      </c>
      <c r="T135" s="29" t="n">
        <f aca="false">N135/S135</f>
        <v>12006.8148148148</v>
      </c>
      <c r="U135" s="29" t="n">
        <v>15494</v>
      </c>
      <c r="V135" s="34" t="n">
        <f aca="false">'$'!C122</f>
        <v>13.535066</v>
      </c>
      <c r="W135" s="35" t="n">
        <f aca="false">SUM(C135:E135)/V135</f>
        <v>126555.755250843</v>
      </c>
      <c r="X135" s="35" t="n">
        <f aca="false">C135/$V135</f>
        <v>85205.9295462615</v>
      </c>
      <c r="Y135" s="35" t="n">
        <f aca="false">D135/$V135</f>
        <v>3283.40401147656</v>
      </c>
      <c r="Z135" s="35" t="n">
        <f aca="false">E135/$V135</f>
        <v>38066.4216931044</v>
      </c>
      <c r="AA135" s="36" t="n">
        <f aca="false">C135/((N135+U135)*V135)</f>
        <v>0.250843238438349</v>
      </c>
      <c r="AB135" s="36" t="n">
        <f aca="false">D135/((N135+U135)*V135)</f>
        <v>0.00966622510576652</v>
      </c>
      <c r="AC135" s="36" t="n">
        <f aca="false">E135/((N135+U135)*V135)</f>
        <v>0.112066197084016</v>
      </c>
      <c r="AD135" s="36" t="n">
        <f aca="false">(C135+D135+E135)/((N135+U135)*V135)</f>
        <v>0.372575660628132</v>
      </c>
      <c r="AE135" s="36" t="n">
        <f aca="false">(C135+D135+E135)/((K135+U135)*V135)</f>
        <v>0.415797125367046</v>
      </c>
      <c r="AF135" s="37" t="n">
        <f aca="false">(P135/V135)/K135</f>
        <v>0.570227612386343</v>
      </c>
      <c r="AG135" s="38" t="n">
        <f aca="false">F135/($N135+$U135)</f>
        <v>0.366345215174371</v>
      </c>
      <c r="AH135" s="38" t="n">
        <f aca="false">G135/($N135+$U135)</f>
        <v>0.0534506208821296</v>
      </c>
      <c r="AI135" s="39" t="n">
        <f aca="false">I135/($N135+$U135)</f>
        <v>0.944360129298924</v>
      </c>
      <c r="AJ135" s="44" t="n">
        <f aca="false">C135/F135</f>
        <v>9.26770610693188</v>
      </c>
      <c r="AK135" s="40" t="n">
        <f aca="false">D135/G135</f>
        <v>2.44773573474334</v>
      </c>
      <c r="AL135" s="44" t="n">
        <f aca="false">E135/I135</f>
        <v>1.60619167078478</v>
      </c>
      <c r="AM135" s="41"/>
      <c r="AN135" s="42" t="n">
        <f aca="false">AJ135/$V135</f>
        <v>0.684718205802017</v>
      </c>
      <c r="AO135" s="42" t="n">
        <f aca="false">AK135/$V135</f>
        <v>0.180844019138387</v>
      </c>
      <c r="AP135" s="42" t="n">
        <f aca="false">AL135/$V135</f>
        <v>0.11866892047551</v>
      </c>
      <c r="AQ135" s="42" t="n">
        <f aca="false">AM135/$V135</f>
        <v>0</v>
      </c>
      <c r="AR135" s="43"/>
    </row>
    <row r="136" customFormat="false" ht="18.75" hidden="false" customHeight="true" outlineLevel="0" collapsed="false">
      <c r="A136" s="18" t="n">
        <v>2022</v>
      </c>
      <c r="B136" s="18" t="n">
        <v>2</v>
      </c>
      <c r="C136" s="24" t="n">
        <v>973353.27</v>
      </c>
      <c r="D136" s="24" t="n">
        <v>73366.07</v>
      </c>
      <c r="E136" s="25" t="n">
        <v>504385.12</v>
      </c>
      <c r="F136" s="26" t="n">
        <v>106897.07</v>
      </c>
      <c r="G136" s="26" t="n">
        <v>17073</v>
      </c>
      <c r="H136" s="26" t="n">
        <v>14274</v>
      </c>
      <c r="I136" s="27" t="n">
        <v>280942.83</v>
      </c>
      <c r="J136" s="27"/>
      <c r="K136" s="28" t="n">
        <f aca="false">N136-L136</f>
        <v>241632</v>
      </c>
      <c r="L136" s="29" t="n">
        <v>41520</v>
      </c>
      <c r="M136" s="30" t="n">
        <f aca="false">L136/N136</f>
        <v>0.146635022885235</v>
      </c>
      <c r="N136" s="29" t="n">
        <v>283152</v>
      </c>
      <c r="O136" s="31" t="n">
        <v>272114</v>
      </c>
      <c r="P136" s="24" t="n">
        <v>1891609</v>
      </c>
      <c r="Q136" s="32" t="n">
        <v>252</v>
      </c>
      <c r="R136" s="32" t="n">
        <f aca="false">O136/Q136</f>
        <v>1079.81746031746</v>
      </c>
      <c r="S136" s="33" t="n">
        <v>27</v>
      </c>
      <c r="T136" s="29" t="n">
        <f aca="false">N136/S136</f>
        <v>10487.1111111111</v>
      </c>
      <c r="U136" s="29" t="n">
        <v>16732</v>
      </c>
      <c r="V136" s="34" t="n">
        <f aca="false">'$'!C123</f>
        <v>13.629202</v>
      </c>
      <c r="W136" s="35" t="n">
        <f aca="false">SUM(C136:E136)/V136</f>
        <v>113807.43054509</v>
      </c>
      <c r="X136" s="35" t="n">
        <f aca="false">C136/$V136</f>
        <v>71416.7469232608</v>
      </c>
      <c r="Y136" s="35" t="n">
        <f aca="false">D136/$V136</f>
        <v>5383.00554940781</v>
      </c>
      <c r="Z136" s="35" t="n">
        <f aca="false">E136/$V136</f>
        <v>37007.6780724213</v>
      </c>
      <c r="AA136" s="36" t="n">
        <f aca="false">C136/((N136+U136)*V136)</f>
        <v>0.238147906934884</v>
      </c>
      <c r="AB136" s="36" t="n">
        <f aca="false">D136/((N136+U136)*V136)</f>
        <v>0.017950292611169</v>
      </c>
      <c r="AC136" s="36" t="n">
        <f aca="false">E136/((N136+U136)*V136)</f>
        <v>0.123406644143806</v>
      </c>
      <c r="AD136" s="36" t="n">
        <f aca="false">(C136+D136+E136)/((N136+U136)*V136)</f>
        <v>0.37950484368986</v>
      </c>
      <c r="AE136" s="36" t="n">
        <f aca="false">(C136+D136+E136)/((K136+U136)*V136)</f>
        <v>0.440492601697953</v>
      </c>
      <c r="AF136" s="37" t="n">
        <f aca="false">(P136/V136)/K136</f>
        <v>0.574389503274832</v>
      </c>
      <c r="AG136" s="38" t="n">
        <f aca="false">F136/($N136+$U136)</f>
        <v>0.356461398407384</v>
      </c>
      <c r="AH136" s="38" t="n">
        <f aca="false">G136/($N136+$U136)</f>
        <v>0.0569320137119686</v>
      </c>
      <c r="AI136" s="39" t="n">
        <f aca="false">I136/($N136+$U136)</f>
        <v>0.936838344159742</v>
      </c>
      <c r="AJ136" s="44" t="n">
        <f aca="false">C136/F136</f>
        <v>9.10551870130772</v>
      </c>
      <c r="AK136" s="40" t="n">
        <f aca="false">D136/G136</f>
        <v>4.29719850055643</v>
      </c>
      <c r="AL136" s="44" t="n">
        <f aca="false">E136/I136</f>
        <v>1.79533010328116</v>
      </c>
      <c r="AM136" s="41"/>
      <c r="AN136" s="42" t="n">
        <f aca="false">AJ136/$V136</f>
        <v>0.668088909483308</v>
      </c>
      <c r="AO136" s="42" t="n">
        <f aca="false">AK136/$V136</f>
        <v>0.315293477971523</v>
      </c>
      <c r="AP136" s="42" t="n">
        <f aca="false">AL136/$V136</f>
        <v>0.131726722025336</v>
      </c>
      <c r="AQ136" s="42" t="n">
        <f aca="false">AM136/$V136</f>
        <v>0</v>
      </c>
      <c r="AR136" s="43"/>
    </row>
    <row r="137" customFormat="false" ht="18.75" hidden="false" customHeight="true" outlineLevel="0" collapsed="false">
      <c r="A137" s="18" t="n">
        <v>2022</v>
      </c>
      <c r="B137" s="18" t="n">
        <v>3</v>
      </c>
      <c r="C137" s="24" t="n">
        <v>1205662.57</v>
      </c>
      <c r="D137" s="24" t="n">
        <v>87589.89</v>
      </c>
      <c r="E137" s="25" t="n">
        <v>780331.56</v>
      </c>
      <c r="F137" s="26" t="n">
        <v>132358.84</v>
      </c>
      <c r="G137" s="26" t="n">
        <v>22991</v>
      </c>
      <c r="H137" s="26" t="n">
        <v>17492</v>
      </c>
      <c r="I137" s="27" t="n">
        <v>374921.19</v>
      </c>
      <c r="J137" s="27"/>
      <c r="K137" s="28" t="n">
        <f aca="false">N137-L137</f>
        <v>270029</v>
      </c>
      <c r="L137" s="29" t="n">
        <v>48505</v>
      </c>
      <c r="M137" s="30" t="n">
        <f aca="false">L137/N137</f>
        <v>0.152275738225747</v>
      </c>
      <c r="N137" s="29" t="n">
        <v>318534</v>
      </c>
      <c r="O137" s="31" t="n">
        <v>322700</v>
      </c>
      <c r="P137" s="24" t="n">
        <v>2175044</v>
      </c>
      <c r="Q137" s="32" t="n">
        <v>233</v>
      </c>
      <c r="R137" s="32" t="n">
        <f aca="false">O137/Q137</f>
        <v>1384.97854077253</v>
      </c>
      <c r="S137" s="33" t="n">
        <v>28</v>
      </c>
      <c r="T137" s="29" t="n">
        <f aca="false">N137/S137</f>
        <v>11376.2142857143</v>
      </c>
      <c r="U137" s="29" t="n">
        <v>47431</v>
      </c>
      <c r="V137" s="34" t="n">
        <f aca="false">'$'!C124</f>
        <v>14.600894</v>
      </c>
      <c r="W137" s="35" t="n">
        <f aca="false">SUM(C137:E137)/V137</f>
        <v>142017.606593131</v>
      </c>
      <c r="X137" s="35" t="n">
        <f aca="false">C137/$V137</f>
        <v>82574.571803617</v>
      </c>
      <c r="Y137" s="35" t="n">
        <f aca="false">D137/$V137</f>
        <v>5998.94020188079</v>
      </c>
      <c r="Z137" s="35" t="n">
        <f aca="false">E137/$V137</f>
        <v>53444.0945876328</v>
      </c>
      <c r="AA137" s="36" t="n">
        <f aca="false">C137/((N137+U137)*V137)</f>
        <v>0.225635161295799</v>
      </c>
      <c r="AB137" s="36" t="n">
        <f aca="false">D137/((N137+U137)*V137)</f>
        <v>0.0163921145516123</v>
      </c>
      <c r="AC137" s="36" t="n">
        <f aca="false">E137/((N137+U137)*V137)</f>
        <v>0.146036081558709</v>
      </c>
      <c r="AD137" s="36" t="n">
        <f aca="false">(C137+D137+E137)/((N137+U137)*V137)</f>
        <v>0.388063357406119</v>
      </c>
      <c r="AE137" s="36" t="n">
        <f aca="false">(C137+D137+E137)/((K137+U137)*V137)</f>
        <v>0.447355908124269</v>
      </c>
      <c r="AF137" s="37" t="n">
        <f aca="false">(P137/V137)/K137</f>
        <v>0.551668505202576</v>
      </c>
      <c r="AG137" s="38" t="n">
        <f aca="false">F137/($N137+$U137)</f>
        <v>0.36167076086511</v>
      </c>
      <c r="AH137" s="38" t="n">
        <f aca="false">G137/($N137+$U137)</f>
        <v>0.0628229475496291</v>
      </c>
      <c r="AI137" s="39" t="n">
        <f aca="false">I137/($N137+$U137)</f>
        <v>1.02447280477641</v>
      </c>
      <c r="AJ137" s="44" t="n">
        <f aca="false">C137/F137</f>
        <v>9.10904454889451</v>
      </c>
      <c r="AK137" s="40" t="n">
        <f aca="false">D137/G137</f>
        <v>3.80974685746596</v>
      </c>
      <c r="AL137" s="44" t="n">
        <f aca="false">E137/I137</f>
        <v>2.08132157054126</v>
      </c>
      <c r="AM137" s="41"/>
      <c r="AN137" s="42" t="n">
        <f aca="false">AJ137/$V137</f>
        <v>0.623868959592098</v>
      </c>
      <c r="AO137" s="42" t="n">
        <f aca="false">AK137/$V137</f>
        <v>0.260925588355478</v>
      </c>
      <c r="AP137" s="42" t="n">
        <f aca="false">AL137/$V137</f>
        <v>0.142547543358733</v>
      </c>
      <c r="AQ137" s="42" t="n">
        <f aca="false">AM137/$V137</f>
        <v>0</v>
      </c>
      <c r="AR137" s="43"/>
    </row>
    <row r="138" customFormat="false" ht="18.75" hidden="false" customHeight="true" outlineLevel="0" collapsed="false">
      <c r="A138" s="18" t="n">
        <v>2022</v>
      </c>
      <c r="B138" s="18" t="n">
        <v>4</v>
      </c>
      <c r="C138" s="24" t="n">
        <v>1651983.27</v>
      </c>
      <c r="D138" s="24" t="n">
        <v>87339.06</v>
      </c>
      <c r="E138" s="25" t="n">
        <v>821958.65</v>
      </c>
      <c r="F138" s="26" t="n">
        <v>121165.99</v>
      </c>
      <c r="G138" s="26" t="n">
        <v>22165</v>
      </c>
      <c r="H138" s="26" t="n">
        <v>16181</v>
      </c>
      <c r="I138" s="27" t="n">
        <v>347383.89</v>
      </c>
      <c r="J138" s="27"/>
      <c r="K138" s="28" t="n">
        <f aca="false">N138-L138</f>
        <v>309601</v>
      </c>
      <c r="L138" s="29" t="n">
        <v>35561</v>
      </c>
      <c r="M138" s="30" t="n">
        <f aca="false">L138/N138</f>
        <v>0.103026984430499</v>
      </c>
      <c r="N138" s="29" t="n">
        <v>345162</v>
      </c>
      <c r="O138" s="31" t="n">
        <v>337967</v>
      </c>
      <c r="P138" s="24" t="n">
        <v>1689107</v>
      </c>
      <c r="Q138" s="32" t="n">
        <v>227</v>
      </c>
      <c r="R138" s="32" t="n">
        <f aca="false">O138/Q138</f>
        <v>1488.84140969163</v>
      </c>
      <c r="S138" s="33" t="n">
        <v>26</v>
      </c>
      <c r="T138" s="29" t="n">
        <f aca="false">N138/S138</f>
        <v>13275.4615384615</v>
      </c>
      <c r="U138" s="29" t="n">
        <v>34008</v>
      </c>
      <c r="V138" s="34" t="n">
        <f aca="false">'$'!C125</f>
        <v>14.709928</v>
      </c>
      <c r="W138" s="35" t="n">
        <f aca="false">SUM(C138:E138)/V138</f>
        <v>174119.205750021</v>
      </c>
      <c r="X138" s="35" t="n">
        <f aca="false">C138/$V138</f>
        <v>112303.967089438</v>
      </c>
      <c r="Y138" s="35" t="n">
        <f aca="false">D138/$V138</f>
        <v>5937.42267127344</v>
      </c>
      <c r="Z138" s="35" t="n">
        <f aca="false">E138/$V138</f>
        <v>55877.8159893101</v>
      </c>
      <c r="AA138" s="36" t="n">
        <f aca="false">C138/((N138+U138)*V138)</f>
        <v>0.296183683016689</v>
      </c>
      <c r="AB138" s="36" t="n">
        <f aca="false">D138/((N138+U138)*V138)</f>
        <v>0.0156589990539163</v>
      </c>
      <c r="AC138" s="36" t="n">
        <f aca="false">E138/((N138+U138)*V138)</f>
        <v>0.147368768598017</v>
      </c>
      <c r="AD138" s="36" t="n">
        <f aca="false">(C138+D138+E138)/((N138+U138)*V138)</f>
        <v>0.459211450668622</v>
      </c>
      <c r="AE138" s="36" t="n">
        <f aca="false">(C138+D138+E138)/((K138+U138)*V138)</f>
        <v>0.506736452624993</v>
      </c>
      <c r="AF138" s="37" t="n">
        <f aca="false">(P138/V138)/K138</f>
        <v>0.370889262128186</v>
      </c>
      <c r="AG138" s="38" t="n">
        <f aca="false">F138/($N138+$U138)</f>
        <v>0.319555845662895</v>
      </c>
      <c r="AH138" s="38" t="n">
        <f aca="false">G138/($N138+$U138)</f>
        <v>0.0584566289527125</v>
      </c>
      <c r="AI138" s="39" t="n">
        <f aca="false">I138/($N138+$U138)</f>
        <v>0.916169238072632</v>
      </c>
      <c r="AJ138" s="44" t="n">
        <f aca="false">C138/F138</f>
        <v>13.6340508586609</v>
      </c>
      <c r="AK138" s="40" t="n">
        <f aca="false">D138/G138</f>
        <v>3.94040424092037</v>
      </c>
      <c r="AL138" s="44" t="n">
        <f aca="false">E138/I138</f>
        <v>2.36613923000287</v>
      </c>
      <c r="AM138" s="41"/>
      <c r="AN138" s="42" t="n">
        <f aca="false">AJ138/$V138</f>
        <v>0.926860475364727</v>
      </c>
      <c r="AO138" s="42" t="n">
        <f aca="false">AK138/$V138</f>
        <v>0.267873795230022</v>
      </c>
      <c r="AP138" s="42" t="n">
        <f aca="false">AL138/$V138</f>
        <v>0.160853216276984</v>
      </c>
      <c r="AQ138" s="42" t="n">
        <f aca="false">AM138/$V138</f>
        <v>0</v>
      </c>
      <c r="AR138" s="43"/>
    </row>
    <row r="139" customFormat="false" ht="18.75" hidden="false" customHeight="true" outlineLevel="0" collapsed="false">
      <c r="A139" s="18" t="n">
        <v>2022</v>
      </c>
      <c r="B139" s="18" t="n">
        <v>5</v>
      </c>
      <c r="C139" s="24" t="n">
        <v>1470481.63</v>
      </c>
      <c r="D139" s="24" t="n">
        <v>105501.15</v>
      </c>
      <c r="E139" s="25" t="n">
        <v>783390.54</v>
      </c>
      <c r="F139" s="26" t="n">
        <f aca="false">64380.64+42920.42</f>
        <v>107301.06</v>
      </c>
      <c r="G139" s="26" t="n">
        <v>21443</v>
      </c>
      <c r="H139" s="26" t="n">
        <v>16221</v>
      </c>
      <c r="I139" s="27" t="n">
        <v>327096.63</v>
      </c>
      <c r="J139" s="27"/>
      <c r="K139" s="28" t="n">
        <f aca="false">N139-L139</f>
        <v>268998</v>
      </c>
      <c r="L139" s="29" t="n">
        <v>42316</v>
      </c>
      <c r="M139" s="30" t="n">
        <f aca="false">L139/N139</f>
        <v>0.135927070417649</v>
      </c>
      <c r="N139" s="29" t="n">
        <v>311314</v>
      </c>
      <c r="O139" s="31" t="n">
        <v>258940</v>
      </c>
      <c r="P139" s="24" t="n">
        <v>2258487</v>
      </c>
      <c r="Q139" s="32" t="n">
        <v>240</v>
      </c>
      <c r="R139" s="32" t="n">
        <f aca="false">O139/Q139</f>
        <v>1078.91666666667</v>
      </c>
      <c r="S139" s="33" t="n">
        <v>24</v>
      </c>
      <c r="T139" s="29" t="n">
        <f aca="false">N139/S139</f>
        <v>12971.4166666667</v>
      </c>
      <c r="U139" s="29" t="n">
        <v>29005</v>
      </c>
      <c r="V139" s="34" t="n">
        <f aca="false">'$'!C126</f>
        <v>15.570749</v>
      </c>
      <c r="W139" s="35" t="n">
        <f aca="false">SUM(C139:E139)/V139</f>
        <v>151526.000451231</v>
      </c>
      <c r="X139" s="35" t="n">
        <f aca="false">C139/$V139</f>
        <v>94438.7216054925</v>
      </c>
      <c r="Y139" s="35" t="n">
        <f aca="false">D139/$V139</f>
        <v>6775.59891306449</v>
      </c>
      <c r="Z139" s="35" t="n">
        <f aca="false">E139/$V139</f>
        <v>50311.6799326738</v>
      </c>
      <c r="AA139" s="36" t="n">
        <f aca="false">C139/((N139+U139)*V139)</f>
        <v>0.27750058505547</v>
      </c>
      <c r="AB139" s="36" t="n">
        <f aca="false">D139/((N139+U139)*V139)</f>
        <v>0.019909552252635</v>
      </c>
      <c r="AC139" s="36" t="n">
        <f aca="false">E139/((N139+U139)*V139)</f>
        <v>0.14783682348818</v>
      </c>
      <c r="AD139" s="36" t="n">
        <f aca="false">(C139+D139+E139)/((N139+U139)*V139)</f>
        <v>0.445246960796284</v>
      </c>
      <c r="AE139" s="36" t="n">
        <f aca="false">(C139+D139+E139)/((K139+U139)*V139)</f>
        <v>0.508471392741787</v>
      </c>
      <c r="AF139" s="37" t="n">
        <f aca="false">(P139/V139)/K139</f>
        <v>0.539211368493891</v>
      </c>
      <c r="AG139" s="38" t="n">
        <f aca="false">F139/($N139+$U139)</f>
        <v>0.315295531545403</v>
      </c>
      <c r="AH139" s="38" t="n">
        <f aca="false">G139/($N139+$U139)</f>
        <v>0.0630085302319295</v>
      </c>
      <c r="AI139" s="39" t="n">
        <f aca="false">I139/($N139+$U139)</f>
        <v>0.961147129604871</v>
      </c>
      <c r="AJ139" s="40" t="n">
        <f aca="false">C139/F139</f>
        <v>13.7042600511123</v>
      </c>
      <c r="AK139" s="44" t="n">
        <f aca="false">D139/G139</f>
        <v>4.92007415007228</v>
      </c>
      <c r="AL139" s="40" t="n">
        <f aca="false">E139/I139</f>
        <v>2.39498199660449</v>
      </c>
      <c r="AM139" s="41"/>
      <c r="AN139" s="42" t="n">
        <f aca="false">AJ139/$V139</f>
        <v>0.880128505771448</v>
      </c>
      <c r="AO139" s="42" t="n">
        <f aca="false">AK139/$V139</f>
        <v>0.315981854827426</v>
      </c>
      <c r="AP139" s="42" t="n">
        <f aca="false">AL139/$V139</f>
        <v>0.15381289600163</v>
      </c>
      <c r="AQ139" s="42" t="n">
        <f aca="false">AM139/$V139</f>
        <v>0</v>
      </c>
      <c r="AR139" s="43"/>
    </row>
    <row r="140" customFormat="false" ht="18.75" hidden="false" customHeight="true" outlineLevel="0" collapsed="false">
      <c r="A140" s="18" t="n">
        <v>2022</v>
      </c>
      <c r="B140" s="18" t="n">
        <v>6</v>
      </c>
      <c r="C140" s="24" t="n">
        <v>1522168.39</v>
      </c>
      <c r="D140" s="24" t="n">
        <v>122346.05</v>
      </c>
      <c r="E140" s="25" t="n">
        <v>1054225.99</v>
      </c>
      <c r="F140" s="26" t="n">
        <f aca="false">63466.03+42310.68</f>
        <v>105776.71</v>
      </c>
      <c r="G140" s="26" t="n">
        <v>22240</v>
      </c>
      <c r="H140" s="26" t="n">
        <v>19360</v>
      </c>
      <c r="I140" s="27" t="n">
        <v>361209.24</v>
      </c>
      <c r="J140" s="27"/>
      <c r="K140" s="28" t="n">
        <f aca="false">N140-L140</f>
        <v>315525</v>
      </c>
      <c r="L140" s="29" t="n">
        <v>40568</v>
      </c>
      <c r="M140" s="30" t="n">
        <f aca="false">L140/N140</f>
        <v>0.113925294796584</v>
      </c>
      <c r="N140" s="29" t="n">
        <v>356093</v>
      </c>
      <c r="O140" s="31" t="n">
        <v>289181</v>
      </c>
      <c r="P140" s="24" t="n">
        <v>2249448</v>
      </c>
      <c r="Q140" s="32" t="n">
        <v>238</v>
      </c>
      <c r="R140" s="32" t="n">
        <f aca="false">O140/Q140</f>
        <v>1215.0462184874</v>
      </c>
      <c r="S140" s="33" t="n">
        <v>29</v>
      </c>
      <c r="T140" s="29" t="n">
        <f aca="false">N140/S140</f>
        <v>12279.0689655172</v>
      </c>
      <c r="U140" s="29" t="n">
        <v>22884</v>
      </c>
      <c r="V140" s="34" t="n">
        <f aca="false">'$'!C127</f>
        <v>16.965875</v>
      </c>
      <c r="W140" s="35" t="n">
        <f aca="false">SUM(C140:E140)/V140</f>
        <v>159068.744170283</v>
      </c>
      <c r="X140" s="35" t="n">
        <f aca="false">C140/$V140</f>
        <v>89719.4155915919</v>
      </c>
      <c r="Y140" s="35" t="n">
        <f aca="false">D140/$V140</f>
        <v>7211.30209906651</v>
      </c>
      <c r="Z140" s="35" t="n">
        <f aca="false">E140/$V140</f>
        <v>62138.0264796245</v>
      </c>
      <c r="AA140" s="36" t="n">
        <f aca="false">C140/((N140+U140)*V140)</f>
        <v>0.23674105708682</v>
      </c>
      <c r="AB140" s="36" t="n">
        <f aca="false">D140/((N140+U140)*V140)</f>
        <v>0.0190283370734016</v>
      </c>
      <c r="AC140" s="36" t="n">
        <f aca="false">E140/((N140+U140)*V140)</f>
        <v>0.16396252669588</v>
      </c>
      <c r="AD140" s="36" t="n">
        <f aca="false">(C140+D140+E140)/((N140+U140)*V140)</f>
        <v>0.419731920856102</v>
      </c>
      <c r="AE140" s="36" t="n">
        <f aca="false">(C140+D140+E140)/((K140+U140)*V140)</f>
        <v>0.470048799441749</v>
      </c>
      <c r="AF140" s="37" t="n">
        <f aca="false">(P140/V140)/K140</f>
        <v>0.420209551469133</v>
      </c>
      <c r="AG140" s="38" t="n">
        <f aca="false">F140/($N140+$U140)</f>
        <v>0.279111159780145</v>
      </c>
      <c r="AH140" s="38" t="n">
        <f aca="false">G140/($N140+$U140)</f>
        <v>0.0586843001026447</v>
      </c>
      <c r="AI140" s="39" t="n">
        <f aca="false">I140/($N140+$U140)</f>
        <v>0.953116521583104</v>
      </c>
      <c r="AJ140" s="44" t="n">
        <f aca="false">C140/F140</f>
        <v>14.3903926488166</v>
      </c>
      <c r="AK140" s="44" t="n">
        <f aca="false">D140/G140</f>
        <v>5.50117131294964</v>
      </c>
      <c r="AL140" s="44" t="n">
        <f aca="false">E140/I140</f>
        <v>2.91860194384839</v>
      </c>
      <c r="AM140" s="41"/>
      <c r="AN140" s="42" t="n">
        <f aca="false">AJ140/$V140</f>
        <v>0.848196314591293</v>
      </c>
      <c r="AO140" s="42" t="n">
        <f aca="false">AK140/$V140</f>
        <v>0.324249195101911</v>
      </c>
      <c r="AP140" s="42" t="n">
        <f aca="false">AL140/$V140</f>
        <v>0.172027787770946</v>
      </c>
      <c r="AQ140" s="42" t="n">
        <f aca="false">AM140/$V140</f>
        <v>0</v>
      </c>
      <c r="AR140" s="43"/>
    </row>
    <row r="141" customFormat="false" ht="18.75" hidden="false" customHeight="true" outlineLevel="0" collapsed="false">
      <c r="A141" s="18" t="n">
        <v>2022</v>
      </c>
      <c r="B141" s="18" t="n">
        <v>7</v>
      </c>
      <c r="C141" s="24" t="n">
        <v>1412026.01</v>
      </c>
      <c r="D141" s="24" t="n">
        <v>96466.49</v>
      </c>
      <c r="E141" s="25" t="n">
        <v>943050.38</v>
      </c>
      <c r="F141" s="26" t="n">
        <f aca="false">56094.31+37396.2</f>
        <v>93490.51</v>
      </c>
      <c r="G141" s="26" t="n">
        <v>19849</v>
      </c>
      <c r="H141" s="26" t="n">
        <v>14376</v>
      </c>
      <c r="I141" s="27" t="n">
        <v>312388.65</v>
      </c>
      <c r="J141" s="27"/>
      <c r="K141" s="28" t="n">
        <f aca="false">N141-L141</f>
        <v>240935</v>
      </c>
      <c r="L141" s="29" t="n">
        <v>30610</v>
      </c>
      <c r="M141" s="30" t="n">
        <f aca="false">L141/N141</f>
        <v>0.11272533097645</v>
      </c>
      <c r="N141" s="29" t="n">
        <v>271545</v>
      </c>
      <c r="O141" s="31" t="n">
        <v>288246</v>
      </c>
      <c r="P141" s="24" t="n">
        <v>2349661</v>
      </c>
      <c r="Q141" s="32" t="n">
        <v>229</v>
      </c>
      <c r="R141" s="32" t="n">
        <f aca="false">O141/Q141</f>
        <v>1258.71615720524</v>
      </c>
      <c r="S141" s="33" t="n">
        <v>25</v>
      </c>
      <c r="T141" s="29" t="n">
        <f aca="false">N141/S141</f>
        <v>10861.8</v>
      </c>
      <c r="U141" s="29" t="n">
        <v>20243</v>
      </c>
      <c r="V141" s="34" t="n">
        <f aca="false">'$'!C128</f>
        <v>17.410362</v>
      </c>
      <c r="W141" s="35" t="n">
        <f aca="false">SUM(C141:E141)/V141</f>
        <v>140809.414531415</v>
      </c>
      <c r="X141" s="35" t="n">
        <f aca="false">C141/$V141</f>
        <v>81102.6221051579</v>
      </c>
      <c r="Y141" s="35" t="n">
        <f aca="false">D141/$V141</f>
        <v>5540.75153635519</v>
      </c>
      <c r="Z141" s="35" t="n">
        <f aca="false">E141/$V141</f>
        <v>54166.0408899022</v>
      </c>
      <c r="AA141" s="36" t="n">
        <f aca="false">C141/((N141+U141)*V141)</f>
        <v>0.277950505521673</v>
      </c>
      <c r="AB141" s="36" t="n">
        <f aca="false">D141/((N141+U141)*V141)</f>
        <v>0.0189889630017519</v>
      </c>
      <c r="AC141" s="36" t="n">
        <f aca="false">E141/((N141+U141)*V141)</f>
        <v>0.185634916068866</v>
      </c>
      <c r="AD141" s="36" t="n">
        <f aca="false">(C141+D141+E141)/((N141+U141)*V141)</f>
        <v>0.482574384592291</v>
      </c>
      <c r="AE141" s="36" t="n">
        <f aca="false">(C141+D141+E141)/((K141+U141)*V141)</f>
        <v>0.539131988649179</v>
      </c>
      <c r="AF141" s="37" t="n">
        <f aca="false">(P141/V141)/K141</f>
        <v>0.560141195412981</v>
      </c>
      <c r="AG141" s="38" t="n">
        <f aca="false">F141/($N141+$U141)</f>
        <v>0.320405602697849</v>
      </c>
      <c r="AH141" s="38" t="n">
        <f aca="false">G141/($N141+$U141)</f>
        <v>0.0680254157127778</v>
      </c>
      <c r="AI141" s="39" t="n">
        <f aca="false">I141/($N141+$U141)</f>
        <v>1.0706014298052</v>
      </c>
      <c r="AJ141" s="44" t="n">
        <f aca="false">C141/F141</f>
        <v>15.1034154161743</v>
      </c>
      <c r="AK141" s="44" t="n">
        <f aca="false">D141/G141</f>
        <v>4.86001763313013</v>
      </c>
      <c r="AL141" s="44" t="n">
        <f aca="false">E141/I141</f>
        <v>3.01883688795992</v>
      </c>
      <c r="AM141" s="41"/>
      <c r="AN141" s="42" t="n">
        <f aca="false">AJ141/$V141</f>
        <v>0.867495771551122</v>
      </c>
      <c r="AO141" s="42" t="n">
        <f aca="false">AK141/$V141</f>
        <v>0.279145122492578</v>
      </c>
      <c r="AP141" s="42" t="n">
        <f aca="false">AL141/$V141</f>
        <v>0.173393114282168</v>
      </c>
      <c r="AQ141" s="42" t="n">
        <f aca="false">AM141/$V141</f>
        <v>0</v>
      </c>
      <c r="AR141" s="43"/>
    </row>
    <row r="142" customFormat="false" ht="18.75" hidden="false" customHeight="true" outlineLevel="0" collapsed="false">
      <c r="A142" s="18" t="n">
        <v>2022</v>
      </c>
      <c r="B142" s="18" t="n">
        <v>8</v>
      </c>
      <c r="C142" s="24" t="n">
        <v>1447867.68</v>
      </c>
      <c r="D142" s="24" t="n">
        <v>93358.21</v>
      </c>
      <c r="E142" s="25" t="n">
        <v>1200984.7</v>
      </c>
      <c r="F142" s="26" t="n">
        <f aca="false">56365.24+37576.82</f>
        <v>93942.06</v>
      </c>
      <c r="G142" s="26" t="n">
        <v>20331</v>
      </c>
      <c r="H142" s="26" t="n">
        <v>13027</v>
      </c>
      <c r="I142" s="27" t="n">
        <v>314312.67</v>
      </c>
      <c r="J142" s="27"/>
      <c r="K142" s="28" t="n">
        <f aca="false">N142-L142</f>
        <v>257634</v>
      </c>
      <c r="L142" s="29" t="n">
        <v>24436</v>
      </c>
      <c r="M142" s="30" t="n">
        <f aca="false">L142/N142</f>
        <v>0.0866309781259971</v>
      </c>
      <c r="N142" s="29" t="n">
        <v>282070</v>
      </c>
      <c r="O142" s="31" t="n">
        <v>283673</v>
      </c>
      <c r="P142" s="24" t="n">
        <v>2689252</v>
      </c>
      <c r="Q142" s="32" t="n">
        <v>221</v>
      </c>
      <c r="R142" s="32" t="n">
        <f aca="false">O142/Q142</f>
        <v>1283.58823529412</v>
      </c>
      <c r="S142" s="33" t="n">
        <v>27</v>
      </c>
      <c r="T142" s="29" t="n">
        <f aca="false">N142/S142</f>
        <v>10447.037037037</v>
      </c>
      <c r="U142" s="29" t="n">
        <v>15367</v>
      </c>
      <c r="V142" s="34" t="n">
        <f aca="false">'$'!C129</f>
        <v>18.018529</v>
      </c>
      <c r="W142" s="35" t="n">
        <f aca="false">SUM(C142:E142)/V142</f>
        <v>152188.371758871</v>
      </c>
      <c r="X142" s="35" t="n">
        <f aca="false">C142/$V142</f>
        <v>80354.3774300333</v>
      </c>
      <c r="Y142" s="35" t="n">
        <f aca="false">D142/$V142</f>
        <v>5181.23371780238</v>
      </c>
      <c r="Z142" s="35" t="n">
        <f aca="false">E142/$V142</f>
        <v>66652.7606110354</v>
      </c>
      <c r="AA142" s="36" t="n">
        <f aca="false">C142/((N142+U142)*V142)</f>
        <v>0.270155957160788</v>
      </c>
      <c r="AB142" s="36" t="n">
        <f aca="false">D142/((N142+U142)*V142)</f>
        <v>0.0174196005130578</v>
      </c>
      <c r="AC142" s="36" t="n">
        <f aca="false">E142/((N142+U142)*V142)</f>
        <v>0.224090347236677</v>
      </c>
      <c r="AD142" s="36" t="n">
        <f aca="false">(C142+D142+E142)/((N142+U142)*V142)</f>
        <v>0.511665904910523</v>
      </c>
      <c r="AE142" s="36" t="n">
        <f aca="false">(C142+D142+E142)/((K142+U142)*V142)</f>
        <v>0.557464521224725</v>
      </c>
      <c r="AF142" s="37" t="n">
        <f aca="false">(P142/V142)/K142</f>
        <v>0.579307286172629</v>
      </c>
      <c r="AG142" s="38" t="n">
        <f aca="false">F142/($N142+$U142)</f>
        <v>0.315838513702061</v>
      </c>
      <c r="AH142" s="38" t="n">
        <f aca="false">G142/($N142+$U142)</f>
        <v>0.0683539707568325</v>
      </c>
      <c r="AI142" s="39" t="n">
        <f aca="false">I142/($N142+$U142)</f>
        <v>1.05673695606128</v>
      </c>
      <c r="AJ142" s="40" t="n">
        <f aca="false">C142/F142</f>
        <v>15.4123475682777</v>
      </c>
      <c r="AK142" s="40" t="n">
        <f aca="false">D142/G142</f>
        <v>4.5919143180365</v>
      </c>
      <c r="AL142" s="44" t="n">
        <f aca="false">E142/I142</f>
        <v>3.82098723541752</v>
      </c>
      <c r="AM142" s="41"/>
      <c r="AN142" s="42" t="n">
        <f aca="false">AJ142/$V142</f>
        <v>0.855361032428215</v>
      </c>
      <c r="AO142" s="42" t="n">
        <f aca="false">AK142/$V142</f>
        <v>0.254844017402114</v>
      </c>
      <c r="AP142" s="42" t="n">
        <f aca="false">AL142/$V142</f>
        <v>0.212058777684767</v>
      </c>
      <c r="AQ142" s="42" t="n">
        <f aca="false">AM142/$V142</f>
        <v>0</v>
      </c>
      <c r="AR142" s="43"/>
    </row>
    <row r="143" customFormat="false" ht="18.75" hidden="false" customHeight="true" outlineLevel="0" collapsed="false">
      <c r="A143" s="18" t="n">
        <v>2022</v>
      </c>
      <c r="B143" s="18" t="n">
        <v>9</v>
      </c>
      <c r="C143" s="24" t="n">
        <v>2122514.76</v>
      </c>
      <c r="D143" s="24" t="n">
        <v>105145.38</v>
      </c>
      <c r="E143" s="25" t="n">
        <v>1483356.22</v>
      </c>
      <c r="F143" s="26" t="n">
        <f aca="false">55553.8+37035.87</f>
        <v>92589.67</v>
      </c>
      <c r="G143" s="26" t="n">
        <v>21180</v>
      </c>
      <c r="H143" s="26" t="n">
        <v>14736</v>
      </c>
      <c r="I143" s="27" t="n">
        <v>311506.02</v>
      </c>
      <c r="J143" s="27"/>
      <c r="K143" s="28" t="n">
        <f aca="false">N143-L143</f>
        <v>237619</v>
      </c>
      <c r="L143" s="29" t="n">
        <v>37321</v>
      </c>
      <c r="M143" s="30" t="n">
        <f aca="false">L143/N143</f>
        <v>0.135742343784098</v>
      </c>
      <c r="N143" s="29" t="n">
        <v>274940</v>
      </c>
      <c r="O143" s="31" t="n">
        <v>253396</v>
      </c>
      <c r="P143" s="24" t="n">
        <v>2639331</v>
      </c>
      <c r="Q143" s="32" t="n">
        <v>225</v>
      </c>
      <c r="R143" s="32" t="n">
        <f aca="false">O143/Q143</f>
        <v>1126.20444444444</v>
      </c>
      <c r="S143" s="33" t="n">
        <v>23</v>
      </c>
      <c r="T143" s="29" t="n">
        <f aca="false">N143/S143</f>
        <v>11953.9130434783</v>
      </c>
      <c r="U143" s="29" t="n">
        <v>29145</v>
      </c>
      <c r="V143" s="34" t="n">
        <f aca="false">'$'!C130</f>
        <v>18.301932</v>
      </c>
      <c r="W143" s="35" t="n">
        <f aca="false">SUM(C143:E143)/V143</f>
        <v>202766.372424507</v>
      </c>
      <c r="X143" s="35" t="n">
        <f aca="false">C143/$V143</f>
        <v>115972.169495548</v>
      </c>
      <c r="Y143" s="35" t="n">
        <f aca="false">D143/$V143</f>
        <v>5745.0426545132</v>
      </c>
      <c r="Z143" s="35" t="n">
        <f aca="false">E143/$V143</f>
        <v>81049.1602744454</v>
      </c>
      <c r="AA143" s="36" t="n">
        <f aca="false">C143/((N143+U143)*V143)</f>
        <v>0.381380763587643</v>
      </c>
      <c r="AB143" s="36" t="n">
        <f aca="false">D143/((N143+U143)*V143)</f>
        <v>0.018892884076864</v>
      </c>
      <c r="AC143" s="36" t="n">
        <f aca="false">E143/((N143+U143)*V143)</f>
        <v>0.26653455538565</v>
      </c>
      <c r="AD143" s="36" t="n">
        <f aca="false">(C143+D143+E143)/((N143+U143)*V143)</f>
        <v>0.666808203050156</v>
      </c>
      <c r="AE143" s="36" t="n">
        <f aca="false">(C143+D143+E143)/((K143+U143)*V143)</f>
        <v>0.760096461383496</v>
      </c>
      <c r="AF143" s="37" t="n">
        <f aca="false">(P143/V143)/K143</f>
        <v>0.606898071523452</v>
      </c>
      <c r="AG143" s="38" t="n">
        <f aca="false">F143/($N143+$U143)</f>
        <v>0.304486146965487</v>
      </c>
      <c r="AH143" s="38" t="n">
        <f aca="false">G143/($N143+$U143)</f>
        <v>0.0696515776838713</v>
      </c>
      <c r="AI143" s="39" t="n">
        <f aca="false">I143/($N143+$U143)</f>
        <v>1.02440442639394</v>
      </c>
      <c r="AJ143" s="44" t="n">
        <f aca="false">C143/F143</f>
        <v>22.9238829774423</v>
      </c>
      <c r="AK143" s="40" t="n">
        <f aca="false">D143/G143</f>
        <v>4.96437110481586</v>
      </c>
      <c r="AL143" s="44" t="n">
        <f aca="false">E143/I143</f>
        <v>4.76188620688615</v>
      </c>
      <c r="AM143" s="41"/>
      <c r="AN143" s="42" t="n">
        <f aca="false">AJ143/$V143</f>
        <v>1.25253896569183</v>
      </c>
      <c r="AO143" s="42" t="n">
        <f aca="false">AK143/$V143</f>
        <v>0.271248472828763</v>
      </c>
      <c r="AP143" s="42" t="n">
        <f aca="false">AL143/$V143</f>
        <v>0.260184892331921</v>
      </c>
      <c r="AQ143" s="42" t="n">
        <f aca="false">AM143/$V143</f>
        <v>0</v>
      </c>
      <c r="AR143" s="43"/>
    </row>
    <row r="144" customFormat="false" ht="18.75" hidden="false" customHeight="true" outlineLevel="0" collapsed="false">
      <c r="A144" s="18" t="n">
        <v>2022</v>
      </c>
      <c r="B144" s="18" t="n">
        <v>10</v>
      </c>
      <c r="C144" s="24" t="n">
        <v>2444136.18</v>
      </c>
      <c r="D144" s="24" t="n">
        <v>135455.41</v>
      </c>
      <c r="E144" s="25" t="n">
        <v>1409378.41</v>
      </c>
      <c r="F144" s="26" t="n">
        <v>101611.19</v>
      </c>
      <c r="G144" s="26" t="n">
        <v>20983</v>
      </c>
      <c r="H144" s="26" t="n">
        <v>13008</v>
      </c>
      <c r="I144" s="27" t="n">
        <v>320496.75</v>
      </c>
      <c r="J144" s="27"/>
      <c r="K144" s="28" t="n">
        <f aca="false">N144-L144</f>
        <v>243165</v>
      </c>
      <c r="L144" s="29" t="n">
        <v>42972</v>
      </c>
      <c r="M144" s="30" t="n">
        <f aca="false">L144/N144</f>
        <v>0.150179808972625</v>
      </c>
      <c r="N144" s="29" t="n">
        <v>286137</v>
      </c>
      <c r="O144" s="31" t="n">
        <v>280517</v>
      </c>
      <c r="P144" s="24" t="n">
        <v>2806948</v>
      </c>
      <c r="Q144" s="32" t="n">
        <v>224</v>
      </c>
      <c r="R144" s="32" t="n">
        <f aca="false">O144/Q144</f>
        <v>1252.30803571429</v>
      </c>
      <c r="S144" s="33" t="n">
        <v>26</v>
      </c>
      <c r="T144" s="29" t="n">
        <f aca="false">N144/S144</f>
        <v>11005.2692307692</v>
      </c>
      <c r="U144" s="29" t="n">
        <v>23111</v>
      </c>
      <c r="V144" s="34" t="n">
        <f aca="false">'$'!C131</f>
        <v>18.578678</v>
      </c>
      <c r="W144" s="35" t="n">
        <f aca="false">SUM(C144:E144)/V144</f>
        <v>214706.880651034</v>
      </c>
      <c r="X144" s="35" t="n">
        <f aca="false">C144/$V144</f>
        <v>131555.979386693</v>
      </c>
      <c r="Y144" s="35" t="n">
        <f aca="false">D144/$V144</f>
        <v>7290.90681263758</v>
      </c>
      <c r="Z144" s="35" t="n">
        <f aca="false">E144/$V144</f>
        <v>75859.9944517043</v>
      </c>
      <c r="AA144" s="36" t="n">
        <f aca="false">C144/((N144+U144)*V144)</f>
        <v>0.425406079866944</v>
      </c>
      <c r="AB144" s="36" t="n">
        <f aca="false">D144/((N144+U144)*V144)</f>
        <v>0.0235762456431006</v>
      </c>
      <c r="AC144" s="36" t="n">
        <f aca="false">E144/((N144+U144)*V144)</f>
        <v>0.24530472129716</v>
      </c>
      <c r="AD144" s="36" t="n">
        <f aca="false">(C144+D144+E144)/((N144+U144)*V144)</f>
        <v>0.694287046807205</v>
      </c>
      <c r="AE144" s="36" t="n">
        <f aca="false">(C144+D144+E144)/((K144+U144)*V144)</f>
        <v>0.806332078937022</v>
      </c>
      <c r="AF144" s="37" t="n">
        <f aca="false">(P144/V144)/K144</f>
        <v>0.621324522354415</v>
      </c>
      <c r="AG144" s="38" t="n">
        <f aca="false">F144/($N144+$U144)</f>
        <v>0.328575091835679</v>
      </c>
      <c r="AH144" s="38" t="n">
        <f aca="false">G144/($N144+$U144)</f>
        <v>0.0678516918460265</v>
      </c>
      <c r="AI144" s="39" t="n">
        <f aca="false">I144/($N144+$U144)</f>
        <v>1.036374527887</v>
      </c>
      <c r="AJ144" s="44" t="n">
        <f aca="false">C144/F144</f>
        <v>24.0538092310502</v>
      </c>
      <c r="AK144" s="44" t="n">
        <f aca="false">D144/G144</f>
        <v>6.45548348663204</v>
      </c>
      <c r="AL144" s="40" t="n">
        <f aca="false">E144/I144</f>
        <v>4.3974811289038</v>
      </c>
      <c r="AM144" s="41"/>
      <c r="AN144" s="42" t="n">
        <f aca="false">AJ144/$V144</f>
        <v>1.29469972142529</v>
      </c>
      <c r="AO144" s="42" t="n">
        <f aca="false">AK144/$V144</f>
        <v>0.34746732176703</v>
      </c>
      <c r="AP144" s="42" t="n">
        <f aca="false">AL144/$V144</f>
        <v>0.236695050579153</v>
      </c>
      <c r="AQ144" s="42" t="n">
        <f aca="false">AM144/$V144</f>
        <v>0</v>
      </c>
      <c r="AR144" s="43"/>
    </row>
    <row r="145" customFormat="false" ht="18.75" hidden="false" customHeight="true" outlineLevel="0" collapsed="false">
      <c r="A145" s="18" t="n">
        <v>2022</v>
      </c>
      <c r="B145" s="18" t="n">
        <v>11</v>
      </c>
      <c r="C145" s="24" t="n">
        <v>2308797.1</v>
      </c>
      <c r="D145" s="24" t="n">
        <v>125231</v>
      </c>
      <c r="E145" s="25" t="n">
        <v>1127112.33</v>
      </c>
      <c r="F145" s="26" t="n">
        <f aca="false">57802.72+38535.14</f>
        <v>96337.86</v>
      </c>
      <c r="G145" s="26" t="n">
        <v>17254</v>
      </c>
      <c r="H145" s="26" t="n">
        <v>13683</v>
      </c>
      <c r="I145" s="27" t="n">
        <v>276423.84</v>
      </c>
      <c r="J145" s="27"/>
      <c r="K145" s="28" t="n">
        <f aca="false">N145-L145</f>
        <v>195196</v>
      </c>
      <c r="L145" s="29" t="n">
        <v>18076</v>
      </c>
      <c r="M145" s="30" t="n">
        <f aca="false">L145/N145</f>
        <v>0.0847556172399565</v>
      </c>
      <c r="N145" s="29" t="n">
        <v>213272</v>
      </c>
      <c r="O145" s="31" t="n">
        <v>214698</v>
      </c>
      <c r="P145" s="24" t="n">
        <v>2537971</v>
      </c>
      <c r="Q145" s="32" t="n">
        <v>206</v>
      </c>
      <c r="R145" s="32" t="n">
        <f aca="false">O145/Q145</f>
        <v>1042.22330097087</v>
      </c>
      <c r="S145" s="33" t="n">
        <v>24</v>
      </c>
      <c r="T145" s="29" t="n">
        <f aca="false">N145/S145</f>
        <v>8886.33333333334</v>
      </c>
      <c r="U145" s="29" t="n">
        <v>33541</v>
      </c>
      <c r="V145" s="34" t="n">
        <f aca="false">'$'!C132</f>
        <v>18.598286</v>
      </c>
      <c r="W145" s="35" t="n">
        <f aca="false">SUM(C145:E145)/V145</f>
        <v>191476.80759399</v>
      </c>
      <c r="X145" s="35" t="n">
        <f aca="false">C145/$V145</f>
        <v>124140.315940942</v>
      </c>
      <c r="Y145" s="35" t="n">
        <f aca="false">D145/$V145</f>
        <v>6733.46995524211</v>
      </c>
      <c r="Z145" s="35" t="n">
        <f aca="false">E145/$V145</f>
        <v>60603.0216978059</v>
      </c>
      <c r="AA145" s="36" t="n">
        <f aca="false">C145/((N145+U145)*V145)</f>
        <v>0.502973165679855</v>
      </c>
      <c r="AB145" s="36" t="n">
        <f aca="false">D145/((N145+U145)*V145)</f>
        <v>0.0272816665055816</v>
      </c>
      <c r="AC145" s="36" t="n">
        <f aca="false">E145/((N145+U145)*V145)</f>
        <v>0.245542259515528</v>
      </c>
      <c r="AD145" s="36" t="n">
        <f aca="false">(C145+D145+E145)/((N145+U145)*V145)</f>
        <v>0.775797091700964</v>
      </c>
      <c r="AE145" s="36" t="n">
        <f aca="false">(C145+D145+E145)/((K145+U145)*V145)</f>
        <v>0.837104655538851</v>
      </c>
      <c r="AF145" s="37" t="n">
        <f aca="false">(P145/V145)/K145</f>
        <v>0.699105662349936</v>
      </c>
      <c r="AG145" s="38" t="n">
        <f aca="false">F145/($N145+$U145)</f>
        <v>0.390327332839032</v>
      </c>
      <c r="AH145" s="38" t="n">
        <f aca="false">G145/($N145+$U145)</f>
        <v>0.069907176688424</v>
      </c>
      <c r="AI145" s="39" t="n">
        <f aca="false">I145/($N145+$U145)</f>
        <v>1.11997277290904</v>
      </c>
      <c r="AJ145" s="40" t="n">
        <f aca="false">C145/F145</f>
        <v>23.9656257674812</v>
      </c>
      <c r="AK145" s="44" t="n">
        <f aca="false">D145/G145</f>
        <v>7.25808508172018</v>
      </c>
      <c r="AL145" s="40" t="n">
        <f aca="false">E145/I145</f>
        <v>4.0774787370004</v>
      </c>
      <c r="AM145" s="41"/>
      <c r="AN145" s="42" t="n">
        <f aca="false">AJ145/$V145</f>
        <v>1.28859324818864</v>
      </c>
      <c r="AO145" s="42" t="n">
        <f aca="false">AK145/$V145</f>
        <v>0.390255590311934</v>
      </c>
      <c r="AP145" s="42" t="n">
        <f aca="false">AL145/$V145</f>
        <v>0.219239489972377</v>
      </c>
      <c r="AQ145" s="42" t="n">
        <f aca="false">AM145/$V145</f>
        <v>0</v>
      </c>
      <c r="AR145" s="43"/>
    </row>
    <row r="146" customFormat="false" ht="18.75" hidden="false" customHeight="true" outlineLevel="0" collapsed="false">
      <c r="A146" s="18" t="n">
        <v>2022</v>
      </c>
      <c r="B146" s="18" t="n">
        <v>12</v>
      </c>
      <c r="C146" s="24" t="n">
        <v>2540976.25</v>
      </c>
      <c r="D146" s="24" t="n">
        <v>153030.48</v>
      </c>
      <c r="E146" s="25" t="n">
        <v>1310773.48</v>
      </c>
      <c r="F146" s="26" t="n">
        <f aca="false">69822.6+46548.4</f>
        <v>116371</v>
      </c>
      <c r="G146" s="26" t="n">
        <v>20039</v>
      </c>
      <c r="H146" s="26" t="n">
        <v>17112</v>
      </c>
      <c r="I146" s="27" t="n">
        <v>277884.81</v>
      </c>
      <c r="J146" s="27"/>
      <c r="K146" s="28" t="n">
        <f aca="false">N146-L146</f>
        <v>196136</v>
      </c>
      <c r="L146" s="29" t="n">
        <v>22302</v>
      </c>
      <c r="M146" s="30" t="n">
        <f aca="false">L146/N146</f>
        <v>0.102097620377407</v>
      </c>
      <c r="N146" s="29" t="n">
        <v>218438</v>
      </c>
      <c r="O146" s="31" t="n">
        <v>203111</v>
      </c>
      <c r="P146" s="24" t="n">
        <v>1916024</v>
      </c>
      <c r="Q146" s="32" t="n">
        <v>198</v>
      </c>
      <c r="R146" s="32" t="n">
        <f aca="false">O146/Q146</f>
        <v>1025.81313131313</v>
      </c>
      <c r="S146" s="33" t="n">
        <v>27</v>
      </c>
      <c r="T146" s="29" t="n">
        <f aca="false">N146/S146</f>
        <v>8090.2962962963</v>
      </c>
      <c r="U146" s="29" t="n">
        <v>21312</v>
      </c>
      <c r="V146" s="34" t="n">
        <f aca="false">'$'!C133</f>
        <v>18.653721</v>
      </c>
      <c r="W146" s="35" t="n">
        <f aca="false">SUM(C146:E146)/V146</f>
        <v>214690.688790724</v>
      </c>
      <c r="X146" s="35" t="n">
        <f aca="false">C146/$V146</f>
        <v>136218.197430958</v>
      </c>
      <c r="Y146" s="35" t="n">
        <f aca="false">D146/$V146</f>
        <v>8203.75087629969</v>
      </c>
      <c r="Z146" s="35" t="n">
        <f aca="false">E146/$V146</f>
        <v>70268.7404834671</v>
      </c>
      <c r="AA146" s="36" t="n">
        <f aca="false">C146/((N146+U146)*V146)</f>
        <v>0.5681676639456</v>
      </c>
      <c r="AB146" s="36" t="n">
        <f aca="false">D146/((N146+U146)*V146)</f>
        <v>0.0342179390043783</v>
      </c>
      <c r="AC146" s="36" t="n">
        <f aca="false">E146/((N146+U146)*V146)</f>
        <v>0.293091722558778</v>
      </c>
      <c r="AD146" s="36" t="n">
        <f aca="false">(C146+D146+E146)/((N146+U146)*V146)</f>
        <v>0.895477325508757</v>
      </c>
      <c r="AE146" s="36" t="n">
        <f aca="false">(C146+D146+E146)/((K146+U146)*V146)</f>
        <v>0.987319675465971</v>
      </c>
      <c r="AF146" s="37" t="n">
        <f aca="false">(P146/V146)/K146</f>
        <v>0.523694670054729</v>
      </c>
      <c r="AG146" s="38" t="n">
        <f aca="false">F146/($N146+$U146)</f>
        <v>0.485384775808133</v>
      </c>
      <c r="AH146" s="38" t="n">
        <f aca="false">G146/($N146+$U146)</f>
        <v>0.0835828988529718</v>
      </c>
      <c r="AI146" s="39" t="n">
        <f aca="false">I146/($N146+$U146)</f>
        <v>1.15906072992701</v>
      </c>
      <c r="AJ146" s="40" t="n">
        <f aca="false">C146/F146</f>
        <v>21.8351328939341</v>
      </c>
      <c r="AK146" s="44" t="n">
        <f aca="false">D146/G146</f>
        <v>7.63663256649534</v>
      </c>
      <c r="AL146" s="40" t="n">
        <f aca="false">E146/I146</f>
        <v>4.71696700514145</v>
      </c>
      <c r="AM146" s="41"/>
      <c r="AN146" s="42" t="n">
        <f aca="false">AJ146/$V146</f>
        <v>1.17055106023801</v>
      </c>
      <c r="AO146" s="42" t="n">
        <f aca="false">AK146/$V146</f>
        <v>0.409389234807111</v>
      </c>
      <c r="AP146" s="42" t="n">
        <f aca="false">AL146/$V146</f>
        <v>0.252870030871666</v>
      </c>
      <c r="AQ146" s="42" t="n">
        <f aca="false">AM146/$V146</f>
        <v>0</v>
      </c>
      <c r="AR146" s="43"/>
    </row>
    <row r="147" customFormat="false" ht="18.75" hidden="false" customHeight="true" outlineLevel="0" collapsed="false">
      <c r="A147" s="18" t="n">
        <v>2023</v>
      </c>
      <c r="B147" s="18" t="n">
        <v>1</v>
      </c>
      <c r="C147" s="24" t="n">
        <v>2575837.49</v>
      </c>
      <c r="D147" s="24" t="n">
        <v>178005.94</v>
      </c>
      <c r="E147" s="25" t="n">
        <v>1265106.02</v>
      </c>
      <c r="F147" s="26" t="n">
        <v>123605.99</v>
      </c>
      <c r="G147" s="26" t="n">
        <v>19139</v>
      </c>
      <c r="H147" s="26" t="n">
        <v>13785</v>
      </c>
      <c r="I147" s="27" t="n">
        <v>291846.24</v>
      </c>
      <c r="J147" s="27"/>
      <c r="K147" s="28" t="n">
        <f aca="false">N147-L147</f>
        <v>239033</v>
      </c>
      <c r="L147" s="29" t="n">
        <v>23229</v>
      </c>
      <c r="M147" s="30" t="n">
        <f aca="false">L147/N147</f>
        <v>0.0885717336099015</v>
      </c>
      <c r="N147" s="29" t="n">
        <v>262262</v>
      </c>
      <c r="O147" s="31" t="n">
        <v>241861</v>
      </c>
      <c r="P147" s="24" t="n">
        <v>3274070</v>
      </c>
      <c r="Q147" s="32" t="n">
        <v>201</v>
      </c>
      <c r="R147" s="32" t="n">
        <f aca="false">O147/Q147</f>
        <v>1203.28855721393</v>
      </c>
      <c r="S147" s="33" t="n">
        <v>26</v>
      </c>
      <c r="T147" s="29" t="n">
        <f aca="false">N147/S147</f>
        <v>10087</v>
      </c>
      <c r="U147" s="29" t="n">
        <v>13160</v>
      </c>
      <c r="V147" s="34" t="n">
        <f aca="false">'$'!C134</f>
        <v>18.779415</v>
      </c>
      <c r="W147" s="35" t="n">
        <f aca="false">SUM(C147:E147)/V147</f>
        <v>214008.234548307</v>
      </c>
      <c r="X147" s="35" t="n">
        <f aca="false">C147/$V147</f>
        <v>137162.818437103</v>
      </c>
      <c r="Y147" s="35" t="n">
        <f aca="false">D147/$V147</f>
        <v>9478.77982354615</v>
      </c>
      <c r="Z147" s="35" t="n">
        <f aca="false">E147/$V147</f>
        <v>67366.6362876586</v>
      </c>
      <c r="AA147" s="36" t="n">
        <f aca="false">C147/((N147+U147)*V147)</f>
        <v>0.498009666755388</v>
      </c>
      <c r="AB147" s="36" t="n">
        <f aca="false">D147/((N147+U147)*V147)</f>
        <v>0.0344154781518766</v>
      </c>
      <c r="AC147" s="36" t="n">
        <f aca="false">E147/((N147+U147)*V147)</f>
        <v>0.244594245512917</v>
      </c>
      <c r="AD147" s="36" t="n">
        <f aca="false">(C147+D147+E147)/((N147+U147)*V147)</f>
        <v>0.777019390420182</v>
      </c>
      <c r="AE147" s="36" t="n">
        <f aca="false">(C147+D147+E147)/((K147+U147)*V147)</f>
        <v>0.848589114481002</v>
      </c>
      <c r="AF147" s="37" t="n">
        <f aca="false">(P147/V147)/K147</f>
        <v>0.729370239654094</v>
      </c>
      <c r="AG147" s="38" t="n">
        <f aca="false">F147/($N147+$U147)</f>
        <v>0.448787642236277</v>
      </c>
      <c r="AH147" s="38" t="n">
        <f aca="false">G147/($N147+$U147)</f>
        <v>0.0694897284893727</v>
      </c>
      <c r="AI147" s="39" t="n">
        <f aca="false">I147/($N147+$U147)</f>
        <v>1.05963299954252</v>
      </c>
      <c r="AJ147" s="40" t="n">
        <f aca="false">C147/F147</f>
        <v>20.8390992216478</v>
      </c>
      <c r="AK147" s="44" t="n">
        <f aca="false">D147/G147</f>
        <v>9.30069178117979</v>
      </c>
      <c r="AL147" s="40" t="n">
        <f aca="false">E147/I147</f>
        <v>4.33483748154508</v>
      </c>
      <c r="AM147" s="41"/>
      <c r="AN147" s="42" t="n">
        <f aca="false">AJ147/$V147</f>
        <v>1.10967776268045</v>
      </c>
      <c r="AO147" s="42" t="n">
        <f aca="false">AK147/$V147</f>
        <v>0.495259931216163</v>
      </c>
      <c r="AP147" s="42" t="n">
        <f aca="false">AL147/$V147</f>
        <v>0.230829207488363</v>
      </c>
      <c r="AQ147" s="42" t="n">
        <f aca="false">AM147/$V147</f>
        <v>0</v>
      </c>
      <c r="AR147" s="43" t="n">
        <v>252</v>
      </c>
    </row>
    <row r="148" customFormat="false" ht="18.75" hidden="false" customHeight="true" outlineLevel="0" collapsed="false">
      <c r="A148" s="18" t="n">
        <v>2023</v>
      </c>
      <c r="B148" s="18" t="n">
        <v>2</v>
      </c>
      <c r="C148" s="24" t="n">
        <v>1618388.92</v>
      </c>
      <c r="D148" s="24" t="n">
        <v>140852.4</v>
      </c>
      <c r="E148" s="25" t="n">
        <v>933754.54</v>
      </c>
      <c r="F148" s="26" t="n">
        <v>89278.2</v>
      </c>
      <c r="G148" s="26" t="n">
        <v>14555</v>
      </c>
      <c r="H148" s="26" t="n">
        <v>10938</v>
      </c>
      <c r="I148" s="27" t="n">
        <v>245356.02</v>
      </c>
      <c r="J148" s="27"/>
      <c r="K148" s="28" t="n">
        <f aca="false">N148-L148</f>
        <v>190645</v>
      </c>
      <c r="L148" s="29" t="n">
        <v>22772</v>
      </c>
      <c r="M148" s="30" t="n">
        <f aca="false">L148/N148</f>
        <v>0.106701902847477</v>
      </c>
      <c r="N148" s="29" t="n">
        <v>213417</v>
      </c>
      <c r="O148" s="31" t="n">
        <v>204832</v>
      </c>
      <c r="P148" s="24" t="n">
        <v>2799928</v>
      </c>
      <c r="Q148" s="32" t="n">
        <v>200</v>
      </c>
      <c r="R148" s="32" t="n">
        <f aca="false">O148/Q148</f>
        <v>1024.16</v>
      </c>
      <c r="S148" s="33" t="n">
        <v>22</v>
      </c>
      <c r="T148" s="29" t="n">
        <f aca="false">N148/S148</f>
        <v>9700.77272727273</v>
      </c>
      <c r="U148" s="29" t="n">
        <v>10444.3</v>
      </c>
      <c r="V148" s="34" t="n">
        <f aca="false">'$'!C135</f>
        <v>18.848094</v>
      </c>
      <c r="W148" s="35" t="n">
        <f aca="false">SUM(C148:E148)/V148</f>
        <v>142878.948927144</v>
      </c>
      <c r="X148" s="35" t="n">
        <f aca="false">C148/$V148</f>
        <v>85864.8582716109</v>
      </c>
      <c r="Y148" s="35" t="n">
        <f aca="false">D148/$V148</f>
        <v>7473.0314906112</v>
      </c>
      <c r="Z148" s="35" t="n">
        <f aca="false">E148/$V148</f>
        <v>49541.0591649214</v>
      </c>
      <c r="AA148" s="36" t="n">
        <f aca="false">C148/((N148+U148)*V148)</f>
        <v>0.383562760832761</v>
      </c>
      <c r="AB148" s="36" t="n">
        <f aca="false">D148/((N148+U148)*V148)</f>
        <v>0.0333824179999455</v>
      </c>
      <c r="AC148" s="36" t="n">
        <f aca="false">E148/((N148+U148)*V148)</f>
        <v>0.221302472401087</v>
      </c>
      <c r="AD148" s="36" t="n">
        <f aca="false">(C148+D148+E148)/((N148+U148)*V148)</f>
        <v>0.638247651233793</v>
      </c>
      <c r="AE148" s="36" t="n">
        <f aca="false">(C148+D148+E148)/((K148+U148)*V148)</f>
        <v>0.710524870926218</v>
      </c>
      <c r="AF148" s="37" t="n">
        <f aca="false">(P148/V148)/K148</f>
        <v>0.779209080527535</v>
      </c>
      <c r="AG148" s="38" t="n">
        <f aca="false">F148/($N148+$U148)</f>
        <v>0.398810334792123</v>
      </c>
      <c r="AH148" s="38" t="n">
        <f aca="false">G148/($N148+$U148)</f>
        <v>0.0650179374460883</v>
      </c>
      <c r="AI148" s="39" t="n">
        <f aca="false">I148/($N148+$U148)</f>
        <v>1.09601802544701</v>
      </c>
      <c r="AJ148" s="40" t="n">
        <f aca="false">C148/F148</f>
        <v>18.1274815128441</v>
      </c>
      <c r="AK148" s="44" t="n">
        <f aca="false">D148/G148</f>
        <v>9.67725180350395</v>
      </c>
      <c r="AL148" s="40" t="n">
        <f aca="false">E148/I148</f>
        <v>3.80571277607128</v>
      </c>
      <c r="AM148" s="41"/>
      <c r="AN148" s="42" t="n">
        <f aca="false">AJ148/$V148</f>
        <v>0.961767354982637</v>
      </c>
      <c r="AO148" s="42" t="n">
        <f aca="false">AK148/$V148</f>
        <v>0.513433973934126</v>
      </c>
      <c r="AP148" s="42" t="n">
        <f aca="false">AL148/$V148</f>
        <v>0.201914993424337</v>
      </c>
      <c r="AQ148" s="42" t="n">
        <f aca="false">AM148/$V148</f>
        <v>0</v>
      </c>
      <c r="AR148" s="43" t="n">
        <v>271</v>
      </c>
    </row>
    <row r="149" customFormat="false" ht="18.75" hidden="false" customHeight="true" outlineLevel="0" collapsed="false">
      <c r="A149" s="18" t="n">
        <v>2023</v>
      </c>
      <c r="B149" s="18" t="n">
        <v>3</v>
      </c>
      <c r="C149" s="24" t="n">
        <v>1618831.19</v>
      </c>
      <c r="D149" s="24" t="n">
        <v>180399.72</v>
      </c>
      <c r="E149" s="25" t="n">
        <v>917636.95</v>
      </c>
      <c r="F149" s="26" t="n">
        <v>112520.19</v>
      </c>
      <c r="G149" s="26" t="n">
        <v>20387</v>
      </c>
      <c r="H149" s="26" t="n">
        <v>13946</v>
      </c>
      <c r="I149" s="27" t="n">
        <v>327463.29</v>
      </c>
      <c r="J149" s="27"/>
      <c r="K149" s="28" t="n">
        <f aca="false">N149-L149</f>
        <v>240798</v>
      </c>
      <c r="L149" s="29" t="n">
        <v>23121</v>
      </c>
      <c r="M149" s="30" t="n">
        <f aca="false">L149/N149</f>
        <v>0.087606424698487</v>
      </c>
      <c r="N149" s="29" t="n">
        <v>263919</v>
      </c>
      <c r="O149" s="31" t="n">
        <v>241326</v>
      </c>
      <c r="P149" s="24" t="n">
        <v>3318404</v>
      </c>
      <c r="Q149" s="32" t="n">
        <v>209</v>
      </c>
      <c r="R149" s="32" t="n">
        <f aca="false">O149/Q149</f>
        <v>1154.66985645933</v>
      </c>
      <c r="S149" s="33" t="n">
        <v>27</v>
      </c>
      <c r="T149" s="29" t="n">
        <f aca="false">N149/S149</f>
        <v>9774.77777777778</v>
      </c>
      <c r="U149" s="29" t="n">
        <v>38837</v>
      </c>
      <c r="V149" s="34" t="n">
        <f aca="false">'$'!C136</f>
        <v>18.992986</v>
      </c>
      <c r="W149" s="35" t="n">
        <f aca="false">SUM(C149:E149)/V149</f>
        <v>143045.851768648</v>
      </c>
      <c r="X149" s="35" t="n">
        <f aca="false">C149/$V149</f>
        <v>85233.1060529398</v>
      </c>
      <c r="Y149" s="35" t="n">
        <f aca="false">D149/$V149</f>
        <v>9498.22845128196</v>
      </c>
      <c r="Z149" s="35" t="n">
        <f aca="false">E149/$V149</f>
        <v>48314.5172644259</v>
      </c>
      <c r="AA149" s="36" t="n">
        <f aca="false">C149/((N149+U149)*V149)</f>
        <v>0.281524085576965</v>
      </c>
      <c r="AB149" s="36" t="n">
        <f aca="false">D149/((N149+U149)*V149)</f>
        <v>0.0313725523235938</v>
      </c>
      <c r="AC149" s="36" t="n">
        <f aca="false">E149/((N149+U149)*V149)</f>
        <v>0.159582360925716</v>
      </c>
      <c r="AD149" s="36" t="n">
        <f aca="false">(C149+D149+E149)/((N149+U149)*V149)</f>
        <v>0.472478998826275</v>
      </c>
      <c r="AE149" s="36" t="n">
        <f aca="false">(C149+D149+E149)/((K149+U149)*V149)</f>
        <v>0.511544877317388</v>
      </c>
      <c r="AF149" s="37" t="n">
        <f aca="false">(P149/V149)/K149</f>
        <v>0.725576376842066</v>
      </c>
      <c r="AG149" s="38" t="n">
        <f aca="false">F149/($N149+$U149)</f>
        <v>0.371653047338451</v>
      </c>
      <c r="AH149" s="38" t="n">
        <f aca="false">G149/($N149+$U149)</f>
        <v>0.0673380544068491</v>
      </c>
      <c r="AI149" s="39" t="n">
        <f aca="false">I149/($N149+$U149)</f>
        <v>1.08160792849688</v>
      </c>
      <c r="AJ149" s="40" t="n">
        <f aca="false">C149/F149</f>
        <v>14.3870285857143</v>
      </c>
      <c r="AK149" s="40" t="n">
        <f aca="false">D149/G149</f>
        <v>8.84876244665718</v>
      </c>
      <c r="AL149" s="40" t="n">
        <f aca="false">E149/I149</f>
        <v>2.80225899519913</v>
      </c>
      <c r="AM149" s="41" t="n">
        <f aca="false">E149/(I149-J149)</f>
        <v>2.80225899519913</v>
      </c>
      <c r="AN149" s="42" t="n">
        <f aca="false">AJ149/$V149</f>
        <v>0.757491664855345</v>
      </c>
      <c r="AO149" s="42" t="n">
        <f aca="false">AK149/$V149</f>
        <v>0.46589632860558</v>
      </c>
      <c r="AP149" s="42" t="n">
        <f aca="false">AL149/$V149</f>
        <v>0.147541781750333</v>
      </c>
      <c r="AQ149" s="42" t="n">
        <f aca="false">AM149/$V149</f>
        <v>0.147541781750333</v>
      </c>
      <c r="AR149" s="43" t="n">
        <v>138</v>
      </c>
    </row>
    <row r="150" customFormat="false" ht="18.75" hidden="false" customHeight="true" outlineLevel="0" collapsed="false">
      <c r="A150" s="18" t="n">
        <v>2023</v>
      </c>
      <c r="B150" s="18" t="n">
        <v>4</v>
      </c>
      <c r="C150" s="24" t="n">
        <v>1149717.73</v>
      </c>
      <c r="D150" s="24" t="n">
        <v>171924.37</v>
      </c>
      <c r="E150" s="25" t="n">
        <v>577633.07</v>
      </c>
      <c r="F150" s="26" t="n">
        <v>100056.65</v>
      </c>
      <c r="G150" s="26" t="n">
        <v>16746</v>
      </c>
      <c r="H150" s="26" t="n">
        <v>14111</v>
      </c>
      <c r="I150" s="27" t="n">
        <v>318268</v>
      </c>
      <c r="J150" s="27" t="n">
        <v>83619</v>
      </c>
      <c r="K150" s="28" t="n">
        <v>189513.6</v>
      </c>
      <c r="L150" s="29"/>
      <c r="M150" s="30"/>
      <c r="N150" s="29" t="n">
        <v>263919</v>
      </c>
      <c r="O150" s="31" t="n">
        <v>155086.1011</v>
      </c>
      <c r="P150" s="24" t="n">
        <v>2845126</v>
      </c>
      <c r="Q150" s="32" t="n">
        <v>198</v>
      </c>
      <c r="R150" s="32" t="n">
        <f aca="false">O150/Q150</f>
        <v>783.263136868687</v>
      </c>
      <c r="S150" s="33" t="n">
        <v>24</v>
      </c>
      <c r="T150" s="29" t="n">
        <f aca="false">N150/S150</f>
        <v>10996.625</v>
      </c>
      <c r="U150" s="29" t="n">
        <v>32968</v>
      </c>
      <c r="V150" s="34" t="n">
        <f aca="false">'$'!C137</f>
        <v>19.335863</v>
      </c>
      <c r="W150" s="35" t="n">
        <f aca="false">SUM(C150:E150)/V150</f>
        <v>98225.5185610283</v>
      </c>
      <c r="X150" s="35" t="n">
        <f aca="false">C150/$V150</f>
        <v>59460.3783653204</v>
      </c>
      <c r="Y150" s="35" t="n">
        <f aca="false">D150/$V150</f>
        <v>8891.47642388654</v>
      </c>
      <c r="Z150" s="35" t="n">
        <f aca="false">E150/$V150</f>
        <v>29873.6637718213</v>
      </c>
      <c r="AA150" s="36" t="n">
        <f aca="false">C150/((N150+U150)*V150)</f>
        <v>0.200279494775185</v>
      </c>
      <c r="AB150" s="36" t="n">
        <f aca="false">D150/((N150+U150)*V150)</f>
        <v>0.0299490258040485</v>
      </c>
      <c r="AC150" s="36" t="n">
        <f aca="false">E150/((N150+U150)*V150)</f>
        <v>0.10062301068023</v>
      </c>
      <c r="AD150" s="36" t="n">
        <f aca="false">(C150+D150+E150)/((N150+U150)*V150)</f>
        <v>0.330851531259463</v>
      </c>
      <c r="AE150" s="36" t="n">
        <f aca="false">(C150+D150+E150)/((K150+U150)*V150)</f>
        <v>0.44149951529038</v>
      </c>
      <c r="AF150" s="37" t="n">
        <f aca="false">(P150/V150)/K150</f>
        <v>0.776421517128032</v>
      </c>
      <c r="AG150" s="38" t="n">
        <f aca="false">F150/($N150+$U150)</f>
        <v>0.337019303640779</v>
      </c>
      <c r="AH150" s="38" t="n">
        <f aca="false">G150/($N150+$U150)</f>
        <v>0.0564052989858094</v>
      </c>
      <c r="AI150" s="39" t="n">
        <f aca="false">I150/($N150+$U150)</f>
        <v>1.07201729951126</v>
      </c>
      <c r="AJ150" s="40" t="n">
        <f aca="false">C150/F150</f>
        <v>11.4906678366705</v>
      </c>
      <c r="AK150" s="44" t="n">
        <f aca="false">D150/G150</f>
        <v>10.2665932162905</v>
      </c>
      <c r="AL150" s="40" t="n">
        <f aca="false">E150/I150</f>
        <v>1.81492663415738</v>
      </c>
      <c r="AM150" s="41" t="n">
        <f aca="false">E150/(I150-J150)</f>
        <v>2.46168988574424</v>
      </c>
      <c r="AN150" s="42" t="n">
        <f aca="false">AJ150/$V150</f>
        <v>0.59426713132331</v>
      </c>
      <c r="AO150" s="42" t="n">
        <f aca="false">AK150/$V150</f>
        <v>0.530961210073244</v>
      </c>
      <c r="AP150" s="42" t="n">
        <f aca="false">AL150/$V150</f>
        <v>0.0938632340411895</v>
      </c>
      <c r="AQ150" s="42" t="n">
        <f aca="false">AM150/$V150</f>
        <v>0.127312129060091</v>
      </c>
      <c r="AR150" s="43" t="n">
        <v>146</v>
      </c>
    </row>
    <row r="151" customFormat="false" ht="18.75" hidden="false" customHeight="true" outlineLevel="0" collapsed="false">
      <c r="A151" s="18" t="n">
        <v>2023</v>
      </c>
      <c r="B151" s="18" t="n">
        <v>5</v>
      </c>
      <c r="C151" s="24" t="n">
        <v>1210737.91</v>
      </c>
      <c r="D151" s="24" t="n">
        <v>201975.27</v>
      </c>
      <c r="E151" s="25" t="n">
        <v>627377.18</v>
      </c>
      <c r="F151" s="26" t="n">
        <v>105355.02</v>
      </c>
      <c r="G151" s="26" t="n">
        <v>21797</v>
      </c>
      <c r="H151" s="26" t="n">
        <v>16021</v>
      </c>
      <c r="I151" s="27" t="n">
        <v>408414</v>
      </c>
      <c r="J151" s="27" t="n">
        <v>168618</v>
      </c>
      <c r="K151" s="28" t="n">
        <v>248030.2</v>
      </c>
      <c r="L151" s="29" t="n">
        <v>13105</v>
      </c>
      <c r="M151" s="30" t="n">
        <f aca="false">L151/N151</f>
        <v>0.0501847318936704</v>
      </c>
      <c r="N151" s="29" t="n">
        <f aca="false">K151+L151</f>
        <v>261135.2</v>
      </c>
      <c r="O151" s="31" t="n">
        <v>257280.1035</v>
      </c>
      <c r="P151" s="24" t="n">
        <v>3551323</v>
      </c>
      <c r="Q151" s="32" t="n">
        <v>201</v>
      </c>
      <c r="R151" s="32" t="n">
        <f aca="false">O151/Q151</f>
        <v>1280.00051492537</v>
      </c>
      <c r="S151" s="33" t="n">
        <v>27</v>
      </c>
      <c r="T151" s="29" t="n">
        <f aca="false">N151/S151</f>
        <v>9671.67407407407</v>
      </c>
      <c r="U151" s="29" t="n">
        <v>39130</v>
      </c>
      <c r="V151" s="34" t="n">
        <f aca="false">'$'!C138</f>
        <v>19.735976</v>
      </c>
      <c r="W151" s="35" t="n">
        <f aca="false">SUM(C151:E151)/V151</f>
        <v>103369.114352389</v>
      </c>
      <c r="X151" s="35" t="n">
        <f aca="false">C151/$V151</f>
        <v>61346.7461654797</v>
      </c>
      <c r="Y151" s="35" t="n">
        <f aca="false">D151/$V151</f>
        <v>10233.8627691886</v>
      </c>
      <c r="Z151" s="35" t="n">
        <f aca="false">E151/$V151</f>
        <v>31788.5054177204</v>
      </c>
      <c r="AA151" s="36" t="n">
        <f aca="false">C151/((N151+U151)*V151)</f>
        <v>0.204308545131037</v>
      </c>
      <c r="AB151" s="36" t="n">
        <f aca="false">D151/((N151+U151)*V151)</f>
        <v>0.0340827467491691</v>
      </c>
      <c r="AC151" s="36" t="n">
        <f aca="false">E151/((N151+U151)*V151)</f>
        <v>0.105868097327697</v>
      </c>
      <c r="AD151" s="36" t="n">
        <f aca="false">(C151+D151+E151)/((N151+U151)*V151)</f>
        <v>0.344259389207903</v>
      </c>
      <c r="AE151" s="36" t="n">
        <f aca="false">(C151+D151+E151)/((K151+U151)*V151)</f>
        <v>0.359970199047043</v>
      </c>
      <c r="AF151" s="37" t="n">
        <f aca="false">(P151/V151)/K151</f>
        <v>0.725482602456067</v>
      </c>
      <c r="AG151" s="38" t="n">
        <f aca="false">F151/($N151+$U151)</f>
        <v>0.350873228066389</v>
      </c>
      <c r="AH151" s="38" t="n">
        <f aca="false">G151/($N151+$U151)</f>
        <v>0.072592494901174</v>
      </c>
      <c r="AI151" s="39" t="n">
        <f aca="false">I151/($N151+$U151)</f>
        <v>1.36017760299895</v>
      </c>
      <c r="AJ151" s="40" t="n">
        <f aca="false">C151/F151</f>
        <v>11.4919812079197</v>
      </c>
      <c r="AK151" s="40" t="n">
        <f aca="false">D151/G151</f>
        <v>9.2661958067624</v>
      </c>
      <c r="AL151" s="40" t="n">
        <f aca="false">E151/I151</f>
        <v>1.53613044606698</v>
      </c>
      <c r="AM151" s="41" t="n">
        <f aca="false">E151/(I151-J151)</f>
        <v>2.61629543445262</v>
      </c>
      <c r="AN151" s="42" t="n">
        <f aca="false">AJ151/$V151</f>
        <v>0.582285933460785</v>
      </c>
      <c r="AO151" s="42" t="n">
        <f aca="false">AK151/$V151</f>
        <v>0.469507857466101</v>
      </c>
      <c r="AP151" s="42" t="n">
        <f aca="false">AL151/$V151</f>
        <v>0.0778340248319607</v>
      </c>
      <c r="AQ151" s="42" t="n">
        <f aca="false">AM151/$V151</f>
        <v>0.132564785975247</v>
      </c>
      <c r="AR151" s="43" t="n">
        <v>219</v>
      </c>
    </row>
    <row r="152" customFormat="false" ht="18.75" hidden="false" customHeight="true" outlineLevel="0" collapsed="false">
      <c r="A152" s="18" t="n">
        <v>2023</v>
      </c>
      <c r="B152" s="18" t="n">
        <v>6</v>
      </c>
      <c r="C152" s="24" t="n">
        <v>974070.41</v>
      </c>
      <c r="D152" s="24" t="n">
        <v>159918</v>
      </c>
      <c r="E152" s="25" t="n">
        <v>264089.98</v>
      </c>
      <c r="F152" s="26" t="n">
        <v>84313.12</v>
      </c>
      <c r="G152" s="26" t="n">
        <v>18411</v>
      </c>
      <c r="H152" s="26" t="n">
        <v>14718</v>
      </c>
      <c r="I152" s="27" t="n">
        <v>262775</v>
      </c>
      <c r="J152" s="27" t="n">
        <v>166258</v>
      </c>
      <c r="K152" s="28" t="n">
        <v>211913.728</v>
      </c>
      <c r="L152" s="29" t="n">
        <v>30036</v>
      </c>
      <c r="M152" s="30" t="n">
        <f aca="false">L152/N152</f>
        <v>0.124141491078676</v>
      </c>
      <c r="N152" s="29" t="n">
        <f aca="false">K152+L152</f>
        <v>241949.728</v>
      </c>
      <c r="O152" s="31" t="n">
        <v>228349.2555</v>
      </c>
      <c r="P152" s="24" t="n">
        <v>2924351</v>
      </c>
      <c r="Q152" s="32" t="n">
        <v>193</v>
      </c>
      <c r="R152" s="32" t="n">
        <f aca="false">O152/Q152</f>
        <v>1183.1567642487</v>
      </c>
      <c r="S152" s="33" t="n">
        <v>23</v>
      </c>
      <c r="T152" s="29" t="n">
        <f aca="false">N152/S152</f>
        <v>10519.5533913043</v>
      </c>
      <c r="U152" s="29" t="n">
        <v>12738</v>
      </c>
      <c r="V152" s="34" t="n">
        <f aca="false">'$'!C139</f>
        <v>23.541627</v>
      </c>
      <c r="W152" s="35" t="n">
        <f aca="false">SUM(C152:E152)/V152</f>
        <v>59387.5007024791</v>
      </c>
      <c r="X152" s="35" t="n">
        <f aca="false">C152/$V152</f>
        <v>41376.511912282</v>
      </c>
      <c r="Y152" s="35" t="n">
        <f aca="false">D152/$V152</f>
        <v>6792.98843703539</v>
      </c>
      <c r="Z152" s="35" t="n">
        <f aca="false">E152/$V152</f>
        <v>11218.0003531617</v>
      </c>
      <c r="AA152" s="36" t="n">
        <f aca="false">C152/((N152+U152)*V152)</f>
        <v>0.162459778636378</v>
      </c>
      <c r="AB152" s="36" t="n">
        <f aca="false">D152/((N152+U152)*V152)</f>
        <v>0.0266718325628763</v>
      </c>
      <c r="AC152" s="36" t="n">
        <f aca="false">E152/((N152+U152)*V152)</f>
        <v>0.0440460969252576</v>
      </c>
      <c r="AD152" s="36" t="n">
        <f aca="false">(C152+D152+E152)/((N152+U152)*V152)</f>
        <v>0.233177708124512</v>
      </c>
      <c r="AE152" s="36" t="n">
        <f aca="false">(C152+D152+E152)/((K152+U152)*V152)</f>
        <v>0.264353634094811</v>
      </c>
      <c r="AF152" s="37" t="n">
        <f aca="false">(P152/V152)/K152</f>
        <v>0.586183962442266</v>
      </c>
      <c r="AG152" s="38" t="n">
        <f aca="false">F152/($N152+$U152)</f>
        <v>0.331045082784672</v>
      </c>
      <c r="AH152" s="38" t="n">
        <f aca="false">G152/($N152+$U152)</f>
        <v>0.0722885242433039</v>
      </c>
      <c r="AI152" s="39" t="n">
        <f aca="false">I152/($N152+$U152)</f>
        <v>1.03175367758591</v>
      </c>
      <c r="AJ152" s="40" t="n">
        <f aca="false">C152/F152</f>
        <v>11.5530110853447</v>
      </c>
      <c r="AK152" s="40" t="n">
        <f aca="false">D152/G152</f>
        <v>8.68600293302917</v>
      </c>
      <c r="AL152" s="40" t="n">
        <f aca="false">E152/I152</f>
        <v>1.00500420511845</v>
      </c>
      <c r="AM152" s="41" t="n">
        <f aca="false">E152/(I152-J152)</f>
        <v>2.73620170539905</v>
      </c>
      <c r="AN152" s="42" t="n">
        <f aca="false">AJ152/$V152</f>
        <v>0.49074820042577</v>
      </c>
      <c r="AO152" s="42" t="n">
        <f aca="false">AK152/$V152</f>
        <v>0.36896357813456</v>
      </c>
      <c r="AP152" s="42" t="n">
        <f aca="false">AL152/$V152</f>
        <v>0.0426905160428567</v>
      </c>
      <c r="AQ152" s="42" t="n">
        <f aca="false">AM152/$V152</f>
        <v>0.116228232882929</v>
      </c>
      <c r="AR152" s="43" t="n">
        <v>210</v>
      </c>
    </row>
    <row r="153" customFormat="false" ht="18.75" hidden="false" customHeight="true" outlineLevel="0" collapsed="false">
      <c r="A153" s="18" t="n">
        <v>2023</v>
      </c>
      <c r="B153" s="18" t="n">
        <v>7</v>
      </c>
      <c r="C153" s="24" t="n">
        <v>1008102.07</v>
      </c>
      <c r="D153" s="24" t="n">
        <v>162750.11</v>
      </c>
      <c r="E153" s="25" t="n">
        <v>389992.27</v>
      </c>
      <c r="F153" s="26" t="n">
        <v>86007.56</v>
      </c>
      <c r="G153" s="26" t="n">
        <v>18035</v>
      </c>
      <c r="H153" s="26" t="n">
        <v>15016</v>
      </c>
      <c r="I153" s="27" t="n">
        <v>304662</v>
      </c>
      <c r="J153" s="27" t="n">
        <v>178996</v>
      </c>
      <c r="K153" s="28" t="n">
        <v>237057.69</v>
      </c>
      <c r="L153" s="29" t="n">
        <v>48118.48</v>
      </c>
      <c r="M153" s="30" t="n">
        <f aca="false">L153/N153</f>
        <v>0.168732471580637</v>
      </c>
      <c r="N153" s="29" t="n">
        <f aca="false">K153+L153</f>
        <v>285176.17</v>
      </c>
      <c r="O153" s="31" t="n">
        <v>250762.64</v>
      </c>
      <c r="P153" s="24" t="n">
        <v>3923772</v>
      </c>
      <c r="Q153" s="32" t="n">
        <v>193</v>
      </c>
      <c r="R153" s="32" t="n">
        <f aca="false">O153/Q153</f>
        <v>1299.28829015544</v>
      </c>
      <c r="S153" s="33" t="n">
        <v>26</v>
      </c>
      <c r="T153" s="29" t="n">
        <f aca="false">N153/S153</f>
        <v>10968.3142307692</v>
      </c>
      <c r="U153" s="29" t="n">
        <v>10659</v>
      </c>
      <c r="V153" s="34" t="n">
        <f aca="false">'$'!C140</f>
        <v>26.43329</v>
      </c>
      <c r="W153" s="35" t="n">
        <f aca="false">SUM(C153:E153)/V153</f>
        <v>59048.4366493917</v>
      </c>
      <c r="X153" s="35" t="n">
        <f aca="false">C153/$V153</f>
        <v>38137.5935420827</v>
      </c>
      <c r="Y153" s="35" t="n">
        <f aca="false">D153/$V153</f>
        <v>6157.01299384223</v>
      </c>
      <c r="Z153" s="35" t="n">
        <f aca="false">E153/$V153</f>
        <v>14753.8301134668</v>
      </c>
      <c r="AA153" s="36" t="n">
        <f aca="false">C153/((N153+U153)*V153)</f>
        <v>0.128915008793859</v>
      </c>
      <c r="AB153" s="36" t="n">
        <f aca="false">D153/((N153+U153)*V153)</f>
        <v>0.0208123090768492</v>
      </c>
      <c r="AC153" s="36" t="n">
        <f aca="false">E153/((N153+U153)*V153)</f>
        <v>0.0498717921654372</v>
      </c>
      <c r="AD153" s="36" t="n">
        <f aca="false">(C153+D153+E153)/((N153+U153)*V153)</f>
        <v>0.199599110036145</v>
      </c>
      <c r="AE153" s="36" t="n">
        <f aca="false">(C153+D153+E153)/((K153+U153)*V153)</f>
        <v>0.238370844731502</v>
      </c>
      <c r="AF153" s="37" t="n">
        <f aca="false">(P153/V153)/K153</f>
        <v>0.626178994629235</v>
      </c>
      <c r="AG153" s="38" t="n">
        <f aca="false">F153/($N153+$U153)</f>
        <v>0.290727975311387</v>
      </c>
      <c r="AH153" s="38" t="n">
        <f aca="false">G153/($N153+$U153)</f>
        <v>0.0609630017958987</v>
      </c>
      <c r="AI153" s="39" t="n">
        <f aca="false">I153/($N153+$U153)</f>
        <v>1.02983698658953</v>
      </c>
      <c r="AJ153" s="40" t="n">
        <f aca="false">C153/F153</f>
        <v>11.7210867277249</v>
      </c>
      <c r="AK153" s="40" t="n">
        <f aca="false">D153/G153</f>
        <v>9.02412586637094</v>
      </c>
      <c r="AL153" s="40" t="n">
        <f aca="false">E153/I153</f>
        <v>1.28008176274035</v>
      </c>
      <c r="AM153" s="41" t="n">
        <f aca="false">E153/(I153-J153)</f>
        <v>3.10340322760333</v>
      </c>
      <c r="AN153" s="42" t="n">
        <f aca="false">AJ153/$V153</f>
        <v>0.443421410188624</v>
      </c>
      <c r="AO153" s="42" t="n">
        <f aca="false">AK153/$V153</f>
        <v>0.341392458765857</v>
      </c>
      <c r="AP153" s="42" t="n">
        <f aca="false">AL153/$V153</f>
        <v>0.0484268799964117</v>
      </c>
      <c r="AQ153" s="42" t="n">
        <f aca="false">AM153/$V153</f>
        <v>0.117405106500301</v>
      </c>
      <c r="AR153" s="43" t="n">
        <v>320</v>
      </c>
    </row>
    <row r="154" customFormat="false" ht="18.75" hidden="false" customHeight="true" outlineLevel="0" collapsed="false">
      <c r="A154" s="18" t="n">
        <v>2023</v>
      </c>
      <c r="B154" s="18" t="n">
        <v>8</v>
      </c>
      <c r="C154" s="24" t="n">
        <v>1120404.88</v>
      </c>
      <c r="D154" s="24" t="n">
        <v>163059.87</v>
      </c>
      <c r="E154" s="25" t="n">
        <v>634799.59</v>
      </c>
      <c r="F154" s="26" t="n">
        <v>95332.09</v>
      </c>
      <c r="G154" s="26" t="n">
        <v>21474</v>
      </c>
      <c r="H154" s="26" t="n">
        <v>14405</v>
      </c>
      <c r="I154" s="27" t="n">
        <v>356960.35</v>
      </c>
      <c r="J154" s="27" t="n">
        <v>156538</v>
      </c>
      <c r="K154" s="29" t="n">
        <v>276843.35</v>
      </c>
      <c r="L154" s="29" t="n">
        <v>48303.41</v>
      </c>
      <c r="M154" s="30" t="n">
        <f aca="false">L154/N154</f>
        <v>0.148558792343494</v>
      </c>
      <c r="N154" s="28" t="n">
        <f aca="false">K154+L154</f>
        <v>325146.76</v>
      </c>
      <c r="O154" s="31" t="n">
        <v>310716.13</v>
      </c>
      <c r="P154" s="24" t="n">
        <v>4379809</v>
      </c>
      <c r="Q154" s="32" t="n">
        <v>193</v>
      </c>
      <c r="R154" s="32" t="n">
        <f aca="false">O154/Q154</f>
        <v>1609.92813471503</v>
      </c>
      <c r="S154" s="33" t="n">
        <v>28</v>
      </c>
      <c r="T154" s="29" t="n">
        <f aca="false">N154/S154</f>
        <v>11612.3842857143</v>
      </c>
      <c r="U154" s="29" t="n">
        <v>16740</v>
      </c>
      <c r="V154" s="34" t="n">
        <f aca="false">'$'!C141</f>
        <v>26.916173</v>
      </c>
      <c r="W154" s="35" t="n">
        <f aca="false">SUM(C154:E154)/V154</f>
        <v>71268.0937219418</v>
      </c>
      <c r="X154" s="35" t="n">
        <f aca="false">C154/$V154</f>
        <v>41625.7125409322</v>
      </c>
      <c r="Y154" s="35" t="n">
        <f aca="false">D154/$V154</f>
        <v>6058.06293487562</v>
      </c>
      <c r="Z154" s="35" t="n">
        <f aca="false">E154/$V154</f>
        <v>23584.318246134</v>
      </c>
      <c r="AA154" s="36" t="n">
        <f aca="false">C154/((N154+U154)*V154)</f>
        <v>0.121752923514593</v>
      </c>
      <c r="AB154" s="36" t="n">
        <f aca="false">D154/((N154+U154)*V154)</f>
        <v>0.0177195014363107</v>
      </c>
      <c r="AC154" s="36" t="n">
        <f aca="false">E154/((N154+U154)*V154)</f>
        <v>0.0689828358551645</v>
      </c>
      <c r="AD154" s="36" t="n">
        <f aca="false">(C154+D154+E154)/((N154+U154)*V154)</f>
        <v>0.208455260806069</v>
      </c>
      <c r="AE154" s="36" t="n">
        <f aca="false">(C154+D154+E154)/((K154+U154)*V154)</f>
        <v>0.242752505283225</v>
      </c>
      <c r="AF154" s="37" t="n">
        <f aca="false">(P154/V154)/K154</f>
        <v>0.587770472402314</v>
      </c>
      <c r="AG154" s="38" t="n">
        <f aca="false">F154/($N154+$U154)</f>
        <v>0.278841128565493</v>
      </c>
      <c r="AH154" s="38" t="n">
        <f aca="false">G154/($N154+$U154)</f>
        <v>0.0628102708627851</v>
      </c>
      <c r="AI154" s="39" t="n">
        <f aca="false">I154/($N154+$U154)</f>
        <v>1.04408942305926</v>
      </c>
      <c r="AJ154" s="40" t="n">
        <f aca="false">C154/F154</f>
        <v>11.7526520188533</v>
      </c>
      <c r="AK154" s="40" t="n">
        <f aca="false">D154/G154</f>
        <v>7.59336267113719</v>
      </c>
      <c r="AL154" s="40" t="n">
        <f aca="false">E154/I154</f>
        <v>1.77834762320241</v>
      </c>
      <c r="AM154" s="41" t="n">
        <f aca="false">E154/(I154-J154)</f>
        <v>3.16730938440748</v>
      </c>
      <c r="AN154" s="42" t="n">
        <f aca="false">AJ154/$V154</f>
        <v>0.436639042959534</v>
      </c>
      <c r="AO154" s="42" t="n">
        <f aca="false">AK154/$V154</f>
        <v>0.282111527189886</v>
      </c>
      <c r="AP154" s="42" t="n">
        <f aca="false">AL154/$V154</f>
        <v>0.0660698541060205</v>
      </c>
      <c r="AQ154" s="42" t="n">
        <f aca="false">AM154/$V154</f>
        <v>0.117673095072152</v>
      </c>
      <c r="AR154" s="43" t="n">
        <v>294</v>
      </c>
    </row>
    <row r="155" customFormat="false" ht="18.75" hidden="false" customHeight="true" outlineLevel="0" collapsed="false">
      <c r="A155" s="18" t="n">
        <v>2023</v>
      </c>
      <c r="B155" s="18" t="n">
        <v>9</v>
      </c>
      <c r="C155" s="24" t="n">
        <v>1053996.5</v>
      </c>
      <c r="D155" s="24" t="n">
        <v>175493.01</v>
      </c>
      <c r="E155" s="25" t="n">
        <v>600990.32</v>
      </c>
      <c r="F155" s="26" t="n">
        <v>89635.56</v>
      </c>
      <c r="G155" s="26" t="n">
        <v>20474</v>
      </c>
      <c r="H155" s="26" t="n">
        <v>16860</v>
      </c>
      <c r="I155" s="27" t="n">
        <v>320304.07</v>
      </c>
      <c r="J155" s="27" t="n">
        <v>123625</v>
      </c>
      <c r="K155" s="29" t="n">
        <v>284173.8</v>
      </c>
      <c r="L155" s="29" t="n">
        <v>56793.21</v>
      </c>
      <c r="M155" s="30" t="n">
        <f aca="false">L155/N155</f>
        <v>0.166565117252839</v>
      </c>
      <c r="N155" s="28" t="n">
        <f aca="false">K155+L155</f>
        <v>340967.01</v>
      </c>
      <c r="O155" s="31" t="n">
        <v>281062.54</v>
      </c>
      <c r="P155" s="24" t="n">
        <v>4182011</v>
      </c>
      <c r="Q155" s="32" t="n">
        <v>194</v>
      </c>
      <c r="R155" s="32" t="n">
        <f aca="false">O155/Q155</f>
        <v>1448.77597938144</v>
      </c>
      <c r="S155" s="33" t="n">
        <v>26</v>
      </c>
      <c r="T155" s="29" t="n">
        <f aca="false">N155/S155</f>
        <v>13114.1157692308</v>
      </c>
      <c r="U155" s="29" t="n">
        <v>24866</v>
      </c>
      <c r="V155" s="34" t="n">
        <f aca="false">'$'!C142</f>
        <v>26.984571</v>
      </c>
      <c r="W155" s="35" t="n">
        <f aca="false">SUM(C155:E155)/V155</f>
        <v>67834.3128004518</v>
      </c>
      <c r="X155" s="35" t="n">
        <f aca="false">C155/$V155</f>
        <v>39059.2275860157</v>
      </c>
      <c r="Y155" s="35" t="n">
        <f aca="false">D155/$V155</f>
        <v>6503.45747575531</v>
      </c>
      <c r="Z155" s="35" t="n">
        <f aca="false">E155/$V155</f>
        <v>22271.6277386807</v>
      </c>
      <c r="AA155" s="36" t="n">
        <f aca="false">C155/((N155+U155)*V155)</f>
        <v>0.106767914645034</v>
      </c>
      <c r="AB155" s="36" t="n">
        <f aca="false">D155/((N155+U155)*V155)</f>
        <v>0.0177771204292235</v>
      </c>
      <c r="AC155" s="36" t="n">
        <f aca="false">E155/((N155+U155)*V155)</f>
        <v>0.0608792184682316</v>
      </c>
      <c r="AD155" s="36" t="n">
        <f aca="false">(C155+D155+E155)/((N155+U155)*V155)</f>
        <v>0.185424253542489</v>
      </c>
      <c r="AE155" s="36" t="n">
        <f aca="false">(C155+D155+E155)/((K155+U155)*V155)</f>
        <v>0.219500248189559</v>
      </c>
      <c r="AF155" s="37" t="n">
        <f aca="false">(P155/V155)/K155</f>
        <v>0.545362934696988</v>
      </c>
      <c r="AG155" s="38" t="n">
        <f aca="false">F155/($N155+$U155)</f>
        <v>0.245017692635227</v>
      </c>
      <c r="AH155" s="38" t="n">
        <f aca="false">G155/($N155+$U155)</f>
        <v>0.0559654253179613</v>
      </c>
      <c r="AI155" s="39" t="n">
        <f aca="false">I155/($N155+$U155)</f>
        <v>0.875547206633978</v>
      </c>
      <c r="AJ155" s="40" t="n">
        <f aca="false">C155/F155</f>
        <v>11.7586870657137</v>
      </c>
      <c r="AK155" s="40" t="n">
        <f aca="false">D155/G155</f>
        <v>8.57150581224968</v>
      </c>
      <c r="AL155" s="40" t="n">
        <f aca="false">E155/I155</f>
        <v>1.87631184330564</v>
      </c>
      <c r="AM155" s="41" t="n">
        <f aca="false">E155/(I155-J155)</f>
        <v>3.05569026739856</v>
      </c>
      <c r="AN155" s="42" t="n">
        <f aca="false">AJ155/$V155</f>
        <v>0.435755938670052</v>
      </c>
      <c r="AO155" s="42" t="n">
        <f aca="false">AK155/$V155</f>
        <v>0.317644694527465</v>
      </c>
      <c r="AP155" s="42" t="n">
        <f aca="false">AL155/$V155</f>
        <v>0.0695327653460062</v>
      </c>
      <c r="AQ155" s="42" t="n">
        <f aca="false">AM155/$V155</f>
        <v>0.113238423075118</v>
      </c>
      <c r="AR155" s="43" t="n">
        <v>304</v>
      </c>
    </row>
    <row r="156" customFormat="false" ht="18.75" hidden="false" customHeight="true" outlineLevel="0" collapsed="false">
      <c r="A156" s="18" t="n">
        <v>2023</v>
      </c>
      <c r="B156" s="18" t="n">
        <v>10</v>
      </c>
      <c r="C156" s="24" t="n">
        <v>1481792.81</v>
      </c>
      <c r="D156" s="24" t="n">
        <v>144857.03</v>
      </c>
      <c r="E156" s="25" t="n">
        <v>654526.38</v>
      </c>
      <c r="F156" s="26" t="n">
        <v>103686.97</v>
      </c>
      <c r="G156" s="26" t="n">
        <v>20832</v>
      </c>
      <c r="H156" s="26" t="n">
        <v>11494</v>
      </c>
      <c r="I156" s="27" t="n">
        <v>299500</v>
      </c>
      <c r="J156" s="27" t="n">
        <v>105172</v>
      </c>
      <c r="K156" s="29" t="n">
        <v>254283.2</v>
      </c>
      <c r="L156" s="29" t="n">
        <v>44462.65</v>
      </c>
      <c r="M156" s="30" t="n">
        <f aca="false">L156/N156</f>
        <v>0.148831021418373</v>
      </c>
      <c r="N156" s="28" t="n">
        <f aca="false">K156+L156</f>
        <v>298745.85</v>
      </c>
      <c r="O156" s="31" t="n">
        <v>266475</v>
      </c>
      <c r="P156" s="24" t="n">
        <v>4466781</v>
      </c>
      <c r="Q156" s="32" t="n">
        <v>196</v>
      </c>
      <c r="R156" s="32" t="n">
        <f aca="false">O156/Q156</f>
        <v>1359.56632653061</v>
      </c>
      <c r="S156" s="33" t="n">
        <v>26</v>
      </c>
      <c r="T156" s="29" t="n">
        <f aca="false">N156/S156</f>
        <v>11490.225</v>
      </c>
      <c r="U156" s="29" t="n">
        <v>27124.6</v>
      </c>
      <c r="V156" s="34" t="n">
        <f aca="false">'$'!C143</f>
        <v>27.86033</v>
      </c>
      <c r="W156" s="35" t="n">
        <f aca="false">SUM(C156:E156)/V156</f>
        <v>81879.0093297531</v>
      </c>
      <c r="X156" s="35" t="n">
        <f aca="false">C156/$V156</f>
        <v>53186.4773317473</v>
      </c>
      <c r="Y156" s="35" t="n">
        <f aca="false">D156/$V156</f>
        <v>5199.40108390676</v>
      </c>
      <c r="Z156" s="35" t="n">
        <f aca="false">E156/$V156</f>
        <v>23493.130914099</v>
      </c>
      <c r="AA156" s="36" t="n">
        <f aca="false">C156/((N156+U156)*V156)</f>
        <v>0.163213563340117</v>
      </c>
      <c r="AB156" s="36" t="n">
        <f aca="false">D156/((N156+U156)*V156)</f>
        <v>0.0159554236473628</v>
      </c>
      <c r="AC156" s="36" t="n">
        <f aca="false">E156/((N156+U156)*V156)</f>
        <v>0.0720934681684056</v>
      </c>
      <c r="AD156" s="36" t="n">
        <f aca="false">(C156+D156+E156)/((N156+U156)*V156)</f>
        <v>0.251262455155885</v>
      </c>
      <c r="AE156" s="36" t="n">
        <f aca="false">(C156+D156+E156)/((K156+U156)*V156)</f>
        <v>0.290962117360475</v>
      </c>
      <c r="AF156" s="37" t="n">
        <f aca="false">(P156/V156)/K156</f>
        <v>0.630508195149393</v>
      </c>
      <c r="AG156" s="38" t="n">
        <f aca="false">F156/($N156+$U156)</f>
        <v>0.318184634415302</v>
      </c>
      <c r="AH156" s="38" t="n">
        <f aca="false">G156/($N156+$U156)</f>
        <v>0.0639272447072142</v>
      </c>
      <c r="AI156" s="39" t="n">
        <f aca="false">I156/($N156+$U156)</f>
        <v>0.919076890831924</v>
      </c>
      <c r="AJ156" s="40" t="n">
        <f aca="false">C156/F156</f>
        <v>14.2910223917239</v>
      </c>
      <c r="AK156" s="40" t="n">
        <f aca="false">D156/G156</f>
        <v>6.95358246927803</v>
      </c>
      <c r="AL156" s="40" t="n">
        <f aca="false">E156/I156</f>
        <v>2.18539692821369</v>
      </c>
      <c r="AM156" s="41" t="n">
        <f aca="false">E156/(I156-J156)</f>
        <v>3.36815271088057</v>
      </c>
      <c r="AN156" s="42" t="n">
        <f aca="false">AJ156/$V156</f>
        <v>0.512952373203184</v>
      </c>
      <c r="AO156" s="42" t="n">
        <f aca="false">AK156/$V156</f>
        <v>0.249587225609963</v>
      </c>
      <c r="AP156" s="42" t="n">
        <f aca="false">AL156/$V156</f>
        <v>0.0784411716664408</v>
      </c>
      <c r="AQ156" s="42" t="n">
        <f aca="false">AM156/$V156</f>
        <v>0.120894214493532</v>
      </c>
      <c r="AR156" s="43" t="n">
        <v>305</v>
      </c>
    </row>
    <row r="157" customFormat="false" ht="18.75" hidden="false" customHeight="true" outlineLevel="0" collapsed="false">
      <c r="A157" s="18" t="n">
        <v>2023</v>
      </c>
      <c r="B157" s="18" t="n">
        <v>11</v>
      </c>
      <c r="C157" s="24" t="n">
        <v>1500586.4</v>
      </c>
      <c r="D157" s="24" t="n">
        <v>178612.27</v>
      </c>
      <c r="E157" s="25" t="n">
        <v>604359.31</v>
      </c>
      <c r="F157" s="26" t="n">
        <v>106511.37</v>
      </c>
      <c r="G157" s="26" t="n">
        <v>18759</v>
      </c>
      <c r="H157" s="26" t="n">
        <v>17643</v>
      </c>
      <c r="I157" s="27" t="n">
        <v>266540</v>
      </c>
      <c r="J157" s="27" t="n">
        <v>69403</v>
      </c>
      <c r="K157" s="29" t="n">
        <v>222595.3</v>
      </c>
      <c r="L157" s="29" t="n">
        <v>54865.91</v>
      </c>
      <c r="M157" s="30" t="n">
        <f aca="false">L157/N157</f>
        <v>0.197742632204336</v>
      </c>
      <c r="N157" s="28" t="n">
        <f aca="false">K157+L157</f>
        <v>277461.21</v>
      </c>
      <c r="O157" s="31" t="n">
        <f aca="false">260367.14+3724</f>
        <v>264091.14</v>
      </c>
      <c r="P157" s="24" t="n">
        <v>4364938</v>
      </c>
      <c r="Q157" s="32" t="n">
        <v>220</v>
      </c>
      <c r="R157" s="32" t="n">
        <f aca="false">O157/Q157</f>
        <v>1200.41427272727</v>
      </c>
      <c r="S157" s="33" t="n">
        <v>26</v>
      </c>
      <c r="T157" s="29" t="n">
        <f aca="false">N157/S157</f>
        <v>10671.585</v>
      </c>
      <c r="U157" s="29" t="n">
        <v>16965</v>
      </c>
      <c r="V157" s="34" t="n">
        <f aca="false">'$'!C144</f>
        <v>28.646301</v>
      </c>
      <c r="W157" s="35" t="n">
        <f aca="false">SUM(C157:E157)/V157</f>
        <v>79715.6316970907</v>
      </c>
      <c r="X157" s="35" t="n">
        <f aca="false">C157/$V157</f>
        <v>52383.2518550999</v>
      </c>
      <c r="Y157" s="35" t="n">
        <f aca="false">D157/$V157</f>
        <v>6235.0901779605</v>
      </c>
      <c r="Z157" s="35" t="n">
        <f aca="false">E157/$V157</f>
        <v>21097.2896640303</v>
      </c>
      <c r="AA157" s="36" t="n">
        <f aca="false">C157/((N157+U157)*V157)</f>
        <v>0.177916401719466</v>
      </c>
      <c r="AB157" s="36" t="n">
        <f aca="false">D157/((N157+U157)*V157)</f>
        <v>0.0211770894240716</v>
      </c>
      <c r="AC157" s="36" t="n">
        <f aca="false">E157/((N157+U157)*V157)</f>
        <v>0.0716556099541215</v>
      </c>
      <c r="AD157" s="36" t="n">
        <f aca="false">(C157+D157+E157)/((N157+U157)*V157)</f>
        <v>0.270749101097659</v>
      </c>
      <c r="AE157" s="36" t="n">
        <f aca="false">(C157+D157+E157)/((K157+U157)*V157)</f>
        <v>0.33275810598455</v>
      </c>
      <c r="AF157" s="37" t="n">
        <f aca="false">(P157/V157)/K157</f>
        <v>0.684531658269522</v>
      </c>
      <c r="AG157" s="38" t="n">
        <f aca="false">F157/($N157+$U157)</f>
        <v>0.361759131430588</v>
      </c>
      <c r="AH157" s="38" t="n">
        <f aca="false">G157/($N157+$U157)</f>
        <v>0.0637137570055329</v>
      </c>
      <c r="AI157" s="39" t="n">
        <f aca="false">I157/($N157+$U157)</f>
        <v>0.905286251519523</v>
      </c>
      <c r="AJ157" s="40" t="n">
        <f aca="false">C157/F157</f>
        <v>14.0885090483767</v>
      </c>
      <c r="AK157" s="40" t="n">
        <f aca="false">D157/G157</f>
        <v>9.52141745295591</v>
      </c>
      <c r="AL157" s="40" t="n">
        <f aca="false">E157/I157</f>
        <v>2.26742443910858</v>
      </c>
      <c r="AM157" s="41" t="n">
        <f aca="false">E157/(I157-J157)</f>
        <v>3.06568178474868</v>
      </c>
      <c r="AN157" s="42" t="n">
        <f aca="false">AJ157/$V157</f>
        <v>0.49180901395879</v>
      </c>
      <c r="AO157" s="42" t="n">
        <f aca="false">AK157/$V157</f>
        <v>0.332378601096034</v>
      </c>
      <c r="AP157" s="42" t="n">
        <f aca="false">AL157/$V157</f>
        <v>0.0791524336460954</v>
      </c>
      <c r="AQ157" s="42" t="n">
        <f aca="false">AM157/$V157</f>
        <v>0.107018416958918</v>
      </c>
      <c r="AR157" s="43" t="n">
        <v>267</v>
      </c>
    </row>
    <row r="158" customFormat="false" ht="18.75" hidden="false" customHeight="true" outlineLevel="0" collapsed="false">
      <c r="A158" s="18" t="n">
        <v>2023</v>
      </c>
      <c r="B158" s="18" t="n">
        <v>12</v>
      </c>
      <c r="C158" s="24" t="n">
        <v>1545894.48</v>
      </c>
      <c r="D158" s="24" t="n">
        <v>199169.81</v>
      </c>
      <c r="E158" s="25" t="n">
        <v>665739.56</v>
      </c>
      <c r="F158" s="26" t="n">
        <v>109706.08</v>
      </c>
      <c r="G158" s="26" t="n">
        <v>19869</v>
      </c>
      <c r="H158" s="26" t="n">
        <v>19332</v>
      </c>
      <c r="I158" s="27" t="n">
        <v>263074</v>
      </c>
      <c r="J158" s="27" t="n">
        <v>53650</v>
      </c>
      <c r="K158" s="29" t="n">
        <v>219619.15</v>
      </c>
      <c r="L158" s="29" t="n">
        <v>42776</v>
      </c>
      <c r="M158" s="30" t="n">
        <f aca="false">L158/N158</f>
        <v>0.163021305843496</v>
      </c>
      <c r="N158" s="28" t="n">
        <f aca="false">K158+L158</f>
        <v>262395.15</v>
      </c>
      <c r="O158" s="31" t="n">
        <v>238882.43</v>
      </c>
      <c r="P158" s="24" t="n">
        <v>4288005</v>
      </c>
      <c r="Q158" s="32" t="n">
        <v>200</v>
      </c>
      <c r="R158" s="32" t="n">
        <f aca="false">O158/Q158</f>
        <v>1194.41215</v>
      </c>
      <c r="S158" s="33" t="n">
        <v>27</v>
      </c>
      <c r="T158" s="29" t="n">
        <f aca="false">N158/S158</f>
        <v>9718.33888888889</v>
      </c>
      <c r="U158" s="29" t="n">
        <v>28970</v>
      </c>
      <c r="V158" s="34" t="n">
        <f aca="false">'$'!C145</f>
        <v>29.088107</v>
      </c>
      <c r="W158" s="35" t="n">
        <f aca="false">SUM(C158:E158)/V158</f>
        <v>82879.365439628</v>
      </c>
      <c r="X158" s="35" t="n">
        <f aca="false">C158/$V158</f>
        <v>53145.2417993374</v>
      </c>
      <c r="Y158" s="35" t="n">
        <f aca="false">D158/$V158</f>
        <v>6847.12174635496</v>
      </c>
      <c r="Z158" s="35" t="n">
        <f aca="false">E158/$V158</f>
        <v>22887.0018939356</v>
      </c>
      <c r="AA158" s="36" t="n">
        <f aca="false">C158/((N158+U158)*V158)</f>
        <v>0.182400818352289</v>
      </c>
      <c r="AB158" s="36" t="n">
        <f aca="false">D158/((N158+U158)*V158)</f>
        <v>0.0235001397605546</v>
      </c>
      <c r="AC158" s="36" t="n">
        <f aca="false">E158/((N158+U158)*V158)</f>
        <v>0.0785509244806236</v>
      </c>
      <c r="AD158" s="36" t="n">
        <f aca="false">(C158+D158+E158)/((N158+U158)*V158)</f>
        <v>0.284451882593467</v>
      </c>
      <c r="AE158" s="36" t="n">
        <f aca="false">(C158+D158+E158)/((K158+U158)*V158)</f>
        <v>0.333398965480303</v>
      </c>
      <c r="AF158" s="37" t="n">
        <f aca="false">(P158/V158)/K158</f>
        <v>0.671227309201528</v>
      </c>
      <c r="AG158" s="38" t="n">
        <f aca="false">F158/($N158+$U158)</f>
        <v>0.376524371566057</v>
      </c>
      <c r="AH158" s="38" t="n">
        <f aca="false">G158/($N158+$U158)</f>
        <v>0.0681927814633974</v>
      </c>
      <c r="AI158" s="39" t="n">
        <f aca="false">I158/($N158+$U158)</f>
        <v>0.902901393663587</v>
      </c>
      <c r="AJ158" s="40" t="n">
        <f aca="false">C158/F158</f>
        <v>14.0912379696731</v>
      </c>
      <c r="AK158" s="40" t="n">
        <f aca="false">D158/G158</f>
        <v>10.0241486738135</v>
      </c>
      <c r="AL158" s="40" t="n">
        <f aca="false">E158/I158</f>
        <v>2.53061708872789</v>
      </c>
      <c r="AM158" s="41" t="n">
        <f aca="false">E158/(I158-J158)</f>
        <v>3.17890767056307</v>
      </c>
      <c r="AN158" s="42" t="n">
        <f aca="false">AJ158/$V158</f>
        <v>0.484432966699179</v>
      </c>
      <c r="AO158" s="42" t="n">
        <f aca="false">AK158/$V158</f>
        <v>0.344613304461974</v>
      </c>
      <c r="AP158" s="42" t="n">
        <f aca="false">AL158/$V158</f>
        <v>0.0869983422684703</v>
      </c>
      <c r="AQ158" s="42" t="n">
        <f aca="false">AM158/$V158</f>
        <v>0.109285477757733</v>
      </c>
      <c r="AR158" s="43" t="n">
        <v>255</v>
      </c>
    </row>
    <row r="159" customFormat="false" ht="18.75" hidden="false" customHeight="true" outlineLevel="0" collapsed="false">
      <c r="A159" s="58" t="n">
        <v>2024</v>
      </c>
      <c r="B159" s="58" t="n">
        <v>1</v>
      </c>
      <c r="C159" s="59" t="n">
        <v>1666687.78</v>
      </c>
      <c r="D159" s="59" t="n">
        <v>214565.58</v>
      </c>
      <c r="E159" s="60" t="n">
        <v>619501.84</v>
      </c>
      <c r="F159" s="61" t="n">
        <v>118063.66</v>
      </c>
      <c r="G159" s="61" t="n">
        <v>17481</v>
      </c>
      <c r="H159" s="61" t="n">
        <v>13892</v>
      </c>
      <c r="I159" s="62" t="n">
        <v>257095</v>
      </c>
      <c r="J159" s="62" t="n">
        <v>56561</v>
      </c>
      <c r="K159" s="63" t="n">
        <v>173267.1</v>
      </c>
      <c r="L159" s="63" t="n">
        <v>31761.3</v>
      </c>
      <c r="M159" s="64" t="n">
        <f aca="false">L159/N159</f>
        <v>0.154911709792399</v>
      </c>
      <c r="N159" s="65" t="n">
        <f aca="false">K159+L159</f>
        <v>205028.4</v>
      </c>
      <c r="O159" s="66" t="n">
        <v>221968</v>
      </c>
      <c r="P159" s="59" t="n">
        <v>6043189</v>
      </c>
      <c r="Q159" s="67" t="n">
        <v>184</v>
      </c>
      <c r="R159" s="67" t="n">
        <f aca="false">O159/Q159</f>
        <v>1206.34782608696</v>
      </c>
      <c r="S159" s="68" t="n">
        <v>26</v>
      </c>
      <c r="T159" s="63" t="n">
        <f aca="false">N159/S159</f>
        <v>7885.70769230769</v>
      </c>
      <c r="U159" s="63" t="n">
        <v>14050</v>
      </c>
      <c r="V159" s="69" t="n">
        <f aca="false">'$'!C146</f>
        <v>30.065751</v>
      </c>
      <c r="W159" s="70" t="n">
        <f aca="false">SUM(C159:E159)/V159</f>
        <v>83176.2093685935</v>
      </c>
      <c r="X159" s="70" t="n">
        <f aca="false">C159/$V159</f>
        <v>55434.7629633466</v>
      </c>
      <c r="Y159" s="70" t="n">
        <f aca="false">D159/$V159</f>
        <v>7136.54483468582</v>
      </c>
      <c r="Z159" s="70" t="n">
        <f aca="false">E159/$V159</f>
        <v>20604.9015705611</v>
      </c>
      <c r="AA159" s="71" t="n">
        <f aca="false">C159/((N159+U159)*V159)</f>
        <v>0.253036186878061</v>
      </c>
      <c r="AB159" s="71" t="n">
        <f aca="false">D159/((N159+U159)*V159)</f>
        <v>0.0325753010551739</v>
      </c>
      <c r="AC159" s="71" t="n">
        <f aca="false">E159/((N159+U159)*V159)</f>
        <v>0.0940526385557003</v>
      </c>
      <c r="AD159" s="71" t="n">
        <f aca="false">(C159+D159+E159)/((N159+U159)*V159)</f>
        <v>0.379664126488935</v>
      </c>
      <c r="AE159" s="71" t="n">
        <f aca="false">(C159+D159+E159)/((K159+U159)*V159)</f>
        <v>0.444039595790206</v>
      </c>
      <c r="AF159" s="72" t="n">
        <f aca="false">(P159/V159)/K159</f>
        <v>1.16005348734975</v>
      </c>
      <c r="AG159" s="73" t="n">
        <f aca="false">F159/($N159+$U159)</f>
        <v>0.538910545265987</v>
      </c>
      <c r="AH159" s="73" t="n">
        <f aca="false">G159/($N159+$U159)</f>
        <v>0.0797933525167246</v>
      </c>
      <c r="AI159" s="74" t="n">
        <f aca="false">I159/($N159+$U159)</f>
        <v>1.17352965878882</v>
      </c>
      <c r="AJ159" s="44" t="n">
        <f aca="false">C159/F159</f>
        <v>14.1168567872621</v>
      </c>
      <c r="AK159" s="44" t="n">
        <f aca="false">D159/G159</f>
        <v>12.274216577999</v>
      </c>
      <c r="AL159" s="44" t="n">
        <f aca="false">E159/I159</f>
        <v>2.40962227970206</v>
      </c>
      <c r="AM159" s="45" t="n">
        <f aca="false">E159/(I159-J159)</f>
        <v>3.08926087346784</v>
      </c>
      <c r="AN159" s="75" t="n">
        <f aca="false">AJ159/$V159</f>
        <v>0.469532817831893</v>
      </c>
      <c r="AO159" s="75" t="n">
        <f aca="false">AK159/$V159</f>
        <v>0.408245800279493</v>
      </c>
      <c r="AP159" s="75" t="n">
        <f aca="false">AL159/$V159</f>
        <v>0.0801450886659061</v>
      </c>
      <c r="AQ159" s="75" t="n">
        <f aca="false">AM159/$V159</f>
        <v>0.102750164912489</v>
      </c>
      <c r="AR159" s="76" t="n">
        <v>130</v>
      </c>
    </row>
    <row r="160" customFormat="false" ht="18.75" hidden="false" customHeight="true" outlineLevel="0" collapsed="false">
      <c r="A160" s="18" t="n">
        <v>2024</v>
      </c>
      <c r="B160" s="18" t="n">
        <v>2</v>
      </c>
      <c r="C160" s="24" t="n">
        <v>1337593.2</v>
      </c>
      <c r="D160" s="24" t="n">
        <v>191448.26</v>
      </c>
      <c r="E160" s="25" t="n">
        <v>469487.45</v>
      </c>
      <c r="F160" s="26" t="n">
        <v>94734.78</v>
      </c>
      <c r="G160" s="26" t="n">
        <v>14336</v>
      </c>
      <c r="H160" s="26" t="n">
        <v>11805</v>
      </c>
      <c r="I160" s="27" t="n">
        <v>234310</v>
      </c>
      <c r="J160" s="27" t="n">
        <v>90793</v>
      </c>
      <c r="K160" s="29" t="n">
        <v>153327.6</v>
      </c>
      <c r="L160" s="29" t="n">
        <v>40712.1</v>
      </c>
      <c r="M160" s="30" t="n">
        <f aca="false">L160/N160</f>
        <v>0.209813249556663</v>
      </c>
      <c r="N160" s="28" t="n">
        <f aca="false">K160+L160</f>
        <v>194039.7</v>
      </c>
      <c r="O160" s="31" t="n">
        <v>192559.63</v>
      </c>
      <c r="P160" s="24" t="n">
        <v>5403287</v>
      </c>
      <c r="Q160" s="32" t="n">
        <v>191</v>
      </c>
      <c r="R160" s="32" t="n">
        <f aca="false">O160/Q160</f>
        <v>1008.16560209424</v>
      </c>
      <c r="S160" s="33" t="n">
        <v>22</v>
      </c>
      <c r="T160" s="29" t="n">
        <f aca="false">N160/S160</f>
        <v>8819.98636363636</v>
      </c>
      <c r="U160" s="29" t="n">
        <v>14808</v>
      </c>
      <c r="V160" s="34" t="n">
        <f aca="false">'$'!C147</f>
        <v>30.78419</v>
      </c>
      <c r="W160" s="35" t="n">
        <f aca="false">SUM(C160:E160)/V160</f>
        <v>64920.6267892707</v>
      </c>
      <c r="X160" s="35" t="n">
        <f aca="false">C160/$V160</f>
        <v>43450.6543781077</v>
      </c>
      <c r="Y160" s="35" t="n">
        <f aca="false">D160/$V160</f>
        <v>6219.0449058429</v>
      </c>
      <c r="Z160" s="35" t="n">
        <f aca="false">E160/$V160</f>
        <v>15250.9275053201</v>
      </c>
      <c r="AA160" s="36" t="n">
        <f aca="false">C160/((N160+U160)*V160)</f>
        <v>0.20804947518267</v>
      </c>
      <c r="AB160" s="36" t="n">
        <f aca="false">D160/((N160+U160)*V160)</f>
        <v>0.02977789511612</v>
      </c>
      <c r="AC160" s="36" t="n">
        <f aca="false">E160/((N160+U160)*V160)</f>
        <v>0.073024158299661</v>
      </c>
      <c r="AD160" s="36" t="n">
        <f aca="false">(C160+D160+E160)/((N160+U160)*V160)</f>
        <v>0.310851528598451</v>
      </c>
      <c r="AE160" s="36" t="n">
        <f aca="false">(C160+D160+E160)/((K160+U160)*V160)</f>
        <v>0.386120647794225</v>
      </c>
      <c r="AF160" s="37" t="n">
        <f aca="false">(P160/V160)/K160</f>
        <v>1.14474819496279</v>
      </c>
      <c r="AG160" s="38" t="n">
        <f aca="false">F160/($N160+$U160)</f>
        <v>0.453607006445367</v>
      </c>
      <c r="AH160" s="38" t="n">
        <f aca="false">G160/($N160+$U160)</f>
        <v>0.0686433223827698</v>
      </c>
      <c r="AI160" s="39" t="n">
        <f aca="false">I160/($N160+$U160)</f>
        <v>1.12191802926247</v>
      </c>
      <c r="AJ160" s="40" t="n">
        <f aca="false">C160/F160</f>
        <v>14.1193466644457</v>
      </c>
      <c r="AK160" s="40" t="n">
        <f aca="false">D160/G160</f>
        <v>13.3543708147321</v>
      </c>
      <c r="AL160" s="40" t="n">
        <f aca="false">E160/I160</f>
        <v>2.00370214672869</v>
      </c>
      <c r="AM160" s="41" t="n">
        <f aca="false">E160/(I160-J160)</f>
        <v>3.27130200603413</v>
      </c>
      <c r="AN160" s="42" t="n">
        <f aca="false">AJ160/$V160</f>
        <v>0.458655779620829</v>
      </c>
      <c r="AO160" s="42" t="n">
        <f aca="false">AK160/$V160</f>
        <v>0.433806145775872</v>
      </c>
      <c r="AP160" s="42" t="n">
        <f aca="false">AL160/$V160</f>
        <v>0.0650886752819773</v>
      </c>
      <c r="AQ160" s="42" t="n">
        <f aca="false">AM160/$V160</f>
        <v>0.106265651492995</v>
      </c>
      <c r="AR160" s="43" t="n">
        <v>188</v>
      </c>
    </row>
    <row r="161" customFormat="false" ht="18.75" hidden="false" customHeight="true" outlineLevel="0" collapsed="false">
      <c r="A161" s="18" t="n">
        <v>2024</v>
      </c>
      <c r="B161" s="18" t="n">
        <v>3</v>
      </c>
      <c r="C161" s="24" t="n">
        <v>1624585.18</v>
      </c>
      <c r="D161" s="24" t="n">
        <v>231886.29</v>
      </c>
      <c r="E161" s="25" t="n">
        <v>557371.9</v>
      </c>
      <c r="F161" s="26" t="n">
        <f aca="false">69007.91+46005.28</f>
        <v>115013.19</v>
      </c>
      <c r="G161" s="26" t="n">
        <v>17005</v>
      </c>
      <c r="H161" s="26" t="n">
        <v>15087</v>
      </c>
      <c r="I161" s="27" t="n">
        <v>286377</v>
      </c>
      <c r="J161" s="27" t="n">
        <v>131981</v>
      </c>
      <c r="K161" s="29" t="n">
        <v>191983.7</v>
      </c>
      <c r="L161" s="29" t="n">
        <v>44648.5</v>
      </c>
      <c r="M161" s="30" t="n">
        <f aca="false">L161/N161</f>
        <v>0.188683112442009</v>
      </c>
      <c r="N161" s="28" t="n">
        <f aca="false">K161+L161</f>
        <v>236632.2</v>
      </c>
      <c r="O161" s="31" t="n">
        <v>200965.75</v>
      </c>
      <c r="P161" s="24" t="n">
        <v>5983025</v>
      </c>
      <c r="Q161" s="32" t="n">
        <v>187</v>
      </c>
      <c r="R161" s="32" t="n">
        <f aca="false">O161/Q161</f>
        <v>1074.68315508021</v>
      </c>
      <c r="S161" s="33" t="n">
        <v>27</v>
      </c>
      <c r="T161" s="29" t="n">
        <f aca="false">N161/S161</f>
        <v>8764.15555555556</v>
      </c>
      <c r="U161" s="29" t="n">
        <v>24740</v>
      </c>
      <c r="V161" s="34" t="n">
        <f aca="false">'$'!C148</f>
        <v>32.02692</v>
      </c>
      <c r="W161" s="35" t="n">
        <f aca="false">SUM(C161:E161)/V161</f>
        <v>75369.2009721822</v>
      </c>
      <c r="X161" s="35" t="n">
        <f aca="false">C161/$V161</f>
        <v>50725.6139522627</v>
      </c>
      <c r="Y161" s="35" t="n">
        <f aca="false">D161/$V161</f>
        <v>7240.35561334028</v>
      </c>
      <c r="Z161" s="35" t="n">
        <f aca="false">E161/$V161</f>
        <v>17403.2314065792</v>
      </c>
      <c r="AA161" s="36" t="n">
        <f aca="false">C161/((N161+U161)*V161)</f>
        <v>0.194074251019285</v>
      </c>
      <c r="AB161" s="36" t="n">
        <f aca="false">D161/((N161+U161)*V161)</f>
        <v>0.0277013225329254</v>
      </c>
      <c r="AC161" s="36" t="n">
        <f aca="false">E161/((N161+U161)*V161)</f>
        <v>0.0665840950436933</v>
      </c>
      <c r="AD161" s="36" t="n">
        <f aca="false">(C161+D161+E161)/((N161+U161)*V161)</f>
        <v>0.288359668595903</v>
      </c>
      <c r="AE161" s="36" t="n">
        <f aca="false">(C161+D161+E161)/((K161+U161)*V161)</f>
        <v>0.347766307848113</v>
      </c>
      <c r="AF161" s="37" t="n">
        <f aca="false">(P161/V161)/K161</f>
        <v>0.973063730614869</v>
      </c>
      <c r="AG161" s="38" t="n">
        <f aca="false">F161/($N161+$U161)</f>
        <v>0.440036048210177</v>
      </c>
      <c r="AH161" s="38" t="n">
        <f aca="false">G161/($N161+$U161)</f>
        <v>0.0650604769749805</v>
      </c>
      <c r="AI161" s="39" t="n">
        <f aca="false">I161/($N161+$U161)</f>
        <v>1.09566740456713</v>
      </c>
      <c r="AJ161" s="40" t="n">
        <f aca="false">C161/F161</f>
        <v>14.1252075522816</v>
      </c>
      <c r="AK161" s="40" t="n">
        <f aca="false">D161/G161</f>
        <v>13.6363593060864</v>
      </c>
      <c r="AL161" s="40" t="n">
        <f aca="false">E161/I161</f>
        <v>1.94628723675435</v>
      </c>
      <c r="AM161" s="41" t="n">
        <f aca="false">E161/(I161-J161)</f>
        <v>3.61001515583305</v>
      </c>
      <c r="AN161" s="42" t="n">
        <f aca="false">AJ161/$V161</f>
        <v>0.44104170967054</v>
      </c>
      <c r="AO161" s="42" t="n">
        <f aca="false">AK161/$V161</f>
        <v>0.425778042536917</v>
      </c>
      <c r="AP161" s="42" t="n">
        <f aca="false">AL161/$V161</f>
        <v>0.0607703530890372</v>
      </c>
      <c r="AQ161" s="42" t="n">
        <f aca="false">AM161/$V161</f>
        <v>0.112718149476536</v>
      </c>
      <c r="AR161" s="43" t="n">
        <v>184</v>
      </c>
    </row>
    <row r="162" customFormat="false" ht="18.75" hidden="false" customHeight="true" outlineLevel="0" collapsed="false">
      <c r="A162" s="18" t="n">
        <v>2024</v>
      </c>
      <c r="B162" s="18" t="n">
        <v>4</v>
      </c>
      <c r="C162" s="24" t="n">
        <v>1025993.23</v>
      </c>
      <c r="D162" s="24" t="n">
        <v>161336.42</v>
      </c>
      <c r="E162" s="25" t="n">
        <v>231666.54</v>
      </c>
      <c r="F162" s="26" t="n">
        <f aca="false">72613.89</f>
        <v>72613.89</v>
      </c>
      <c r="G162" s="26" t="n">
        <v>12699</v>
      </c>
      <c r="H162" s="26" t="n">
        <v>10043</v>
      </c>
      <c r="I162" s="27" t="n">
        <v>208982</v>
      </c>
      <c r="J162" s="27" t="n">
        <v>147353</v>
      </c>
      <c r="K162" s="29" t="n">
        <v>120619.05</v>
      </c>
      <c r="L162" s="29" t="n">
        <v>28170.9</v>
      </c>
      <c r="M162" s="30" t="n">
        <f aca="false">L162/N162</f>
        <v>0.189333352151809</v>
      </c>
      <c r="N162" s="28" t="n">
        <f aca="false">K162+L162</f>
        <v>148789.95</v>
      </c>
      <c r="O162" s="31" t="n">
        <v>152088</v>
      </c>
      <c r="P162" s="24" t="n">
        <v>6474160</v>
      </c>
      <c r="Q162" s="32" t="n">
        <v>193</v>
      </c>
      <c r="R162" s="32" t="n">
        <f aca="false">O162/Q162</f>
        <v>788.020725388601</v>
      </c>
      <c r="S162" s="33" t="n">
        <v>24</v>
      </c>
      <c r="T162" s="29" t="n">
        <f aca="false">N162/S162</f>
        <v>6199.58125</v>
      </c>
      <c r="U162" s="29" t="n">
        <v>26213</v>
      </c>
      <c r="V162" s="34" t="n">
        <f aca="false">'$'!C149</f>
        <v>32.366499</v>
      </c>
      <c r="W162" s="35" t="n">
        <f aca="false">SUM(C162:E162)/V162</f>
        <v>43841.5100131775</v>
      </c>
      <c r="X162" s="35" t="n">
        <f aca="false">C162/$V162</f>
        <v>31699.2341371243</v>
      </c>
      <c r="Y162" s="35" t="n">
        <f aca="false">D162/$V162</f>
        <v>4984.67319557794</v>
      </c>
      <c r="Z162" s="35" t="n">
        <f aca="false">E162/$V162</f>
        <v>7157.60268047527</v>
      </c>
      <c r="AA162" s="36" t="n">
        <f aca="false">C162/((N162+U162)*V162)</f>
        <v>0.181135427357792</v>
      </c>
      <c r="AB162" s="36" t="n">
        <f aca="false">D162/((N162+U162)*V162)</f>
        <v>0.0284833666836927</v>
      </c>
      <c r="AC162" s="36" t="n">
        <f aca="false">E162/((N162+U162)*V162)</f>
        <v>0.0408998972901615</v>
      </c>
      <c r="AD162" s="36" t="n">
        <f aca="false">(C162+D162+E162)/((N162+U162)*V162)</f>
        <v>0.250518691331646</v>
      </c>
      <c r="AE162" s="36" t="n">
        <f aca="false">(C162+D162+E162)/((K162+U162)*V162)</f>
        <v>0.298582700528785</v>
      </c>
      <c r="AF162" s="37" t="n">
        <f aca="false">(P162/V162)/K162</f>
        <v>1.6583332140545</v>
      </c>
      <c r="AG162" s="38" t="n">
        <f aca="false">F162/($N162+$U162)</f>
        <v>0.414929519759524</v>
      </c>
      <c r="AH162" s="38" t="n">
        <f aca="false">G162/($N162+$U162)</f>
        <v>0.0725644910557222</v>
      </c>
      <c r="AI162" s="39" t="n">
        <f aca="false">I162/($N162+$U162)</f>
        <v>1.19416272697117</v>
      </c>
      <c r="AJ162" s="40" t="n">
        <f aca="false">C162/F162</f>
        <v>14.1294348780929</v>
      </c>
      <c r="AK162" s="40" t="n">
        <f aca="false">D162/G162</f>
        <v>12.7046554846838</v>
      </c>
      <c r="AL162" s="40" t="n">
        <f aca="false">E162/I162</f>
        <v>1.10854781751538</v>
      </c>
      <c r="AM162" s="41" t="n">
        <f aca="false">E162/(I162-J162)</f>
        <v>3.75905077155235</v>
      </c>
      <c r="AN162" s="42" t="n">
        <f aca="false">AJ162/$V162</f>
        <v>0.436545048572998</v>
      </c>
      <c r="AO162" s="42" t="n">
        <f aca="false">AK162/$V162</f>
        <v>0.392524859876993</v>
      </c>
      <c r="AP162" s="42" t="n">
        <f aca="false">AL162/$V162</f>
        <v>0.034249852525458</v>
      </c>
      <c r="AQ162" s="42" t="n">
        <f aca="false">AM162/$V162</f>
        <v>0.116140172329184</v>
      </c>
      <c r="AR162" s="43" t="n">
        <v>240</v>
      </c>
    </row>
    <row r="163" customFormat="false" ht="18.75" hidden="false" customHeight="true" outlineLevel="0" collapsed="false">
      <c r="A163" s="18" t="n">
        <v>2024</v>
      </c>
      <c r="B163" s="18" t="n">
        <v>5</v>
      </c>
      <c r="C163" s="24" t="n">
        <v>1432752.83</v>
      </c>
      <c r="D163" s="24" t="n">
        <v>204170.8</v>
      </c>
      <c r="E163" s="25" t="n">
        <v>562287.37</v>
      </c>
      <c r="F163" s="26" t="n">
        <v>101379.87</v>
      </c>
      <c r="G163" s="26" t="n">
        <v>16026</v>
      </c>
      <c r="H163" s="26" t="n">
        <v>13198</v>
      </c>
      <c r="I163" s="27" t="n">
        <v>305876</v>
      </c>
      <c r="J163" s="27" t="n">
        <v>157609</v>
      </c>
      <c r="K163" s="29" t="n">
        <v>195432.18</v>
      </c>
      <c r="L163" s="29" t="n">
        <v>31764.2</v>
      </c>
      <c r="M163" s="30" t="n">
        <f aca="false">L163/N163</f>
        <v>0.139809445907545</v>
      </c>
      <c r="N163" s="28" t="n">
        <f aca="false">K163+L163</f>
        <v>227196.38</v>
      </c>
      <c r="O163" s="31" t="n">
        <f aca="false">199469+17838</f>
        <v>217307</v>
      </c>
      <c r="P163" s="24" t="n">
        <v>5676150</v>
      </c>
      <c r="Q163" s="32" t="n">
        <v>185</v>
      </c>
      <c r="R163" s="32" t="n">
        <f aca="false">O163/Q163</f>
        <v>1174.63243243243</v>
      </c>
      <c r="S163" s="33" t="n">
        <v>27</v>
      </c>
      <c r="T163" s="29" t="n">
        <f aca="false">N163/S163</f>
        <v>8414.68074074074</v>
      </c>
      <c r="U163" s="29" t="n">
        <v>35726.8</v>
      </c>
      <c r="V163" s="34" t="n">
        <f aca="false">'$'!C150</f>
        <v>32.26418</v>
      </c>
      <c r="W163" s="35" t="n">
        <f aca="false">SUM(C163:E163)/V163</f>
        <v>68162.618730741</v>
      </c>
      <c r="X163" s="35" t="n">
        <f aca="false">C163/$V163</f>
        <v>44406.9190662834</v>
      </c>
      <c r="Y163" s="35" t="n">
        <f aca="false">D163/$V163</f>
        <v>6328.0951197272</v>
      </c>
      <c r="Z163" s="35" t="n">
        <f aca="false">E163/$V163</f>
        <v>17427.6045447304</v>
      </c>
      <c r="AA163" s="36" t="n">
        <f aca="false">C163/((N163+U163)*V163)</f>
        <v>0.168896934329957</v>
      </c>
      <c r="AB163" s="36" t="n">
        <f aca="false">D163/((N163+U163)*V163)</f>
        <v>0.0240682282928694</v>
      </c>
      <c r="AC163" s="36" t="n">
        <f aca="false">E163/((N163+U163)*V163)</f>
        <v>0.0662840170453226</v>
      </c>
      <c r="AD163" s="36" t="n">
        <f aca="false">(C163+D163+E163)/((N163+U163)*V163)</f>
        <v>0.259249179668149</v>
      </c>
      <c r="AE163" s="36" t="n">
        <f aca="false">(C163+D163+E163)/((K163+U163)*V163)</f>
        <v>0.294873332330594</v>
      </c>
      <c r="AF163" s="37" t="n">
        <f aca="false">(P163/V163)/K163</f>
        <v>0.900196158600398</v>
      </c>
      <c r="AG163" s="38" t="n">
        <f aca="false">F163/($N163+$U163)</f>
        <v>0.385587417587145</v>
      </c>
      <c r="AH163" s="38" t="n">
        <f aca="false">G163/($N163+$U163)</f>
        <v>0.0609531651032062</v>
      </c>
      <c r="AI163" s="39" t="n">
        <f aca="false">I163/($N163+$U163)</f>
        <v>1.16336642512843</v>
      </c>
      <c r="AJ163" s="40" t="n">
        <f aca="false">C163/F163</f>
        <v>14.1325179249096</v>
      </c>
      <c r="AK163" s="40" t="n">
        <f aca="false">D163/G163</f>
        <v>12.739972544615</v>
      </c>
      <c r="AL163" s="40" t="n">
        <f aca="false">E163/I163</f>
        <v>1.83828535092652</v>
      </c>
      <c r="AM163" s="41" t="n">
        <f aca="false">E163/(I163-J163)</f>
        <v>3.79239729676867</v>
      </c>
      <c r="AN163" s="42" t="n">
        <f aca="false">AJ163/$V163</f>
        <v>0.438025014889873</v>
      </c>
      <c r="AO163" s="42" t="n">
        <f aca="false">AK163/$V163</f>
        <v>0.39486429051087</v>
      </c>
      <c r="AP163" s="42" t="n">
        <f aca="false">AL163/$V163</f>
        <v>0.0569760443602323</v>
      </c>
      <c r="AQ163" s="42" t="n">
        <f aca="false">AM163/$V163</f>
        <v>0.117542032581292</v>
      </c>
      <c r="AR163" s="43" t="n">
        <v>190</v>
      </c>
    </row>
    <row r="164" customFormat="false" ht="18.75" hidden="false" customHeight="true" outlineLevel="0" collapsed="false">
      <c r="A164" s="18" t="n">
        <v>2024</v>
      </c>
      <c r="B164" s="18" t="n">
        <v>6</v>
      </c>
      <c r="C164" s="24" t="n">
        <v>1066515.66</v>
      </c>
      <c r="D164" s="24" t="n">
        <v>160676.56</v>
      </c>
      <c r="E164" s="25" t="n">
        <v>179077.01</v>
      </c>
      <c r="F164" s="26" t="n">
        <v>74801.51</v>
      </c>
      <c r="G164" s="26" t="n">
        <v>12689</v>
      </c>
      <c r="H164" s="26" t="n">
        <v>10371</v>
      </c>
      <c r="I164" s="27" t="n">
        <v>220896</v>
      </c>
      <c r="J164" s="27" t="n">
        <v>178539</v>
      </c>
      <c r="K164" s="29" t="n">
        <v>137445.5</v>
      </c>
      <c r="L164" s="29" t="n">
        <v>27514.35</v>
      </c>
      <c r="M164" s="30" t="n">
        <f aca="false">L164/N164</f>
        <v>0.166794222957889</v>
      </c>
      <c r="N164" s="28" t="n">
        <f aca="false">K164+L164</f>
        <v>164959.85</v>
      </c>
      <c r="O164" s="31" t="n">
        <v>148630.42</v>
      </c>
      <c r="P164" s="24" t="n">
        <v>5220508</v>
      </c>
      <c r="Q164" s="32" t="n">
        <v>181</v>
      </c>
      <c r="R164" s="32" t="n">
        <f aca="false">O164/Q164</f>
        <v>821.162541436464</v>
      </c>
      <c r="S164" s="33" t="n">
        <v>23</v>
      </c>
      <c r="T164" s="29" t="n">
        <f aca="false">N164/S164</f>
        <v>7172.16739130435</v>
      </c>
      <c r="U164" s="29" t="n">
        <v>10222.5</v>
      </c>
      <c r="V164" s="34" t="n">
        <f aca="false">'$'!C151</f>
        <v>32.591018</v>
      </c>
      <c r="W164" s="35" t="n">
        <f aca="false">SUM(C164:E164)/V164</f>
        <v>43148.9814156772</v>
      </c>
      <c r="X164" s="35" t="n">
        <f aca="false">C164/$V164</f>
        <v>32724.2205198991</v>
      </c>
      <c r="Y164" s="35" t="n">
        <f aca="false">D164/$V164</f>
        <v>4930.08717923448</v>
      </c>
      <c r="Z164" s="35" t="n">
        <f aca="false">E164/$V164</f>
        <v>5494.67371654362</v>
      </c>
      <c r="AA164" s="36" t="n">
        <f aca="false">C164/((N164+U164)*V164)</f>
        <v>0.186800899290934</v>
      </c>
      <c r="AB164" s="36" t="n">
        <f aca="false">D164/((N164+U164)*V164)</f>
        <v>0.0281426021470455</v>
      </c>
      <c r="AC164" s="36" t="n">
        <f aca="false">E164/((N164+U164)*V164)</f>
        <v>0.0313654527213707</v>
      </c>
      <c r="AD164" s="36" t="n">
        <f aca="false">(C164+D164+E164)/((N164+U164)*V164)</f>
        <v>0.24630895415935</v>
      </c>
      <c r="AE164" s="36" t="n">
        <f aca="false">(C164+D164+E164)/((K164+U164)*V164)</f>
        <v>0.292202653355346</v>
      </c>
      <c r="AF164" s="37" t="n">
        <f aca="false">(P164/V164)/K164</f>
        <v>1.16542495682776</v>
      </c>
      <c r="AG164" s="38" t="n">
        <f aca="false">F164/($N164+$U164)</f>
        <v>0.426992274050439</v>
      </c>
      <c r="AH164" s="38" t="n">
        <f aca="false">G164/($N164+$U164)</f>
        <v>0.0724330961423911</v>
      </c>
      <c r="AI164" s="39" t="n">
        <f aca="false">I164/($N164+$U164)</f>
        <v>1.26094894833869</v>
      </c>
      <c r="AJ164" s="40" t="n">
        <f aca="false">C164/F164</f>
        <v>14.2579429212057</v>
      </c>
      <c r="AK164" s="40" t="n">
        <f aca="false">D164/G164</f>
        <v>12.6626653006541</v>
      </c>
      <c r="AL164" s="40" t="n">
        <f aca="false">E164/I164</f>
        <v>0.810684711357381</v>
      </c>
      <c r="AM164" s="41" t="n">
        <f aca="false">E164/(I164-J164)</f>
        <v>4.22780201619567</v>
      </c>
      <c r="AN164" s="42" t="n">
        <f aca="false">AJ164/$V164</f>
        <v>0.437480747646659</v>
      </c>
      <c r="AO164" s="42" t="n">
        <f aca="false">AK164/$V164</f>
        <v>0.388532364980257</v>
      </c>
      <c r="AP164" s="42" t="n">
        <f aca="false">AL164/$V164</f>
        <v>0.0248744826368228</v>
      </c>
      <c r="AQ164" s="42" t="n">
        <f aca="false">AM164/$V164</f>
        <v>0.129722919860793</v>
      </c>
      <c r="AR164" s="43" t="n">
        <v>320</v>
      </c>
    </row>
    <row r="165" customFormat="false" ht="18.75" hidden="false" customHeight="true" outlineLevel="0" collapsed="false">
      <c r="A165" s="18" t="n">
        <v>2024</v>
      </c>
      <c r="B165" s="18" t="n">
        <v>7</v>
      </c>
      <c r="C165" s="24" t="n">
        <v>1376451</v>
      </c>
      <c r="D165" s="24" t="n">
        <v>218807</v>
      </c>
      <c r="E165" s="25" t="n">
        <v>582305</v>
      </c>
      <c r="F165" s="26" t="n">
        <v>96922.51</v>
      </c>
      <c r="G165" s="26" t="n">
        <v>18053</v>
      </c>
      <c r="H165" s="26" t="n">
        <v>13528</v>
      </c>
      <c r="I165" s="27" t="n">
        <v>309747</v>
      </c>
      <c r="J165" s="27" t="n">
        <v>168106</v>
      </c>
      <c r="K165" s="29" t="n">
        <v>199029</v>
      </c>
      <c r="L165" s="29" t="n">
        <v>29045</v>
      </c>
      <c r="M165" s="30" t="n">
        <f aca="false">L165/N165</f>
        <v>0.127349018301078</v>
      </c>
      <c r="N165" s="28" t="n">
        <f aca="false">K165+L165</f>
        <v>228074</v>
      </c>
      <c r="O165" s="31" t="n">
        <v>213939</v>
      </c>
      <c r="P165" s="24" t="n">
        <v>5589757</v>
      </c>
      <c r="Q165" s="32" t="n">
        <v>183</v>
      </c>
      <c r="R165" s="32" t="n">
        <f aca="false">O165/Q165</f>
        <v>1169.06557377049</v>
      </c>
      <c r="S165" s="33" t="n">
        <v>26</v>
      </c>
      <c r="T165" s="29" t="n">
        <f aca="false">N165/S165</f>
        <v>8772.07692307692</v>
      </c>
      <c r="U165" s="29" t="n">
        <v>28090.3</v>
      </c>
      <c r="V165" s="34" t="n">
        <f aca="false">'$'!C152</f>
        <v>32.911131</v>
      </c>
      <c r="W165" s="35" t="n">
        <f aca="false">SUM(C165:E165)/V165</f>
        <v>66164.9397585273</v>
      </c>
      <c r="X165" s="35" t="n">
        <f aca="false">C165/$V165</f>
        <v>41823.2664201057</v>
      </c>
      <c r="Y165" s="35" t="n">
        <f aca="false">D165/$V165</f>
        <v>6648.41934481073</v>
      </c>
      <c r="Z165" s="35" t="n">
        <f aca="false">E165/$V165</f>
        <v>17693.2539936109</v>
      </c>
      <c r="AA165" s="36" t="n">
        <f aca="false">C165/((N165+U165)*V165)</f>
        <v>0.163267349978532</v>
      </c>
      <c r="AB165" s="36" t="n">
        <f aca="false">D165/((N165+U165)*V165)</f>
        <v>0.0259537310421894</v>
      </c>
      <c r="AC165" s="36" t="n">
        <f aca="false">E165/((N165+U165)*V165)</f>
        <v>0.0690699445379815</v>
      </c>
      <c r="AD165" s="36" t="n">
        <f aca="false">(C165+D165+E165)/((N165+U165)*V165)</f>
        <v>0.258291025558703</v>
      </c>
      <c r="AE165" s="36" t="n">
        <f aca="false">(C165+D165+E165)/((K165+U165)*V165)</f>
        <v>0.291322400863895</v>
      </c>
      <c r="AF165" s="37" t="n">
        <f aca="false">(P165/V165)/K165</f>
        <v>0.853362904686354</v>
      </c>
      <c r="AG165" s="38" t="n">
        <f aca="false">F165/($N165+$U165)</f>
        <v>0.378360723957242</v>
      </c>
      <c r="AH165" s="38" t="n">
        <f aca="false">G165/($N165+$U165)</f>
        <v>0.0704743010638094</v>
      </c>
      <c r="AI165" s="39" t="n">
        <f aca="false">I165/($N165+$U165)</f>
        <v>1.20917317518483</v>
      </c>
      <c r="AJ165" s="40" t="n">
        <f aca="false">C165/F165</f>
        <v>14.2015616392931</v>
      </c>
      <c r="AK165" s="40" t="n">
        <f aca="false">D165/G165</f>
        <v>12.1202570209937</v>
      </c>
      <c r="AL165" s="40" t="n">
        <f aca="false">E165/I165</f>
        <v>1.87993749737689</v>
      </c>
      <c r="AM165" s="41" t="n">
        <f aca="false">E165/(I165-J165)</f>
        <v>4.11113307587492</v>
      </c>
      <c r="AN165" s="42" t="n">
        <f aca="false">AJ165/$V165</f>
        <v>0.431512415641173</v>
      </c>
      <c r="AO165" s="42" t="n">
        <f aca="false">AK165/$V165</f>
        <v>0.368272273018929</v>
      </c>
      <c r="AP165" s="42" t="n">
        <f aca="false">AL165/$V165</f>
        <v>0.0571216315044564</v>
      </c>
      <c r="AQ165" s="42" t="n">
        <f aca="false">AM165/$V165</f>
        <v>0.124916189476288</v>
      </c>
      <c r="AR165" s="43" t="n">
        <v>291</v>
      </c>
    </row>
    <row r="166" customFormat="false" ht="18.75" hidden="false" customHeight="true" outlineLevel="0" collapsed="false">
      <c r="A166" s="18" t="n">
        <v>2024</v>
      </c>
      <c r="B166" s="18" t="n">
        <v>8</v>
      </c>
      <c r="C166" s="24" t="n">
        <v>1174153.25</v>
      </c>
      <c r="D166" s="24" t="n">
        <v>222278.13</v>
      </c>
      <c r="E166" s="25" t="n">
        <v>520347.25</v>
      </c>
      <c r="F166" s="26" t="n">
        <v>82743.93</v>
      </c>
      <c r="G166" s="26" t="n">
        <v>19003</v>
      </c>
      <c r="H166" s="26" t="n">
        <v>14085</v>
      </c>
      <c r="I166" s="27" t="n">
        <v>295107</v>
      </c>
      <c r="J166" s="27" t="n">
        <v>154217</v>
      </c>
      <c r="K166" s="29" t="n">
        <v>164127.5</v>
      </c>
      <c r="L166" s="29" t="n">
        <v>29293</v>
      </c>
      <c r="M166" s="30" t="n">
        <f aca="false">L166/N166</f>
        <v>0.151447235427475</v>
      </c>
      <c r="N166" s="28" t="n">
        <f aca="false">K166+L166</f>
        <v>193420.5</v>
      </c>
      <c r="O166" s="31" t="n">
        <v>158940</v>
      </c>
      <c r="P166" s="24" t="n">
        <v>5259220</v>
      </c>
      <c r="Q166" s="32" t="n">
        <v>176</v>
      </c>
      <c r="R166" s="32" t="n">
        <f aca="false">O166/Q166</f>
        <v>903.068181818182</v>
      </c>
      <c r="S166" s="33" t="n">
        <v>27</v>
      </c>
      <c r="T166" s="29" t="n">
        <f aca="false">N166/S166</f>
        <v>7163.72222222222</v>
      </c>
      <c r="U166" s="29" t="n">
        <v>29742.7</v>
      </c>
      <c r="V166" s="34" t="n">
        <f aca="false">'$'!C153</f>
        <v>33.678</v>
      </c>
      <c r="W166" s="35" t="n">
        <f aca="false">SUM(C166:E166)/V166</f>
        <v>56914.8592553002</v>
      </c>
      <c r="X166" s="35" t="n">
        <f aca="false">C166/$V166</f>
        <v>34864.1026783063</v>
      </c>
      <c r="Y166" s="35" t="n">
        <f aca="false">D166/$V166</f>
        <v>6600.09887760556</v>
      </c>
      <c r="Z166" s="35" t="n">
        <f aca="false">E166/$V166</f>
        <v>15450.6576993883</v>
      </c>
      <c r="AA166" s="36" t="n">
        <f aca="false">C166/((N166+U166)*V166)</f>
        <v>0.15622693472</v>
      </c>
      <c r="AB166" s="36" t="n">
        <f aca="false">D166/((N166+U166)*V166)</f>
        <v>0.0295752116729172</v>
      </c>
      <c r="AC166" s="36" t="n">
        <f aca="false">E166/((N166+U166)*V166)</f>
        <v>0.0692347918446604</v>
      </c>
      <c r="AD166" s="36" t="n">
        <f aca="false">(C166+D166+E166)/((N166+U166)*V166)</f>
        <v>0.255036938237578</v>
      </c>
      <c r="AE166" s="36" t="n">
        <f aca="false">(C166+D166+E166)/((K166+U166)*V166)</f>
        <v>0.293571984014563</v>
      </c>
      <c r="AF166" s="37" t="n">
        <f aca="false">(P166/V166)/K166</f>
        <v>0.951466915037086</v>
      </c>
      <c r="AG166" s="38" t="n">
        <f aca="false">F166/($N166+$U166)</f>
        <v>0.370777664059307</v>
      </c>
      <c r="AH166" s="38" t="n">
        <f aca="false">G166/($N166+$U166)</f>
        <v>0.0851529284398145</v>
      </c>
      <c r="AI166" s="39" t="n">
        <f aca="false">I166/($N166+$U166)</f>
        <v>1.32238200563534</v>
      </c>
      <c r="AJ166" s="40" t="n">
        <f aca="false">C166/F166</f>
        <v>14.1902040427618</v>
      </c>
      <c r="AK166" s="40" t="n">
        <f aca="false">D166/G166</f>
        <v>11.6970020523075</v>
      </c>
      <c r="AL166" s="40" t="n">
        <f aca="false">E166/I166</f>
        <v>1.76324943156211</v>
      </c>
      <c r="AM166" s="41" t="n">
        <f aca="false">E166/(I166-J166)</f>
        <v>3.69328731634609</v>
      </c>
      <c r="AN166" s="42" t="n">
        <f aca="false">AJ166/$V166</f>
        <v>0.421349368809365</v>
      </c>
      <c r="AO166" s="42" t="n">
        <f aca="false">AK166/$V166</f>
        <v>0.347318785328925</v>
      </c>
      <c r="AP166" s="42" t="n">
        <f aca="false">AL166/$V166</f>
        <v>0.0523561206592467</v>
      </c>
      <c r="AQ166" s="42" t="n">
        <f aca="false">AM166/$V166</f>
        <v>0.109664686630622</v>
      </c>
      <c r="AR166" s="43" t="n">
        <v>286</v>
      </c>
    </row>
    <row r="167" customFormat="false" ht="18.75" hidden="false" customHeight="true" outlineLevel="0" collapsed="false">
      <c r="A167" s="18" t="n">
        <v>2024</v>
      </c>
      <c r="B167" s="18" t="n">
        <v>9</v>
      </c>
      <c r="C167" s="24" t="n">
        <v>1198148</v>
      </c>
      <c r="D167" s="24" t="n">
        <v>184531</v>
      </c>
      <c r="E167" s="25" t="n">
        <v>469303</v>
      </c>
      <c r="F167" s="26" t="n">
        <v>82122</v>
      </c>
      <c r="G167" s="26" t="n">
        <v>17146</v>
      </c>
      <c r="H167" s="26" t="n">
        <v>11057</v>
      </c>
      <c r="I167" s="27" t="n">
        <v>268663</v>
      </c>
      <c r="J167" s="27" t="n">
        <v>144031</v>
      </c>
      <c r="K167" s="29" t="n">
        <v>150610</v>
      </c>
      <c r="L167" s="29" t="n">
        <v>23337</v>
      </c>
      <c r="M167" s="30" t="n">
        <f aca="false">L167/N167</f>
        <v>0.134161554956395</v>
      </c>
      <c r="N167" s="28" t="n">
        <f aca="false">K167+L167</f>
        <v>173947</v>
      </c>
      <c r="O167" s="31" t="n">
        <v>159170</v>
      </c>
      <c r="P167" s="24" t="n">
        <v>5139035</v>
      </c>
      <c r="Q167" s="32" t="n">
        <v>175</v>
      </c>
      <c r="R167" s="32" t="n">
        <f aca="false">O167/Q167</f>
        <v>909.542857142857</v>
      </c>
      <c r="S167" s="33" t="n">
        <v>21</v>
      </c>
      <c r="T167" s="29" t="n">
        <f aca="false">N167/S167</f>
        <v>8283.19047619048</v>
      </c>
      <c r="U167" s="29" t="n">
        <v>20728</v>
      </c>
      <c r="V167" s="34" t="n">
        <f aca="false">'$'!C154</f>
        <v>34.062282</v>
      </c>
      <c r="W167" s="35" t="n">
        <f aca="false">SUM(C167:E167)/V167</f>
        <v>54370.461732423</v>
      </c>
      <c r="X167" s="35" t="n">
        <f aca="false">C167/$V167</f>
        <v>35175.2122773219</v>
      </c>
      <c r="Y167" s="35" t="n">
        <f aca="false">D167/$V167</f>
        <v>5417.45852494557</v>
      </c>
      <c r="Z167" s="35" t="n">
        <f aca="false">E167/$V167</f>
        <v>13777.7909301555</v>
      </c>
      <c r="AA167" s="36" t="n">
        <f aca="false">C167/((N167+U167)*V167)</f>
        <v>0.180686848734156</v>
      </c>
      <c r="AB167" s="36" t="n">
        <f aca="false">D167/((N167+U167)*V167)</f>
        <v>0.0278282189543884</v>
      </c>
      <c r="AC167" s="36" t="n">
        <f aca="false">E167/((N167+U167)*V167)</f>
        <v>0.0707732935926828</v>
      </c>
      <c r="AD167" s="36" t="n">
        <f aca="false">(C167+D167+E167)/((N167+U167)*V167)</f>
        <v>0.279288361281227</v>
      </c>
      <c r="AE167" s="36" t="n">
        <f aca="false">(C167+D167+E167)/((K167+U167)*V167)</f>
        <v>0.31732868209284</v>
      </c>
      <c r="AF167" s="37" t="n">
        <f aca="false">(P167/V167)/K167</f>
        <v>1.00173771909284</v>
      </c>
      <c r="AG167" s="38" t="n">
        <f aca="false">F167/($N167+$U167)</f>
        <v>0.421841530756389</v>
      </c>
      <c r="AH167" s="38" t="n">
        <f aca="false">G167/($N167+$U167)</f>
        <v>0.088074996789521</v>
      </c>
      <c r="AI167" s="39" t="n">
        <f aca="false">I167/($N167+$U167)</f>
        <v>1.38005907281366</v>
      </c>
      <c r="AJ167" s="40" t="n">
        <f aca="false">C167/F167</f>
        <v>14.5898541194808</v>
      </c>
      <c r="AK167" s="40" t="n">
        <f aca="false">D167/G167</f>
        <v>10.7623352385396</v>
      </c>
      <c r="AL167" s="40" t="n">
        <f aca="false">E167/I167</f>
        <v>1.74680919962928</v>
      </c>
      <c r="AM167" s="41" t="n">
        <f aca="false">E167/(I167-J167)</f>
        <v>3.76550966044034</v>
      </c>
      <c r="AN167" s="42" t="n">
        <f aca="false">AJ167/$V167</f>
        <v>0.428328733802414</v>
      </c>
      <c r="AO167" s="42" t="n">
        <f aca="false">AK167/$V167</f>
        <v>0.315960487865716</v>
      </c>
      <c r="AP167" s="42" t="n">
        <f aca="false">AL167/$V167</f>
        <v>0.0512828001256426</v>
      </c>
      <c r="AQ167" s="42" t="n">
        <f aca="false">AM167/$V167</f>
        <v>0.110547780105876</v>
      </c>
      <c r="AR167" s="43" t="n">
        <v>234</v>
      </c>
    </row>
    <row r="168" customFormat="false" ht="18.75" hidden="false" customHeight="true" outlineLevel="0" collapsed="false">
      <c r="A168" s="18" t="n">
        <v>2024</v>
      </c>
      <c r="B168" s="18" t="n">
        <v>10</v>
      </c>
      <c r="C168" s="24" t="n">
        <v>1428703.66</v>
      </c>
      <c r="D168" s="24" t="n">
        <v>218311.49</v>
      </c>
      <c r="E168" s="25" t="n">
        <v>662650.63</v>
      </c>
      <c r="F168" s="26" t="n">
        <v>99131.68</v>
      </c>
      <c r="G168" s="26" t="n">
        <v>16077</v>
      </c>
      <c r="H168" s="26" t="n">
        <v>14079</v>
      </c>
      <c r="I168" s="27" t="n">
        <v>296966</v>
      </c>
      <c r="J168" s="27" t="n">
        <v>119368</v>
      </c>
      <c r="K168" s="29" t="n">
        <v>204338.4</v>
      </c>
      <c r="L168" s="29" t="n">
        <v>26311</v>
      </c>
      <c r="M168" s="30" t="n">
        <f aca="false">L168/N168</f>
        <v>0.11407356793471</v>
      </c>
      <c r="N168" s="28" t="n">
        <f aca="false">K168+L168</f>
        <v>230649.4</v>
      </c>
      <c r="O168" s="31" t="n">
        <v>207395</v>
      </c>
      <c r="P168" s="24" t="n">
        <v>6061924</v>
      </c>
      <c r="Q168" s="32" t="n">
        <v>176</v>
      </c>
      <c r="R168" s="32" t="n">
        <f aca="false">O168/Q168</f>
        <v>1178.38068181818</v>
      </c>
      <c r="S168" s="33" t="n">
        <v>23</v>
      </c>
      <c r="T168" s="29" t="n">
        <f aca="false">N168/S168</f>
        <v>10028.2347826087</v>
      </c>
      <c r="U168" s="29" t="n">
        <v>32317</v>
      </c>
      <c r="V168" s="34" t="n">
        <f aca="false">'$'!C155</f>
        <v>34.2626</v>
      </c>
      <c r="W168" s="35" t="n">
        <f aca="false">SUM(C168:E168)/V168</f>
        <v>67410.6979622095</v>
      </c>
      <c r="X168" s="35" t="n">
        <f aca="false">C168/$V168</f>
        <v>41698.6352465954</v>
      </c>
      <c r="Y168" s="35" t="n">
        <f aca="false">D168/$V168</f>
        <v>6371.71405555912</v>
      </c>
      <c r="Z168" s="35" t="n">
        <f aca="false">E168/$V168</f>
        <v>19340.348660055</v>
      </c>
      <c r="AA168" s="36" t="n">
        <f aca="false">C168/((N168+U168)*V168)</f>
        <v>0.158570202301874</v>
      </c>
      <c r="AB168" s="36" t="n">
        <f aca="false">D168/((N168+U168)*V168)</f>
        <v>0.0242301452031861</v>
      </c>
      <c r="AC168" s="36" t="n">
        <f aca="false">E168/((N168+U168)*V168)</f>
        <v>0.073546843475269</v>
      </c>
      <c r="AD168" s="36" t="n">
        <f aca="false">(C168+D168+E168)/((N168+U168)*V168)</f>
        <v>0.256347190980329</v>
      </c>
      <c r="AE168" s="36" t="n">
        <f aca="false">(C168+D168+E168)/((K168+U168)*V168)</f>
        <v>0.284847495397145</v>
      </c>
      <c r="AF168" s="37" t="n">
        <f aca="false">(P168/V168)/K168</f>
        <v>0.865845058342928</v>
      </c>
      <c r="AG168" s="38" t="n">
        <f aca="false">F168/($N168+$U168)</f>
        <v>0.376974700950388</v>
      </c>
      <c r="AH168" s="38" t="n">
        <f aca="false">G168/($N168+$U168)</f>
        <v>0.0611370882363678</v>
      </c>
      <c r="AI168" s="39" t="n">
        <f aca="false">I168/($N168+$U168)</f>
        <v>1.12929256361269</v>
      </c>
      <c r="AJ168" s="40" t="n">
        <f aca="false">C168/F168</f>
        <v>14.4121804452421</v>
      </c>
      <c r="AK168" s="40" t="n">
        <f aca="false">D168/G168</f>
        <v>13.5791186166573</v>
      </c>
      <c r="AL168" s="40" t="n">
        <f aca="false">E168/I168</f>
        <v>2.23140234909047</v>
      </c>
      <c r="AM168" s="41" t="n">
        <f aca="false">E168/(I168-J168)</f>
        <v>3.73118295251073</v>
      </c>
      <c r="AN168" s="42" t="n">
        <f aca="false">AJ168/$V168</f>
        <v>0.420638843673338</v>
      </c>
      <c r="AO168" s="42" t="n">
        <f aca="false">AK168/$V168</f>
        <v>0.39632481529882</v>
      </c>
      <c r="AP168" s="42" t="n">
        <f aca="false">AL168/$V168</f>
        <v>0.0651264746134406</v>
      </c>
      <c r="AQ168" s="42" t="n">
        <f aca="false">AM168/$V168</f>
        <v>0.10889958591907</v>
      </c>
      <c r="AR168" s="43" t="n">
        <v>98</v>
      </c>
    </row>
    <row r="169" customFormat="false" ht="18.75" hidden="false" customHeight="true" outlineLevel="0" collapsed="false">
      <c r="A169" s="18" t="n">
        <v>2024</v>
      </c>
      <c r="B169" s="18" t="n">
        <v>11</v>
      </c>
      <c r="C169" s="24" t="n">
        <v>1289424.18</v>
      </c>
      <c r="D169" s="24" t="n">
        <v>226541</v>
      </c>
      <c r="E169" s="25" t="n">
        <v>782125</v>
      </c>
      <c r="F169" s="26" t="n">
        <v>89545.86</v>
      </c>
      <c r="G169" s="26" t="n">
        <v>17312</v>
      </c>
      <c r="H169" s="26" t="n">
        <v>14137</v>
      </c>
      <c r="I169" s="27" t="n">
        <v>279079</v>
      </c>
      <c r="J169" s="27" t="n">
        <v>72757</v>
      </c>
      <c r="K169" s="29" t="n">
        <v>199229</v>
      </c>
      <c r="L169" s="29" t="n">
        <v>19079</v>
      </c>
      <c r="M169" s="30" t="n">
        <f aca="false">L169/N169</f>
        <v>0.0873948732982758</v>
      </c>
      <c r="N169" s="28" t="n">
        <f aca="false">K169+L169</f>
        <v>218308</v>
      </c>
      <c r="O169" s="31" t="n">
        <v>214066</v>
      </c>
      <c r="P169" s="24" t="n">
        <v>5759213</v>
      </c>
      <c r="Q169" s="32" t="n">
        <v>188</v>
      </c>
      <c r="R169" s="32" t="n">
        <f aca="false">O169/Q169</f>
        <v>1138.64893617021</v>
      </c>
      <c r="S169" s="33" t="n">
        <v>22</v>
      </c>
      <c r="T169" s="29" t="n">
        <f aca="false">N169/S169</f>
        <v>9923.09090909091</v>
      </c>
      <c r="U169" s="29" t="n">
        <v>26658</v>
      </c>
      <c r="V169" s="34" t="n">
        <f aca="false">'$'!C156</f>
        <v>34.46339</v>
      </c>
      <c r="W169" s="35" t="n">
        <f aca="false">SUM(C169:E169)/V169</f>
        <v>66682.0698718263</v>
      </c>
      <c r="X169" s="35" t="n">
        <f aca="false">C169/$V169</f>
        <v>37414.3164674166</v>
      </c>
      <c r="Y169" s="35" t="n">
        <f aca="false">D169/$V169</f>
        <v>6573.38120248763</v>
      </c>
      <c r="Z169" s="35" t="n">
        <f aca="false">E169/$V169</f>
        <v>22694.3722019221</v>
      </c>
      <c r="AA169" s="36" t="n">
        <f aca="false">C169/((N169+U169)*V169)</f>
        <v>0.15273269134254</v>
      </c>
      <c r="AB169" s="36" t="n">
        <f aca="false">D169/((N169+U169)*V169)</f>
        <v>0.0268338512384887</v>
      </c>
      <c r="AC169" s="36" t="n">
        <f aca="false">E169/((N169+U169)*V169)</f>
        <v>0.0926429471923536</v>
      </c>
      <c r="AD169" s="36" t="n">
        <f aca="false">(C169+D169+E169)/((N169+U169)*V169)</f>
        <v>0.272209489773382</v>
      </c>
      <c r="AE169" s="36" t="n">
        <f aca="false">(C169+D169+E169)/((K169+U169)*V169)</f>
        <v>0.295201007016014</v>
      </c>
      <c r="AF169" s="37" t="n">
        <f aca="false">(P169/V169)/K169</f>
        <v>0.838788738592057</v>
      </c>
      <c r="AG169" s="38" t="n">
        <f aca="false">F169/($N169+$U169)</f>
        <v>0.365544034682364</v>
      </c>
      <c r="AH169" s="38" t="n">
        <f aca="false">G169/($N169+$U169)</f>
        <v>0.0706710318983043</v>
      </c>
      <c r="AI169" s="39" t="n">
        <f aca="false">I169/($N169+$U169)</f>
        <v>1.13925606002466</v>
      </c>
      <c r="AJ169" s="40" t="n">
        <f aca="false">C169/F169</f>
        <v>14.3995956932012</v>
      </c>
      <c r="AK169" s="40" t="n">
        <f aca="false">D169/G169</f>
        <v>13.085778650647</v>
      </c>
      <c r="AL169" s="40" t="n">
        <f aca="false">E169/I169</f>
        <v>2.80252186656825</v>
      </c>
      <c r="AM169" s="41" t="n">
        <f aca="false">E169/(I169-J169)</f>
        <v>3.79079787904344</v>
      </c>
      <c r="AN169" s="42" t="n">
        <f aca="false">AJ169/$V169</f>
        <v>0.417822962082408</v>
      </c>
      <c r="AO169" s="42" t="n">
        <f aca="false">AK169/$V169</f>
        <v>0.37970085504203</v>
      </c>
      <c r="AP169" s="42" t="n">
        <f aca="false">AL169/$V169</f>
        <v>0.0813188100929203</v>
      </c>
      <c r="AQ169" s="42" t="n">
        <f aca="false">AM169/$V169</f>
        <v>0.109994921539739</v>
      </c>
      <c r="AR169" s="43" t="n">
        <v>248</v>
      </c>
    </row>
    <row r="170" customFormat="false" ht="18.75" hidden="false" customHeight="true" outlineLevel="0" collapsed="false">
      <c r="A170" s="18" t="n">
        <v>2024</v>
      </c>
      <c r="B170" s="18" t="n">
        <v>12</v>
      </c>
      <c r="C170" s="24" t="n">
        <v>1505662</v>
      </c>
      <c r="D170" s="24" t="n">
        <v>203886</v>
      </c>
      <c r="E170" s="25" t="n">
        <v>806579</v>
      </c>
      <c r="F170" s="26" t="n">
        <v>104524</v>
      </c>
      <c r="G170" s="26" t="n">
        <v>15625</v>
      </c>
      <c r="H170" s="26" t="n">
        <v>13452</v>
      </c>
      <c r="I170" s="27" t="n">
        <v>283243</v>
      </c>
      <c r="J170" s="27" t="n">
        <v>55664</v>
      </c>
      <c r="K170" s="29" t="n">
        <v>228907</v>
      </c>
      <c r="L170" s="29" t="n">
        <v>15839</v>
      </c>
      <c r="M170" s="30" t="n">
        <f aca="false">L170/N170</f>
        <v>0.0647160729899569</v>
      </c>
      <c r="N170" s="28" t="n">
        <f aca="false">K170+L170</f>
        <v>244746</v>
      </c>
      <c r="O170" s="31" t="n">
        <v>234791</v>
      </c>
      <c r="P170" s="24" t="n">
        <v>5789626</v>
      </c>
      <c r="Q170" s="32" t="n">
        <v>187</v>
      </c>
      <c r="R170" s="32" t="n">
        <f aca="false">O170/Q170</f>
        <v>1255.56684491979</v>
      </c>
      <c r="S170" s="33" t="n">
        <v>26</v>
      </c>
      <c r="T170" s="29" t="n">
        <f aca="false">N170/S170</f>
        <v>9413.30769230769</v>
      </c>
      <c r="U170" s="29" t="n">
        <v>14038</v>
      </c>
      <c r="V170" s="34" t="n">
        <f aca="false">'$'!C157</f>
        <v>34.9875</v>
      </c>
      <c r="W170" s="35" t="n">
        <f aca="false">SUM(C170:E170)/V170</f>
        <v>71915.026795284</v>
      </c>
      <c r="X170" s="35" t="n">
        <f aca="false">C170/$V170</f>
        <v>43034.2836727403</v>
      </c>
      <c r="Y170" s="35" t="n">
        <f aca="false">D170/$V170</f>
        <v>5827.39549839228</v>
      </c>
      <c r="Z170" s="35" t="n">
        <f aca="false">E170/$V170</f>
        <v>23053.3476241515</v>
      </c>
      <c r="AA170" s="36" t="n">
        <f aca="false">C170/((N170+U170)*V170)</f>
        <v>0.166294220943877</v>
      </c>
      <c r="AB170" s="36" t="n">
        <f aca="false">D170/((N170+U170)*V170)</f>
        <v>0.0225183763230813</v>
      </c>
      <c r="AC170" s="36" t="n">
        <f aca="false">E170/((N170+U170)*V170)</f>
        <v>0.0890833576424798</v>
      </c>
      <c r="AD170" s="36" t="n">
        <f aca="false">(C170+D170+E170)/((N170+U170)*V170)</f>
        <v>0.277895954909438</v>
      </c>
      <c r="AE170" s="36" t="n">
        <f aca="false">(C170+D170+E170)/((K170+U170)*V170)</f>
        <v>0.29601361129179</v>
      </c>
      <c r="AF170" s="37" t="n">
        <f aca="false">(P170/V170)/K170</f>
        <v>0.722900499492678</v>
      </c>
      <c r="AG170" s="38" t="n">
        <f aca="false">F170/($N170+$U170)</f>
        <v>0.403904414492395</v>
      </c>
      <c r="AH170" s="38" t="n">
        <f aca="false">G170/($N170+$U170)</f>
        <v>0.0603785396315074</v>
      </c>
      <c r="AI170" s="39" t="n">
        <f aca="false">I170/($N170+$U170)</f>
        <v>1.09451511685421</v>
      </c>
      <c r="AJ170" s="40" t="n">
        <f aca="false">C170/F170</f>
        <v>14.4049404921358</v>
      </c>
      <c r="AK170" s="40" t="n">
        <f aca="false">D170/G170</f>
        <v>13.048704</v>
      </c>
      <c r="AL170" s="40" t="n">
        <f aca="false">E170/I170</f>
        <v>2.84765731191945</v>
      </c>
      <c r="AM170" s="41" t="n">
        <f aca="false">E170/(I170-J170)</f>
        <v>3.54417147452094</v>
      </c>
      <c r="AN170" s="42" t="n">
        <f aca="false">AJ170/$V170</f>
        <v>0.411716770050326</v>
      </c>
      <c r="AO170" s="42" t="n">
        <f aca="false">AK170/$V170</f>
        <v>0.372953311897106</v>
      </c>
      <c r="AP170" s="42" t="n">
        <f aca="false">AL170/$V170</f>
        <v>0.081390705592553</v>
      </c>
      <c r="AQ170" s="42" t="n">
        <f aca="false">AM170/$V170</f>
        <v>0.101298220064907</v>
      </c>
      <c r="AR170" s="43" t="n">
        <v>243</v>
      </c>
    </row>
    <row r="171" customFormat="false" ht="18.75" hidden="false" customHeight="true" outlineLevel="0" collapsed="false">
      <c r="A171" s="58" t="n">
        <v>2025</v>
      </c>
      <c r="B171" s="58" t="n">
        <v>1</v>
      </c>
      <c r="C171" s="59" t="n">
        <v>1694903</v>
      </c>
      <c r="D171" s="59" t="n">
        <v>345528</v>
      </c>
      <c r="E171" s="60" t="n">
        <v>854296</v>
      </c>
      <c r="F171" s="61" t="n">
        <v>117626</v>
      </c>
      <c r="G171" s="61" t="n">
        <v>15834</v>
      </c>
      <c r="H171" s="61" t="n">
        <v>13206</v>
      </c>
      <c r="I171" s="62" t="n">
        <v>310780</v>
      </c>
      <c r="J171" s="62" t="n">
        <v>79289</v>
      </c>
      <c r="K171" s="63" t="n">
        <v>242210</v>
      </c>
      <c r="L171" s="63" t="n">
        <v>22651</v>
      </c>
      <c r="M171" s="64" t="n">
        <f aca="false">L171/N171</f>
        <v>0.0855203295313391</v>
      </c>
      <c r="N171" s="65" t="n">
        <f aca="false">K171+L171</f>
        <v>264861</v>
      </c>
      <c r="O171" s="66" t="n">
        <v>266273</v>
      </c>
      <c r="P171" s="59" t="n">
        <v>8490230</v>
      </c>
      <c r="Q171" s="67" t="n">
        <v>194</v>
      </c>
      <c r="R171" s="67" t="n">
        <f aca="false">O171/Q171</f>
        <v>1372.5412371134</v>
      </c>
      <c r="S171" s="68" t="n">
        <v>26</v>
      </c>
      <c r="T171" s="63" t="n">
        <f aca="false">N171/S171</f>
        <v>10186.9615384615</v>
      </c>
      <c r="U171" s="63" t="n">
        <v>19762</v>
      </c>
      <c r="V171" s="69" t="n">
        <f aca="false">'$'!C158</f>
        <v>35.5237</v>
      </c>
      <c r="W171" s="70" t="n">
        <f aca="false">SUM(C171:E171)/V171</f>
        <v>81487.2043171179</v>
      </c>
      <c r="X171" s="70" t="n">
        <f aca="false">C171/$V171</f>
        <v>47711.8937498065</v>
      </c>
      <c r="Y171" s="70" t="n">
        <f aca="false">D171/$V171</f>
        <v>9726.68950587917</v>
      </c>
      <c r="Z171" s="70" t="n">
        <f aca="false">E171/$V171</f>
        <v>24048.6210614322</v>
      </c>
      <c r="AA171" s="71" t="n">
        <f aca="false">C171/((N171+U171)*V171)</f>
        <v>0.167631898159342</v>
      </c>
      <c r="AB171" s="71" t="n">
        <f aca="false">D171/((N171+U171)*V171)</f>
        <v>0.0341739406368395</v>
      </c>
      <c r="AC171" s="71" t="n">
        <f aca="false">E171/((N171+U171)*V171)</f>
        <v>0.0844928943248867</v>
      </c>
      <c r="AD171" s="71" t="n">
        <f aca="false">(C171+D171+E171)/((N171+U171)*V171)</f>
        <v>0.286298733121068</v>
      </c>
      <c r="AE171" s="71" t="n">
        <f aca="false">(C171+D171+E171)/((K171+U171)*V171)</f>
        <v>0.311053106122478</v>
      </c>
      <c r="AF171" s="72" t="n">
        <f aca="false">(P171/V171)/K171</f>
        <v>0.986754673504434</v>
      </c>
      <c r="AG171" s="73" t="n">
        <f aca="false">F171/($N171+$U171)</f>
        <v>0.413269482789515</v>
      </c>
      <c r="AH171" s="73" t="n">
        <f aca="false">G171/($N171+$U171)</f>
        <v>0.0556314844548754</v>
      </c>
      <c r="AI171" s="74" t="n">
        <f aca="false">I171/($N171+$U171)</f>
        <v>1.09190051401327</v>
      </c>
      <c r="AJ171" s="44" t="n">
        <f aca="false">C171/F171</f>
        <v>14.4092547566014</v>
      </c>
      <c r="AK171" s="44" t="n">
        <f aca="false">D171/G171</f>
        <v>21.8219022356953</v>
      </c>
      <c r="AL171" s="44" t="n">
        <f aca="false">E171/I171</f>
        <v>2.7488770191132</v>
      </c>
      <c r="AM171" s="45" t="n">
        <f aca="false">E171/(I171-J171)</f>
        <v>3.69040697046537</v>
      </c>
      <c r="AN171" s="75" t="n">
        <f aca="false">AJ171/$V171</f>
        <v>0.405623703516284</v>
      </c>
      <c r="AO171" s="75" t="n">
        <f aca="false">AK171/$V171</f>
        <v>0.614291367050598</v>
      </c>
      <c r="AP171" s="75" t="n">
        <f aca="false">AL171/$V171</f>
        <v>0.077381495145866</v>
      </c>
      <c r="AQ171" s="75" t="n">
        <f aca="false">AM171/$V171</f>
        <v>0.103885771202475</v>
      </c>
      <c r="AR171" s="76" t="n">
        <v>285</v>
      </c>
    </row>
    <row r="172" customFormat="false" ht="18.75" hidden="false" customHeight="true" outlineLevel="0" collapsed="false">
      <c r="A172" s="18" t="n">
        <v>2025</v>
      </c>
      <c r="B172" s="18" t="n">
        <v>2</v>
      </c>
      <c r="C172" s="24" t="n">
        <v>1403902</v>
      </c>
      <c r="D172" s="24" t="n">
        <v>310888</v>
      </c>
      <c r="E172" s="25" t="n">
        <v>677827</v>
      </c>
      <c r="F172" s="26" t="n">
        <v>97417</v>
      </c>
      <c r="G172" s="26" t="n">
        <v>14425</v>
      </c>
      <c r="H172" s="26" t="n">
        <v>10871</v>
      </c>
      <c r="I172" s="27" t="n">
        <v>272516</v>
      </c>
      <c r="J172" s="27" t="n">
        <v>87825</v>
      </c>
      <c r="K172" s="29" t="n">
        <v>206303</v>
      </c>
      <c r="L172" s="29" t="n">
        <v>16635</v>
      </c>
      <c r="M172" s="30" t="n">
        <f aca="false">L172/N172</f>
        <v>0.0746171581336515</v>
      </c>
      <c r="N172" s="28" t="n">
        <f aca="false">K172+L172</f>
        <v>222938</v>
      </c>
      <c r="O172" s="31" t="n">
        <v>208647</v>
      </c>
      <c r="P172" s="24" t="n">
        <v>6833564</v>
      </c>
      <c r="Q172" s="32" t="n">
        <v>190</v>
      </c>
      <c r="R172" s="32" t="n">
        <f aca="false">O172/Q172</f>
        <v>1098.14210526316</v>
      </c>
      <c r="S172" s="33" t="n">
        <v>24</v>
      </c>
      <c r="T172" s="29" t="n">
        <f aca="false">N172/S172</f>
        <v>9289.08333333333</v>
      </c>
      <c r="U172" s="29" t="n">
        <v>16423</v>
      </c>
      <c r="V172" s="34" t="n">
        <f aca="false">'$'!C159</f>
        <v>36.169082</v>
      </c>
      <c r="W172" s="35" t="n">
        <f aca="false">SUM(C172:E172)/V172</f>
        <v>66150.8909736775</v>
      </c>
      <c r="X172" s="35" t="n">
        <f aca="false">C172/$V172</f>
        <v>38814.9746239067</v>
      </c>
      <c r="Y172" s="35" t="n">
        <f aca="false">D172/$V172</f>
        <v>8595.40753619348</v>
      </c>
      <c r="Z172" s="35" t="n">
        <f aca="false">E172/$V172</f>
        <v>18740.5088135773</v>
      </c>
      <c r="AA172" s="36" t="n">
        <f aca="false">C172/((N172+U172)*V172)</f>
        <v>0.162160814100487</v>
      </c>
      <c r="AB172" s="36" t="n">
        <f aca="false">D172/((N172+U172)*V172)</f>
        <v>0.0359098079310894</v>
      </c>
      <c r="AC172" s="36" t="n">
        <f aca="false">E172/((N172+U172)*V172)</f>
        <v>0.0782939109277505</v>
      </c>
      <c r="AD172" s="36" t="n">
        <f aca="false">(C172+D172+E172)/((N172+U172)*V172)</f>
        <v>0.276364532959327</v>
      </c>
      <c r="AE172" s="36" t="n">
        <f aca="false">(C172+D172+E172)/((K172+U172)*V172)</f>
        <v>0.297005697465395</v>
      </c>
      <c r="AF172" s="37" t="n">
        <f aca="false">(P172/V172)/K172</f>
        <v>0.915807585925213</v>
      </c>
      <c r="AG172" s="38" t="n">
        <f aca="false">F172/($N172+$U172)</f>
        <v>0.406987771608575</v>
      </c>
      <c r="AH172" s="38" t="n">
        <f aca="false">G172/($N172+$U172)</f>
        <v>0.0602646212206667</v>
      </c>
      <c r="AI172" s="39" t="n">
        <f aca="false">I172/($N172+$U172)</f>
        <v>1.1385146285318</v>
      </c>
      <c r="AJ172" s="40" t="n">
        <f aca="false">C172/F172</f>
        <v>14.411262921256</v>
      </c>
      <c r="AK172" s="40" t="n">
        <f aca="false">D172/G172</f>
        <v>21.552027729636</v>
      </c>
      <c r="AL172" s="40" t="n">
        <f aca="false">E172/I172</f>
        <v>2.48729248924834</v>
      </c>
      <c r="AM172" s="41" t="n">
        <f aca="false">E172/(I172-J172)</f>
        <v>3.67005972137245</v>
      </c>
      <c r="AN172" s="42" t="n">
        <f aca="false">AJ172/$V172</f>
        <v>0.398441489923798</v>
      </c>
      <c r="AO172" s="42" t="n">
        <f aca="false">AK172/$V172</f>
        <v>0.595868806668525</v>
      </c>
      <c r="AP172" s="42" t="n">
        <f aca="false">AL172/$V172</f>
        <v>0.0687684716258029</v>
      </c>
      <c r="AQ172" s="42" t="n">
        <f aca="false">AM172/$V172</f>
        <v>0.101469529178884</v>
      </c>
      <c r="AR172" s="43" t="n">
        <v>220</v>
      </c>
    </row>
    <row r="173" customFormat="false" ht="18.75" hidden="false" customHeight="true" outlineLevel="0" collapsed="false">
      <c r="A173" s="18" t="n">
        <v>2025</v>
      </c>
      <c r="B173" s="18" t="n">
        <v>3</v>
      </c>
      <c r="C173" s="24" t="n">
        <v>1471609</v>
      </c>
      <c r="D173" s="24" t="n">
        <v>384039</v>
      </c>
      <c r="E173" s="25" t="n">
        <v>616802</v>
      </c>
      <c r="F173" s="26" t="n">
        <v>102045</v>
      </c>
      <c r="G173" s="26" t="n">
        <v>15827</v>
      </c>
      <c r="H173" s="26" t="n">
        <v>14357</v>
      </c>
      <c r="I173" s="27" t="n">
        <v>287590</v>
      </c>
      <c r="J173" s="27" t="n">
        <v>128176</v>
      </c>
      <c r="K173" s="29" t="n">
        <v>224082</v>
      </c>
      <c r="L173" s="29" t="n">
        <v>23820</v>
      </c>
      <c r="M173" s="30" t="n">
        <f aca="false">L173/N173</f>
        <v>0.0960863567054723</v>
      </c>
      <c r="N173" s="28" t="n">
        <f aca="false">K173+L173</f>
        <v>247902</v>
      </c>
      <c r="O173" s="31" t="n">
        <v>255765</v>
      </c>
      <c r="P173" s="24" t="n">
        <v>6871130</v>
      </c>
      <c r="Q173" s="32" t="n">
        <v>189</v>
      </c>
      <c r="R173" s="32" t="n">
        <f aca="false">O173/Q173</f>
        <v>1353.25396825397</v>
      </c>
      <c r="S173" s="33" t="n">
        <v>24</v>
      </c>
      <c r="T173" s="29" t="n">
        <f aca="false">N173/S173</f>
        <v>10329.25</v>
      </c>
      <c r="U173" s="29" t="n">
        <v>20780</v>
      </c>
      <c r="V173" s="34" t="n">
        <f aca="false">'$'!C160</f>
        <v>37.092994</v>
      </c>
      <c r="W173" s="35" t="n">
        <f aca="false">SUM(C173:E173)/V173</f>
        <v>66655.4444216609</v>
      </c>
      <c r="X173" s="35" t="n">
        <f aca="false">C173/$V173</f>
        <v>39673.5027644304</v>
      </c>
      <c r="Y173" s="35" t="n">
        <f aca="false">D173/$V173</f>
        <v>10353.4106737245</v>
      </c>
      <c r="Z173" s="35" t="n">
        <f aca="false">E173/$V173</f>
        <v>16628.5309835059</v>
      </c>
      <c r="AA173" s="36" t="n">
        <f aca="false">C173/((N173+U173)*V173)</f>
        <v>0.147659697204987</v>
      </c>
      <c r="AB173" s="36" t="n">
        <f aca="false">D173/((N173+U173)*V173)</f>
        <v>0.0385340688014997</v>
      </c>
      <c r="AC173" s="36" t="n">
        <f aca="false">E173/((N173+U173)*V173)</f>
        <v>0.061889263082402</v>
      </c>
      <c r="AD173" s="36" t="n">
        <f aca="false">(C173+D173+E173)/((N173+U173)*V173)</f>
        <v>0.248083029088889</v>
      </c>
      <c r="AE173" s="36" t="n">
        <f aca="false">(C173+D173+E173)/((K173+U173)*V173)</f>
        <v>0.272216368491889</v>
      </c>
      <c r="AF173" s="37" t="n">
        <f aca="false">(P173/V173)/K173</f>
        <v>0.826664530840624</v>
      </c>
      <c r="AG173" s="38" t="n">
        <f aca="false">F173/($N173+$U173)</f>
        <v>0.379798423415041</v>
      </c>
      <c r="AH173" s="38" t="n">
        <f aca="false">G173/($N173+$U173)</f>
        <v>0.0589060673956573</v>
      </c>
      <c r="AI173" s="39" t="n">
        <f aca="false">I173/($N173+$U173)</f>
        <v>1.07037315488198</v>
      </c>
      <c r="AJ173" s="40" t="n">
        <f aca="false">C173/F173</f>
        <v>14.4211769317458</v>
      </c>
      <c r="AK173" s="40" t="n">
        <f aca="false">D173/G173</f>
        <v>24.2648006571049</v>
      </c>
      <c r="AL173" s="40" t="n">
        <f aca="false">E173/I173</f>
        <v>2.14472686811085</v>
      </c>
      <c r="AM173" s="41" t="n">
        <f aca="false">E173/(I173-J173)</f>
        <v>3.86918338414443</v>
      </c>
      <c r="AN173" s="42" t="n">
        <f aca="false">AJ173/$V173</f>
        <v>0.388784386931554</v>
      </c>
      <c r="AO173" s="42" t="n">
        <f aca="false">AK173/$V173</f>
        <v>0.654161286012797</v>
      </c>
      <c r="AP173" s="42" t="n">
        <f aca="false">AL173/$V173</f>
        <v>0.0578202683803538</v>
      </c>
      <c r="AQ173" s="42" t="n">
        <f aca="false">AM173/$V173</f>
        <v>0.104310355323284</v>
      </c>
      <c r="AR173" s="43" t="n">
        <v>254</v>
      </c>
    </row>
    <row r="174" customFormat="false" ht="18.75" hidden="false" customHeight="true" outlineLevel="0" collapsed="false">
      <c r="A174" s="18" t="n">
        <v>2025</v>
      </c>
      <c r="B174" s="18" t="n">
        <v>4</v>
      </c>
      <c r="C174" s="24" t="n">
        <v>1814630.6</v>
      </c>
      <c r="D174" s="24" t="n">
        <v>398685</v>
      </c>
      <c r="E174" s="25" t="n">
        <v>660274</v>
      </c>
      <c r="F174" s="26" t="n">
        <v>106474</v>
      </c>
      <c r="G174" s="26" t="n">
        <v>16605</v>
      </c>
      <c r="H174" s="26" t="n">
        <v>14909</v>
      </c>
      <c r="I174" s="27" t="n">
        <v>300332</v>
      </c>
      <c r="J174" s="27" t="n">
        <v>145675</v>
      </c>
      <c r="K174" s="29" t="n">
        <v>233209</v>
      </c>
      <c r="L174" s="29" t="n">
        <v>27200</v>
      </c>
      <c r="M174" s="30" t="n">
        <f aca="false">L174/N174</f>
        <v>0.104451075039649</v>
      </c>
      <c r="N174" s="28" t="n">
        <f aca="false">K174+L174</f>
        <v>260409</v>
      </c>
      <c r="O174" s="31" t="n">
        <v>226261</v>
      </c>
      <c r="P174" s="24" t="n">
        <v>7970159</v>
      </c>
      <c r="Q174" s="32" t="n">
        <v>180</v>
      </c>
      <c r="R174" s="32" t="n">
        <f aca="false">O174/Q174</f>
        <v>1257.00555555556</v>
      </c>
      <c r="S174" s="33" t="n">
        <v>24</v>
      </c>
      <c r="T174" s="29" t="n">
        <f aca="false">N174/S174</f>
        <v>10850.375</v>
      </c>
      <c r="U174" s="29" t="n">
        <v>27396</v>
      </c>
      <c r="V174" s="34" t="n">
        <f aca="false">'$'!C161</f>
        <v>38.131488</v>
      </c>
      <c r="W174" s="35" t="n">
        <f aca="false">SUM(C174:E174)/V174</f>
        <v>75360.0174218221</v>
      </c>
      <c r="X174" s="35" t="n">
        <f aca="false">C174/$V174</f>
        <v>47588.769680323</v>
      </c>
      <c r="Y174" s="35" t="n">
        <f aca="false">D174/$V174</f>
        <v>10455.5321837952</v>
      </c>
      <c r="Z174" s="35" t="n">
        <f aca="false">E174/$V174</f>
        <v>17315.7155577039</v>
      </c>
      <c r="AA174" s="77" t="n">
        <f aca="false">C174/((N174+U174)*V174)</f>
        <v>0.165350739842334</v>
      </c>
      <c r="AB174" s="36" t="n">
        <f aca="false">D174/((N174+U174)*V174)</f>
        <v>0.0363285286349966</v>
      </c>
      <c r="AC174" s="36" t="n">
        <f aca="false">E174/((N174+U174)*V174)</f>
        <v>0.0601647489018742</v>
      </c>
      <c r="AD174" s="36" t="n">
        <f aca="false">(C174+D174+E174)/((N174+U174)*V174)</f>
        <v>0.261844017379205</v>
      </c>
      <c r="AE174" s="36" t="n">
        <f aca="false">(C174+D174+E174)/((K174+U174)*V174)</f>
        <v>0.289173336742665</v>
      </c>
      <c r="AF174" s="37" t="n">
        <f aca="false">(P174/V174)/K174</f>
        <v>0.896268071946241</v>
      </c>
      <c r="AG174" s="38" t="n">
        <f aca="false">F174/($N174+$U174)</f>
        <v>0.369951877139035</v>
      </c>
      <c r="AH174" s="38" t="n">
        <f aca="false">G174/($N174+$U174)</f>
        <v>0.0576953145358837</v>
      </c>
      <c r="AI174" s="39" t="n">
        <f aca="false">I174/($N174+$U174)</f>
        <v>1.04352599850593</v>
      </c>
      <c r="AJ174" s="40" t="n">
        <f aca="false">C174/F174</f>
        <v>17.0429456956628</v>
      </c>
      <c r="AK174" s="40" t="n">
        <f aca="false">D174/G174</f>
        <v>24.0099367660343</v>
      </c>
      <c r="AL174" s="40" t="n">
        <f aca="false">E174/I174</f>
        <v>2.19848034841442</v>
      </c>
      <c r="AM174" s="41" t="n">
        <f aca="false">E174/(I174-J174)</f>
        <v>4.26927976101955</v>
      </c>
      <c r="AN174" s="42" t="n">
        <f aca="false">AJ174/$V174</f>
        <v>0.446952022844291</v>
      </c>
      <c r="AO174" s="42" t="n">
        <f aca="false">AK174/$V174</f>
        <v>0.629661679240903</v>
      </c>
      <c r="AP174" s="42" t="n">
        <f aca="false">AL174/$V174</f>
        <v>0.0576552467193103</v>
      </c>
      <c r="AQ174" s="42" t="n">
        <f aca="false">AM174/$V174</f>
        <v>0.111962055113599</v>
      </c>
      <c r="AR174" s="43" t="n">
        <v>201</v>
      </c>
    </row>
    <row r="175" customFormat="false" ht="18.75" hidden="false" customHeight="true" outlineLevel="0" collapsed="false">
      <c r="A175" s="18" t="n">
        <v>2025</v>
      </c>
      <c r="B175" s="18" t="n">
        <v>5</v>
      </c>
      <c r="C175" s="24" t="n">
        <v>1755721</v>
      </c>
      <c r="D175" s="24" t="n">
        <v>412824</v>
      </c>
      <c r="E175" s="25" t="n">
        <v>527549</v>
      </c>
      <c r="F175" s="26" t="n">
        <v>100036</v>
      </c>
      <c r="G175" s="26" t="n">
        <v>17737</v>
      </c>
      <c r="H175" s="26" t="n">
        <v>15823</v>
      </c>
      <c r="I175" s="27" t="n">
        <v>293856</v>
      </c>
      <c r="J175" s="27" t="n">
        <v>177525</v>
      </c>
      <c r="K175" s="29" t="n">
        <v>205356</v>
      </c>
      <c r="L175" s="29" t="n">
        <v>29876</v>
      </c>
      <c r="M175" s="30" t="n">
        <f aca="false">L175/N175</f>
        <v>0.127006529723847</v>
      </c>
      <c r="N175" s="28" t="n">
        <f aca="false">K175+L175</f>
        <v>235232</v>
      </c>
      <c r="O175" s="31" t="n">
        <v>239165</v>
      </c>
      <c r="P175" s="24" t="n">
        <v>8101046</v>
      </c>
      <c r="Q175" s="32" t="n">
        <v>178</v>
      </c>
      <c r="R175" s="32" t="n">
        <f aca="false">O175/Q175</f>
        <v>1343.62359550562</v>
      </c>
      <c r="S175" s="33" t="n">
        <v>24</v>
      </c>
      <c r="T175" s="29" t="n">
        <f aca="false">N175/S175</f>
        <v>9801.33333333333</v>
      </c>
      <c r="U175" s="29" t="n">
        <v>28105</v>
      </c>
      <c r="V175" s="34" t="n">
        <f aca="false">'$'!C162</f>
        <v>38.826157</v>
      </c>
      <c r="W175" s="35" t="n">
        <f aca="false">SUM(C175:E175)/V175</f>
        <v>69440.1457244404</v>
      </c>
      <c r="X175" s="35" t="n">
        <f aca="false">C175/$V175</f>
        <v>45220.0561595627</v>
      </c>
      <c r="Y175" s="35" t="n">
        <f aca="false">D175/$V175</f>
        <v>10632.6258352069</v>
      </c>
      <c r="Z175" s="35" t="n">
        <f aca="false">E175/$V175</f>
        <v>13587.4637296707</v>
      </c>
      <c r="AA175" s="36" t="n">
        <f aca="false">C175/((N175+U175)*V175)</f>
        <v>0.171719341222702</v>
      </c>
      <c r="AB175" s="36" t="n">
        <f aca="false">D175/((N175+U175)*V175)</f>
        <v>0.0403764979292956</v>
      </c>
      <c r="AC175" s="36" t="n">
        <f aca="false">E175/((N175+U175)*V175)</f>
        <v>0.0515972450877419</v>
      </c>
      <c r="AD175" s="36" t="n">
        <f aca="false">(C175+D175+E175)/((N175+U175)*V175)</f>
        <v>0.26369308423974</v>
      </c>
      <c r="AE175" s="36" t="n">
        <f aca="false">(C175+D175+E175)/((K175+U175)*V175)</f>
        <v>0.297437883519904</v>
      </c>
      <c r="AF175" s="37" t="n">
        <f aca="false">(P175/V175)/K175</f>
        <v>1.01603646652917</v>
      </c>
      <c r="AG175" s="38" t="n">
        <f aca="false">F175/($N175+$U175)</f>
        <v>0.379878254859742</v>
      </c>
      <c r="AH175" s="38" t="n">
        <f aca="false">G175/($N175+$U175)</f>
        <v>0.067354758351466</v>
      </c>
      <c r="AI175" s="39" t="n">
        <f aca="false">I175/($N175+$U175)</f>
        <v>1.11589332300436</v>
      </c>
      <c r="AJ175" s="40" t="n">
        <f aca="false">C175/F175</f>
        <v>17.5508916789956</v>
      </c>
      <c r="AK175" s="40" t="n">
        <f aca="false">D175/G175</f>
        <v>23.2747364266787</v>
      </c>
      <c r="AL175" s="40" t="n">
        <f aca="false">E175/I175</f>
        <v>1.79526366655777</v>
      </c>
      <c r="AM175" s="41" t="n">
        <f aca="false">E175/(I175-J175)</f>
        <v>4.53489611539487</v>
      </c>
      <c r="AN175" s="42" t="n">
        <f aca="false">AJ175/$V175</f>
        <v>0.452037827977556</v>
      </c>
      <c r="AO175" s="42" t="n">
        <f aca="false">AK175/$V175</f>
        <v>0.599460215098772</v>
      </c>
      <c r="AP175" s="42" t="n">
        <f aca="false">AL175/$V175</f>
        <v>0.0462385104597854</v>
      </c>
      <c r="AQ175" s="42" t="n">
        <f aca="false">AM175/$V175</f>
        <v>0.116800025183921</v>
      </c>
      <c r="AR175" s="43" t="n">
        <v>249</v>
      </c>
    </row>
    <row r="176" customFormat="false" ht="18.75" hidden="false" customHeight="true" outlineLevel="0" collapsed="false">
      <c r="A176" s="18" t="n">
        <v>2025</v>
      </c>
      <c r="B176" s="18" t="n">
        <v>6</v>
      </c>
      <c r="C176" s="24" t="n">
        <v>1310007</v>
      </c>
      <c r="D176" s="24" t="n">
        <v>325108</v>
      </c>
      <c r="E176" s="25" t="n">
        <f aca="false">275856</f>
        <v>275856</v>
      </c>
      <c r="F176" s="26" t="n">
        <v>74920</v>
      </c>
      <c r="G176" s="26" t="n">
        <v>13105</v>
      </c>
      <c r="H176" s="26" t="n">
        <v>11810</v>
      </c>
      <c r="I176" s="27" t="n">
        <f aca="false">252310</f>
        <v>252310</v>
      </c>
      <c r="J176" s="27" t="n">
        <v>195864</v>
      </c>
      <c r="K176" s="29" t="n">
        <v>142355</v>
      </c>
      <c r="L176" s="29" t="n">
        <v>12382</v>
      </c>
      <c r="M176" s="30" t="n">
        <f aca="false">L176/N176</f>
        <v>0.0800196462384562</v>
      </c>
      <c r="N176" s="28" t="n">
        <f aca="false">K176+L176</f>
        <v>154737</v>
      </c>
      <c r="O176" s="31" t="n">
        <v>175375</v>
      </c>
      <c r="P176" s="24" t="n">
        <v>8084242</v>
      </c>
      <c r="Q176" s="32" t="n">
        <v>158</v>
      </c>
      <c r="R176" s="32" t="n">
        <f aca="false">O176/Q176</f>
        <v>1109.96835443038</v>
      </c>
      <c r="S176" s="33" t="n">
        <v>21</v>
      </c>
      <c r="T176" s="29" t="n">
        <f aca="false">N176/S176</f>
        <v>7368.42857142857</v>
      </c>
      <c r="U176" s="29" t="n">
        <v>20314</v>
      </c>
      <c r="V176" s="34" t="n">
        <f aca="false">'$'!C163</f>
        <v>39.477254</v>
      </c>
      <c r="W176" s="35" t="n">
        <f aca="false">SUM(C176:E176)/V176</f>
        <v>48406.8876725823</v>
      </c>
      <c r="X176" s="35" t="n">
        <f aca="false">C176/$V176</f>
        <v>33183.8430302168</v>
      </c>
      <c r="Y176" s="35" t="n">
        <f aca="false">D176/$V176</f>
        <v>8235.32457450055</v>
      </c>
      <c r="Z176" s="35" t="n">
        <f aca="false">E176/$V176</f>
        <v>6987.7200678649</v>
      </c>
      <c r="AA176" s="36" t="n">
        <f aca="false">C176/((N176+U176)*V176)</f>
        <v>0.18956671501572</v>
      </c>
      <c r="AB176" s="36" t="n">
        <f aca="false">D176/((N176+U176)*V176)</f>
        <v>0.0470452872277253</v>
      </c>
      <c r="AC176" s="36" t="n">
        <f aca="false">E176/((N176+U176)*V176)</f>
        <v>0.0399181956564938</v>
      </c>
      <c r="AD176" s="36" t="n">
        <f aca="false">(C176+D176+E176)/((N176+U176)*V176)</f>
        <v>0.276530197899939</v>
      </c>
      <c r="AE176" s="36" t="n">
        <f aca="false">(C176+D176+E176)/((K176+U176)*V176)</f>
        <v>0.297579057303987</v>
      </c>
      <c r="AF176" s="37" t="n">
        <f aca="false">(P176/V176)/K176</f>
        <v>1.43853238675347</v>
      </c>
      <c r="AG176" s="38" t="n">
        <f aca="false">F176/($N176+$U176)</f>
        <v>0.427989557329007</v>
      </c>
      <c r="AH176" s="38" t="n">
        <f aca="false">G176/($N176+$U176)</f>
        <v>0.0748638968072162</v>
      </c>
      <c r="AI176" s="39" t="n">
        <f aca="false">I176/($N176+$U176)</f>
        <v>1.44135137759853</v>
      </c>
      <c r="AJ176" s="40" t="n">
        <f aca="false">C176/F176</f>
        <v>17.4854111051789</v>
      </c>
      <c r="AK176" s="40" t="n">
        <f aca="false">D176/G176</f>
        <v>24.8079359023274</v>
      </c>
      <c r="AL176" s="40" t="n">
        <f aca="false">E176/I176</f>
        <v>1.09332170742341</v>
      </c>
      <c r="AM176" s="41" t="n">
        <f aca="false">E176/(I176-J176)</f>
        <v>4.88707791517557</v>
      </c>
      <c r="AN176" s="42" t="n">
        <f aca="false">AJ176/$V176</f>
        <v>0.442923692341389</v>
      </c>
      <c r="AO176" s="42" t="n">
        <f aca="false">AK176/$V176</f>
        <v>0.628410879397218</v>
      </c>
      <c r="AP176" s="42" t="n">
        <f aca="false">AL176/$V176</f>
        <v>0.0276949786685621</v>
      </c>
      <c r="AQ176" s="42" t="n">
        <f aca="false">AM176/$V176</f>
        <v>0.123794778511585</v>
      </c>
      <c r="AR176" s="43" t="n">
        <v>322</v>
      </c>
    </row>
    <row r="177" customFormat="false" ht="18.75" hidden="false" customHeight="true" outlineLevel="0" collapsed="false">
      <c r="A177" s="18" t="n">
        <v>2025</v>
      </c>
      <c r="B177" s="18" t="n">
        <v>7</v>
      </c>
      <c r="C177" s="24" t="n">
        <v>1682031</v>
      </c>
      <c r="D177" s="24" t="n">
        <v>408173</v>
      </c>
      <c r="E177" s="25" t="n">
        <f aca="false">555213</f>
        <v>555213</v>
      </c>
      <c r="F177" s="26" t="n">
        <v>89161</v>
      </c>
      <c r="G177" s="26" t="n">
        <v>17922</v>
      </c>
      <c r="H177" s="26" t="n">
        <v>15155</v>
      </c>
      <c r="I177" s="27" t="n">
        <f aca="false">297292</f>
        <v>297292</v>
      </c>
      <c r="J177" s="27" t="n">
        <v>176028</v>
      </c>
      <c r="K177" s="29" t="n">
        <v>171935</v>
      </c>
      <c r="L177" s="29" t="n">
        <v>17653</v>
      </c>
      <c r="M177" s="30" t="n">
        <f aca="false">L177/N177</f>
        <v>0.0931124332763677</v>
      </c>
      <c r="N177" s="28" t="n">
        <f aca="false">K177+L177</f>
        <v>189588</v>
      </c>
      <c r="O177" s="31" t="n">
        <v>188201</v>
      </c>
      <c r="P177" s="24" t="n">
        <v>8473027</v>
      </c>
      <c r="Q177" s="32" t="n">
        <v>161</v>
      </c>
      <c r="R177" s="32" t="n">
        <f aca="false">O177/Q177</f>
        <v>1168.95031055901</v>
      </c>
      <c r="S177" s="33" t="n">
        <v>26</v>
      </c>
      <c r="T177" s="29" t="n">
        <f aca="false">N177/S177</f>
        <v>7291.84615384615</v>
      </c>
      <c r="U177" s="29" t="n">
        <v>18823</v>
      </c>
      <c r="V177" s="34" t="n">
        <f aca="false">'$'!C164</f>
        <v>40.244021</v>
      </c>
      <c r="W177" s="35" t="n">
        <f aca="false">SUM(C177:E177)/V177</f>
        <v>65734.4105848668</v>
      </c>
      <c r="X177" s="35" t="n">
        <f aca="false">C177/$V177</f>
        <v>41795.7986852258</v>
      </c>
      <c r="Y177" s="35" t="n">
        <f aca="false">D177/$V177</f>
        <v>10142.4507257861</v>
      </c>
      <c r="Z177" s="35" t="n">
        <f aca="false">E177/$V177</f>
        <v>13796.1611738549</v>
      </c>
      <c r="AA177" s="36" t="n">
        <f aca="false">C177/((N177+U177)*V177)</f>
        <v>0.200545070486806</v>
      </c>
      <c r="AB177" s="36" t="n">
        <f aca="false">D177/((N177+U177)*V177)</f>
        <v>0.0486656209402866</v>
      </c>
      <c r="AC177" s="36" t="n">
        <f aca="false">E177/((N177+U177)*V177)</f>
        <v>0.0661968954318864</v>
      </c>
      <c r="AD177" s="36" t="n">
        <f aca="false">(C177+D177+E177)/((N177+U177)*V177)</f>
        <v>0.315407586858979</v>
      </c>
      <c r="AE177" s="36" t="n">
        <f aca="false">(C177+D177+E177)/((K177+U177)*V177)</f>
        <v>0.344595826045916</v>
      </c>
      <c r="AF177" s="37" t="n">
        <f aca="false">(P177/V177)/K177</f>
        <v>1.22453987124776</v>
      </c>
      <c r="AG177" s="38" t="n">
        <f aca="false">F177/($N177+$U177)</f>
        <v>0.427813311197586</v>
      </c>
      <c r="AH177" s="38" t="n">
        <f aca="false">G177/($N177+$U177)</f>
        <v>0.0859935416076887</v>
      </c>
      <c r="AI177" s="39" t="n">
        <f aca="false">I177/($N177+$U177)</f>
        <v>1.42646981205407</v>
      </c>
      <c r="AJ177" s="40" t="n">
        <f aca="false">C177/F177</f>
        <v>18.8650979688429</v>
      </c>
      <c r="AK177" s="40" t="n">
        <f aca="false">D177/G177</f>
        <v>22.7749693114608</v>
      </c>
      <c r="AL177" s="40" t="n">
        <f aca="false">E177/I177</f>
        <v>1.86756791302827</v>
      </c>
      <c r="AM177" s="41" t="n">
        <f aca="false">E177/(I177-J177)</f>
        <v>4.57854763161367</v>
      </c>
      <c r="AN177" s="42" t="n">
        <f aca="false">AJ177/$V177</f>
        <v>0.468767720025861</v>
      </c>
      <c r="AO177" s="42" t="n">
        <f aca="false">AK177/$V177</f>
        <v>0.565921812620582</v>
      </c>
      <c r="AP177" s="42" t="n">
        <f aca="false">AL177/$V177</f>
        <v>0.0464060962752273</v>
      </c>
      <c r="AQ177" s="42" t="n">
        <f aca="false">AM177/$V177</f>
        <v>0.113769636279975</v>
      </c>
      <c r="AR177" s="43" t="n">
        <v>300</v>
      </c>
    </row>
    <row r="178" customFormat="false" ht="18.75" hidden="false" customHeight="true" outlineLevel="0" collapsed="false">
      <c r="A178" s="18" t="n">
        <v>2025</v>
      </c>
      <c r="B178" s="18" t="n">
        <v>8</v>
      </c>
      <c r="C178" s="24" t="n">
        <v>1421213</v>
      </c>
      <c r="D178" s="24" t="n">
        <v>350555</v>
      </c>
      <c r="E178" s="25" t="n">
        <v>599003</v>
      </c>
      <c r="F178" s="26" t="n">
        <v>74991</v>
      </c>
      <c r="G178" s="26" t="n">
        <v>13643</v>
      </c>
      <c r="H178" s="26" t="n">
        <v>12975</v>
      </c>
      <c r="I178" s="27" t="n">
        <v>275976</v>
      </c>
      <c r="J178" s="27" t="n">
        <v>141032</v>
      </c>
      <c r="K178" s="29" t="n">
        <v>158006</v>
      </c>
      <c r="L178" s="29" t="n">
        <v>37994</v>
      </c>
      <c r="M178" s="30" t="n">
        <f aca="false">L178/N178</f>
        <v>0.19384693877551</v>
      </c>
      <c r="N178" s="28" t="n">
        <f aca="false">K178+L178</f>
        <v>196000</v>
      </c>
      <c r="O178" s="31" t="n">
        <v>183046</v>
      </c>
      <c r="P178" s="24" t="n">
        <v>7381344</v>
      </c>
      <c r="Q178" s="32" t="n">
        <f aca="false">154+12</f>
        <v>166</v>
      </c>
      <c r="R178" s="32" t="n">
        <f aca="false">O178/Q178</f>
        <v>1102.68674698795</v>
      </c>
      <c r="S178" s="33" t="n">
        <v>26</v>
      </c>
      <c r="T178" s="29" t="n">
        <f aca="false">N178/S178</f>
        <v>7538.46153846154</v>
      </c>
      <c r="U178" s="29" t="n">
        <v>22802</v>
      </c>
      <c r="V178" s="34" t="n">
        <f aca="false">'$'!C165</f>
        <v>40.85612</v>
      </c>
      <c r="W178" s="35" t="n">
        <f aca="false">SUM(C178:E178)/V178</f>
        <v>58027.3163481995</v>
      </c>
      <c r="X178" s="35" t="n">
        <f aca="false">C178/$V178</f>
        <v>34785.8044278311</v>
      </c>
      <c r="Y178" s="35" t="n">
        <f aca="false">D178/$V178</f>
        <v>8580.23228833281</v>
      </c>
      <c r="Z178" s="35" t="n">
        <f aca="false">E178/$V178</f>
        <v>14661.2796320355</v>
      </c>
      <c r="AA178" s="36" t="n">
        <f aca="false">C178/((N178+U178)*V178)</f>
        <v>0.158983027704642</v>
      </c>
      <c r="AB178" s="36" t="n">
        <f aca="false">D178/((N178+U178)*V178)</f>
        <v>0.0392145971624245</v>
      </c>
      <c r="AC178" s="36" t="n">
        <f aca="false">E178/((N178+U178)*V178)</f>
        <v>0.0670070640672185</v>
      </c>
      <c r="AD178" s="36" t="n">
        <f aca="false">(C178+D178+E178)/((N178+U178)*V178)</f>
        <v>0.265204688934285</v>
      </c>
      <c r="AE178" s="36" t="n">
        <f aca="false">(C178+D178+E178)/((K178+U178)*V178)</f>
        <v>0.320933345583157</v>
      </c>
      <c r="AF178" s="37" t="n">
        <f aca="false">(P178/V178)/K178</f>
        <v>1.14341726719874</v>
      </c>
      <c r="AG178" s="38" t="n">
        <f aca="false">F178/($N178+$U178)</f>
        <v>0.342734527106699</v>
      </c>
      <c r="AH178" s="38" t="n">
        <f aca="false">G178/($N178+$U178)</f>
        <v>0.062353177758887</v>
      </c>
      <c r="AI178" s="39" t="n">
        <f aca="false">I178/($N178+$U178)</f>
        <v>1.26130474127293</v>
      </c>
      <c r="AJ178" s="40" t="n">
        <f aca="false">C178/F178</f>
        <v>18.9517808803723</v>
      </c>
      <c r="AK178" s="40" t="n">
        <f aca="false">D178/G178</f>
        <v>25.6948618339075</v>
      </c>
      <c r="AL178" s="40" t="n">
        <f aca="false">E178/I178</f>
        <v>2.17048946285184</v>
      </c>
      <c r="AM178" s="41" t="n">
        <f aca="false">E178/(I178-J178)</f>
        <v>4.43890058098174</v>
      </c>
      <c r="AN178" s="42" t="n">
        <f aca="false">AJ178/$V178</f>
        <v>0.463866389671176</v>
      </c>
      <c r="AO178" s="42" t="n">
        <f aca="false">AK178/$V178</f>
        <v>0.628910964475028</v>
      </c>
      <c r="AP178" s="42" t="n">
        <f aca="false">AL178/$V178</f>
        <v>0.0531251979593716</v>
      </c>
      <c r="AQ178" s="42" t="n">
        <f aca="false">AM178/$V178</f>
        <v>0.108647139791584</v>
      </c>
      <c r="AR178" s="43" t="n">
        <v>252</v>
      </c>
    </row>
    <row r="179" customFormat="false" ht="18.75" hidden="false" customHeight="true" outlineLevel="0" collapsed="false">
      <c r="A179" s="18" t="n">
        <v>2025</v>
      </c>
      <c r="B179" s="18" t="n">
        <v>9</v>
      </c>
      <c r="C179" s="78" t="n">
        <v>1797537</v>
      </c>
      <c r="D179" s="24" t="n">
        <v>352737</v>
      </c>
      <c r="E179" s="25" t="n">
        <v>737089</v>
      </c>
      <c r="F179" s="79" t="n">
        <v>92944</v>
      </c>
      <c r="G179" s="26" t="n">
        <v>15271</v>
      </c>
      <c r="H179" s="26" t="n">
        <v>13034</v>
      </c>
      <c r="I179" s="27" t="n">
        <v>285211</v>
      </c>
      <c r="J179" s="27" t="n">
        <v>116050</v>
      </c>
      <c r="K179" s="29" t="n">
        <v>170743</v>
      </c>
      <c r="L179" s="29" t="n">
        <v>33429</v>
      </c>
      <c r="M179" s="30" t="n">
        <f aca="false">L179/N179</f>
        <v>0.163729600532884</v>
      </c>
      <c r="N179" s="28" t="n">
        <f aca="false">K179+L179</f>
        <v>204172</v>
      </c>
      <c r="O179" s="31" t="n">
        <v>206113</v>
      </c>
      <c r="P179" s="24" t="n">
        <v>7178325</v>
      </c>
      <c r="Q179" s="32" t="n">
        <v>159</v>
      </c>
      <c r="R179" s="32" t="n">
        <f aca="false">O179/Q179</f>
        <v>1296.30817610063</v>
      </c>
      <c r="S179" s="33" t="n">
        <v>26</v>
      </c>
      <c r="T179" s="29" t="n">
        <f aca="false">N179/S179</f>
        <v>7852.76923076923</v>
      </c>
      <c r="U179" s="29" t="n">
        <v>21450</v>
      </c>
      <c r="V179" s="34" t="n">
        <f aca="false">'$'!C166</f>
        <v>41.347521</v>
      </c>
      <c r="W179" s="35" t="n">
        <f aca="false">SUM(C179:E179)/V179</f>
        <v>69831.5867594577</v>
      </c>
      <c r="X179" s="35" t="n">
        <f aca="false">C179/$V179</f>
        <v>43473.8759791669</v>
      </c>
      <c r="Y179" s="35" t="n">
        <f aca="false">D179/$V179</f>
        <v>8531.031400891</v>
      </c>
      <c r="Z179" s="35" t="n">
        <f aca="false">E179/$V179</f>
        <v>17826.6793793998</v>
      </c>
      <c r="AA179" s="36" t="n">
        <f aca="false">C179/((N179+U179)*V179)</f>
        <v>0.192684560810413</v>
      </c>
      <c r="AB179" s="36" t="n">
        <f aca="false">D179/((N179+U179)*V179)</f>
        <v>0.0378111682410891</v>
      </c>
      <c r="AC179" s="36" t="n">
        <f aca="false">E179/((N179+U179)*V179)</f>
        <v>0.0790112638811809</v>
      </c>
      <c r="AD179" s="36" t="n">
        <f aca="false">(C179+D179+E179)/((N179+U179)*V179)</f>
        <v>0.309506992932683</v>
      </c>
      <c r="AE179" s="36" t="n">
        <f aca="false">(C179+D179+E179)/((K179+U179)*V179)</f>
        <v>0.363340947690383</v>
      </c>
      <c r="AF179" s="37" t="n">
        <f aca="false">(P179/V179)/K179</f>
        <v>1.01678875118592</v>
      </c>
      <c r="AG179" s="38" t="n">
        <f aca="false">F179/($N179+$U179)</f>
        <v>0.411945643598585</v>
      </c>
      <c r="AH179" s="38" t="n">
        <f aca="false">G179/($N179+$U179)</f>
        <v>0.0676840024465699</v>
      </c>
      <c r="AI179" s="39" t="n">
        <f aca="false">I179/($N179+$U179)</f>
        <v>1.26410988290149</v>
      </c>
      <c r="AJ179" s="40" t="n">
        <f aca="false">C179/F179</f>
        <v>19.3400004303667</v>
      </c>
      <c r="AK179" s="40" t="n">
        <f aca="false">D179/G179</f>
        <v>23.0984873289241</v>
      </c>
      <c r="AL179" s="40" t="n">
        <f aca="false">E179/I179</f>
        <v>2.58436385693399</v>
      </c>
      <c r="AM179" s="41" t="n">
        <f aca="false">E179/(I179-J179)</f>
        <v>4.35732231424501</v>
      </c>
      <c r="AN179" s="42" t="n">
        <f aca="false">AJ179/$V179</f>
        <v>0.467742683542423</v>
      </c>
      <c r="AO179" s="42" t="n">
        <f aca="false">AK179/$V179</f>
        <v>0.558642616782856</v>
      </c>
      <c r="AP179" s="42" t="n">
        <f aca="false">AL179/$V179</f>
        <v>0.0625034777038747</v>
      </c>
      <c r="AQ179" s="42" t="n">
        <f aca="false">AM179/$V179</f>
        <v>0.105382915562096</v>
      </c>
      <c r="AR179" s="43" t="n">
        <v>285</v>
      </c>
    </row>
    <row r="180" customFormat="false" ht="18.75" hidden="false" customHeight="true" outlineLevel="0" collapsed="false">
      <c r="A180" s="18" t="n">
        <v>2025</v>
      </c>
      <c r="B180" s="18" t="n">
        <v>10</v>
      </c>
      <c r="C180" s="24" t="n">
        <f aca="false">3595074/2</f>
        <v>1797537</v>
      </c>
      <c r="D180" s="24" t="n">
        <v>342886</v>
      </c>
      <c r="E180" s="25" t="n">
        <v>781708</v>
      </c>
      <c r="F180" s="26" t="n">
        <f aca="false">185888/2</f>
        <v>92944</v>
      </c>
      <c r="G180" s="26" t="n">
        <v>14467</v>
      </c>
      <c r="H180" s="26" t="n">
        <v>12973</v>
      </c>
      <c r="I180" s="27" t="n">
        <v>282590</v>
      </c>
      <c r="J180" s="27" t="n">
        <v>109182</v>
      </c>
      <c r="K180" s="29" t="n">
        <v>245167</v>
      </c>
      <c r="L180" s="29" t="n">
        <v>28710</v>
      </c>
      <c r="M180" s="30" t="n">
        <f aca="false">L180/N180</f>
        <v>0.104828079758432</v>
      </c>
      <c r="N180" s="28" t="n">
        <f aca="false">K180+L180</f>
        <v>273877</v>
      </c>
      <c r="O180" s="31" t="n">
        <v>254330</v>
      </c>
      <c r="P180" s="24" t="n">
        <v>7893494</v>
      </c>
      <c r="Q180" s="32" t="n">
        <v>160</v>
      </c>
      <c r="R180" s="32" t="n">
        <f aca="false">O180/Q180</f>
        <v>1589.5625</v>
      </c>
      <c r="S180" s="33" t="n">
        <v>26</v>
      </c>
      <c r="T180" s="29" t="n">
        <f aca="false">N180/S180</f>
        <v>10533.7307692308</v>
      </c>
      <c r="U180" s="29" t="n">
        <v>28184</v>
      </c>
      <c r="V180" s="34" t="n">
        <f aca="false">'$'!C167</f>
        <v>41.847826</v>
      </c>
      <c r="W180" s="35" t="n">
        <f aca="false">SUM(C180:E180)/V180</f>
        <v>69827.5461191222</v>
      </c>
      <c r="X180" s="35" t="n">
        <f aca="false">C180/$V180</f>
        <v>42954.1309983463</v>
      </c>
      <c r="Y180" s="35" t="n">
        <f aca="false">D180/$V180</f>
        <v>8193.63949754523</v>
      </c>
      <c r="Z180" s="35" t="n">
        <f aca="false">E180/$V180</f>
        <v>18679.7756232307</v>
      </c>
      <c r="AA180" s="36" t="n">
        <f aca="false">C180/((N180+U180)*V180)</f>
        <v>0.142203498625596</v>
      </c>
      <c r="AB180" s="36" t="n">
        <f aca="false">D180/((N180+U180)*V180)</f>
        <v>0.0271257775666015</v>
      </c>
      <c r="AC180" s="36" t="n">
        <f aca="false">E180/((N180+U180)*V180)</f>
        <v>0.0618410705891549</v>
      </c>
      <c r="AD180" s="36" t="n">
        <f aca="false">(C180+D180+E180)/((N180+U180)*V180)</f>
        <v>0.231170346781353</v>
      </c>
      <c r="AE180" s="36" t="n">
        <f aca="false">(C180+D180+E180)/((K180+U180)*V180)</f>
        <v>0.255450121342604</v>
      </c>
      <c r="AF180" s="37" t="n">
        <f aca="false">(P180/V180)/K180</f>
        <v>0.769368443221226</v>
      </c>
      <c r="AG180" s="38" t="n">
        <f aca="false">F180/($N180+$U180)</f>
        <v>0.307699438192948</v>
      </c>
      <c r="AH180" s="38" t="n">
        <f aca="false">G180/($N180+$U180)</f>
        <v>0.0478942994957972</v>
      </c>
      <c r="AI180" s="39" t="n">
        <f aca="false">I180/($N180+$U180)</f>
        <v>0.935539510231377</v>
      </c>
      <c r="AJ180" s="40" t="n">
        <f aca="false">C180/F180</f>
        <v>19.3400004303667</v>
      </c>
      <c r="AK180" s="40" t="n">
        <f aca="false">D180/G180</f>
        <v>23.701251123246</v>
      </c>
      <c r="AL180" s="40" t="n">
        <f aca="false">E180/I180</f>
        <v>2.76622668884249</v>
      </c>
      <c r="AM180" s="41" t="n">
        <f aca="false">E180/(I180-J180)</f>
        <v>4.50791197637941</v>
      </c>
      <c r="AN180" s="42" t="n">
        <f aca="false">AJ180/$V180</f>
        <v>0.462150660595049</v>
      </c>
      <c r="AO180" s="42" t="n">
        <f aca="false">AK180/$V180</f>
        <v>0.566367560485604</v>
      </c>
      <c r="AP180" s="42" t="n">
        <f aca="false">AL180/$V180</f>
        <v>0.0661020404941106</v>
      </c>
      <c r="AQ180" s="42" t="n">
        <f aca="false">AM180/$V180</f>
        <v>0.10772153316589</v>
      </c>
      <c r="AR180" s="43" t="n">
        <v>240</v>
      </c>
    </row>
    <row r="181" customFormat="false" ht="18.75" hidden="false" customHeight="true" outlineLevel="0" collapsed="false">
      <c r="A181" s="18" t="n">
        <v>2025</v>
      </c>
      <c r="B181" s="18" t="n">
        <v>11</v>
      </c>
      <c r="C181" s="24"/>
      <c r="D181" s="24"/>
      <c r="E181" s="25"/>
      <c r="F181" s="26"/>
      <c r="G181" s="26"/>
      <c r="H181" s="26"/>
      <c r="I181" s="27"/>
      <c r="J181" s="27"/>
      <c r="K181" s="29"/>
      <c r="L181" s="29"/>
      <c r="M181" s="30" t="e">
        <f aca="false">L181/N181</f>
        <v>#DIV/0!</v>
      </c>
      <c r="N181" s="28" t="n">
        <f aca="false">K181+L181</f>
        <v>0</v>
      </c>
      <c r="O181" s="31"/>
      <c r="P181" s="24"/>
      <c r="Q181" s="32"/>
      <c r="R181" s="32" t="e">
        <f aca="false">O181/Q181</f>
        <v>#DIV/0!</v>
      </c>
      <c r="S181" s="33"/>
      <c r="T181" s="29" t="e">
        <f aca="false">N181/S181</f>
        <v>#DIV/0!</v>
      </c>
      <c r="U181" s="29"/>
      <c r="V181" s="34" t="n">
        <f aca="false">'$'!C168</f>
        <v>43.1816648593448</v>
      </c>
      <c r="W181" s="35" t="n">
        <f aca="false">SUM(C181:E181)/V181</f>
        <v>0</v>
      </c>
      <c r="X181" s="35" t="n">
        <f aca="false">C181/$V181</f>
        <v>0</v>
      </c>
      <c r="Y181" s="35" t="n">
        <f aca="false">D181/$V181</f>
        <v>0</v>
      </c>
      <c r="Z181" s="35" t="n">
        <f aca="false">E181/$V181</f>
        <v>0</v>
      </c>
      <c r="AA181" s="36" t="e">
        <f aca="false">C181/((N181+U181)*V181)</f>
        <v>#DIV/0!</v>
      </c>
      <c r="AB181" s="36" t="e">
        <f aca="false">D181/((N181+U181)*V181)</f>
        <v>#DIV/0!</v>
      </c>
      <c r="AC181" s="36" t="e">
        <f aca="false">E181/((N181+U181)*V181)</f>
        <v>#DIV/0!</v>
      </c>
      <c r="AD181" s="36" t="e">
        <f aca="false">(C181+D181+E181)/((N181+U181)*V181)</f>
        <v>#DIV/0!</v>
      </c>
      <c r="AE181" s="36" t="e">
        <f aca="false">(C181+D181+E181)/((K181+U181)*V181)</f>
        <v>#DIV/0!</v>
      </c>
      <c r="AF181" s="37" t="e">
        <f aca="false">(P181/V181)/K181</f>
        <v>#DIV/0!</v>
      </c>
      <c r="AG181" s="38" t="e">
        <f aca="false">F181/($N181+$U181)</f>
        <v>#DIV/0!</v>
      </c>
      <c r="AH181" s="38" t="e">
        <f aca="false">G181/($N181+$U181)</f>
        <v>#DIV/0!</v>
      </c>
      <c r="AI181" s="39" t="e">
        <f aca="false">I181/($N181+$U181)</f>
        <v>#DIV/0!</v>
      </c>
      <c r="AJ181" s="40" t="e">
        <f aca="false">C181/F181</f>
        <v>#DIV/0!</v>
      </c>
      <c r="AK181" s="40" t="e">
        <f aca="false">D181/G181</f>
        <v>#DIV/0!</v>
      </c>
      <c r="AL181" s="40" t="e">
        <f aca="false">E181/I181</f>
        <v>#DIV/0!</v>
      </c>
      <c r="AM181" s="41" t="e">
        <f aca="false">E181/(I181-J181)</f>
        <v>#DIV/0!</v>
      </c>
      <c r="AN181" s="42" t="e">
        <f aca="false">AJ181/$V181</f>
        <v>#DIV/0!</v>
      </c>
      <c r="AO181" s="42" t="e">
        <f aca="false">AK181/$V181</f>
        <v>#DIV/0!</v>
      </c>
      <c r="AP181" s="42" t="e">
        <f aca="false">AL181/$V181</f>
        <v>#DIV/0!</v>
      </c>
      <c r="AQ181" s="42" t="e">
        <f aca="false">AM181/$V181</f>
        <v>#DIV/0!</v>
      </c>
      <c r="AR181" s="43"/>
    </row>
    <row r="182" customFormat="false" ht="18.75" hidden="false" customHeight="true" outlineLevel="0" collapsed="false">
      <c r="A182" s="18" t="n">
        <v>2025</v>
      </c>
      <c r="B182" s="18" t="n">
        <v>12</v>
      </c>
      <c r="C182" s="24"/>
      <c r="D182" s="24"/>
      <c r="E182" s="25"/>
      <c r="F182" s="26"/>
      <c r="G182" s="26"/>
      <c r="H182" s="26"/>
      <c r="I182" s="27"/>
      <c r="J182" s="27"/>
      <c r="K182" s="29"/>
      <c r="L182" s="29"/>
      <c r="M182" s="30" t="e">
        <f aca="false">L182/N182</f>
        <v>#DIV/0!</v>
      </c>
      <c r="N182" s="28" t="n">
        <f aca="false">K182+L182</f>
        <v>0</v>
      </c>
      <c r="O182" s="31"/>
      <c r="P182" s="24"/>
      <c r="Q182" s="32"/>
      <c r="R182" s="32" t="e">
        <f aca="false">O182/Q182</f>
        <v>#DIV/0!</v>
      </c>
      <c r="S182" s="33"/>
      <c r="T182" s="29" t="e">
        <f aca="false">N182/S182</f>
        <v>#DIV/0!</v>
      </c>
      <c r="U182" s="29"/>
      <c r="V182" s="34" t="n">
        <f aca="false">'$'!C169</f>
        <v>45.2043004238843</v>
      </c>
      <c r="W182" s="35" t="n">
        <f aca="false">SUM(C182:E182)/V182</f>
        <v>0</v>
      </c>
      <c r="X182" s="35" t="n">
        <f aca="false">C182/$V182</f>
        <v>0</v>
      </c>
      <c r="Y182" s="35" t="n">
        <f aca="false">D182/$V182</f>
        <v>0</v>
      </c>
      <c r="Z182" s="35" t="n">
        <f aca="false">E182/$V182</f>
        <v>0</v>
      </c>
      <c r="AA182" s="36" t="e">
        <f aca="false">C182/((N182+U182)*V182)</f>
        <v>#DIV/0!</v>
      </c>
      <c r="AB182" s="36" t="e">
        <f aca="false">D182/((N182+U182)*V182)</f>
        <v>#DIV/0!</v>
      </c>
      <c r="AC182" s="36" t="e">
        <f aca="false">E182/((N182+U182)*V182)</f>
        <v>#DIV/0!</v>
      </c>
      <c r="AD182" s="36" t="e">
        <f aca="false">(C182+D182+E182)/((N182+U182)*V182)</f>
        <v>#DIV/0!</v>
      </c>
      <c r="AE182" s="36" t="e">
        <f aca="false">(C182+D182+E182)/((K182+U182)*V182)</f>
        <v>#DIV/0!</v>
      </c>
      <c r="AF182" s="37" t="e">
        <f aca="false">(P182/V182)/K182</f>
        <v>#DIV/0!</v>
      </c>
      <c r="AG182" s="38" t="e">
        <f aca="false">F182/($N182+$U182)</f>
        <v>#DIV/0!</v>
      </c>
      <c r="AH182" s="38" t="e">
        <f aca="false">G182/($N182+$U182)</f>
        <v>#DIV/0!</v>
      </c>
      <c r="AI182" s="39" t="e">
        <f aca="false">I182/($N182+$U182)</f>
        <v>#DIV/0!</v>
      </c>
      <c r="AJ182" s="40" t="e">
        <f aca="false">C182/F182</f>
        <v>#DIV/0!</v>
      </c>
      <c r="AK182" s="40" t="e">
        <f aca="false">D182/G182</f>
        <v>#DIV/0!</v>
      </c>
      <c r="AL182" s="40" t="e">
        <f aca="false">E182/I182</f>
        <v>#DIV/0!</v>
      </c>
      <c r="AM182" s="41" t="e">
        <f aca="false">E182/(I182-J182)</f>
        <v>#DIV/0!</v>
      </c>
      <c r="AN182" s="42" t="e">
        <f aca="false">AJ182/$V182</f>
        <v>#DIV/0!</v>
      </c>
      <c r="AO182" s="42" t="e">
        <f aca="false">AK182/$V182</f>
        <v>#DIV/0!</v>
      </c>
      <c r="AP182" s="42" t="e">
        <f aca="false">AL182/$V182</f>
        <v>#DIV/0!</v>
      </c>
      <c r="AQ182" s="42" t="e">
        <f aca="false">AM182/$V182</f>
        <v>#DIV/0!</v>
      </c>
      <c r="AR182" s="43"/>
    </row>
  </sheetData>
  <mergeCells count="21">
    <mergeCell ref="A1:A2"/>
    <mergeCell ref="B1:B2"/>
    <mergeCell ref="C1:E1"/>
    <mergeCell ref="F1:I1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A1:AF1"/>
    <mergeCell ref="AG1:AI1"/>
    <mergeCell ref="AJ1:AM1"/>
    <mergeCell ref="AN1:AQ1"/>
    <mergeCell ref="AR1:AR2"/>
  </mergeCells>
  <hyperlinks>
    <hyperlink ref="J1" r:id="rId2" display="GES Üretim"/>
    <hyperlink ref="K1" r:id="rId3" display="1. Boyama Miktarı"/>
    <hyperlink ref="O1" r:id="rId4" display="∑ Paket. Miktarı"/>
    <hyperlink ref="P1" r:id="rId5" display="∑ İşçilik "/>
    <hyperlink ref="Q1" r:id="rId6" display="∑ Kişi&#10;Sayısı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&amp;LBOYAHANE</oddHeader>
    <oddFooter>&amp;CPage &amp;P of</oddFooter>
  </headerFooter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30" min="3" style="0" width="11.56"/>
  </cols>
  <sheetData>
    <row r="1" customFormat="false" ht="18.75" hidden="false" customHeight="true" outlineLevel="0" collapsed="false">
      <c r="A1" s="1" t="s">
        <v>0</v>
      </c>
      <c r="B1" s="1" t="s">
        <v>1</v>
      </c>
      <c r="C1" s="80" t="s">
        <v>2</v>
      </c>
      <c r="D1" s="80"/>
      <c r="E1" s="80"/>
      <c r="F1" s="1" t="s">
        <v>3</v>
      </c>
      <c r="G1" s="1"/>
      <c r="H1" s="1"/>
      <c r="I1" s="81" t="s">
        <v>4</v>
      </c>
      <c r="J1" s="82" t="s">
        <v>45</v>
      </c>
      <c r="K1" s="82" t="s">
        <v>46</v>
      </c>
      <c r="L1" s="6" t="s">
        <v>47</v>
      </c>
      <c r="M1" s="7" t="s">
        <v>9</v>
      </c>
      <c r="N1" s="83" t="s">
        <v>10</v>
      </c>
      <c r="O1" s="9" t="s">
        <v>11</v>
      </c>
      <c r="P1" s="5" t="s">
        <v>12</v>
      </c>
      <c r="Q1" s="84" t="s">
        <v>16</v>
      </c>
      <c r="R1" s="12" t="s">
        <v>17</v>
      </c>
      <c r="S1" s="13" t="s">
        <v>48</v>
      </c>
      <c r="T1" s="13"/>
      <c r="U1" s="13"/>
      <c r="V1" s="13"/>
      <c r="W1" s="13"/>
      <c r="X1" s="14" t="s">
        <v>49</v>
      </c>
      <c r="Y1" s="14"/>
      <c r="Z1" s="14"/>
      <c r="AA1" s="15" t="s">
        <v>21</v>
      </c>
      <c r="AB1" s="15"/>
      <c r="AC1" s="15"/>
      <c r="AD1" s="15"/>
    </row>
    <row r="2" customFormat="false" ht="18.75" hidden="false" customHeight="true" outlineLevel="0" collapsed="false">
      <c r="A2" s="1"/>
      <c r="B2" s="1"/>
      <c r="C2" s="17" t="s">
        <v>50</v>
      </c>
      <c r="D2" s="17" t="s">
        <v>51</v>
      </c>
      <c r="E2" s="2" t="s">
        <v>52</v>
      </c>
      <c r="F2" s="18" t="s">
        <v>25</v>
      </c>
      <c r="G2" s="18" t="s">
        <v>26</v>
      </c>
      <c r="H2" s="85" t="s">
        <v>28</v>
      </c>
      <c r="I2" s="85" t="s">
        <v>28</v>
      </c>
      <c r="J2" s="82"/>
      <c r="K2" s="82"/>
      <c r="L2" s="82"/>
      <c r="M2" s="7"/>
      <c r="N2" s="83"/>
      <c r="O2" s="83"/>
      <c r="P2" s="83"/>
      <c r="Q2" s="84"/>
      <c r="R2" s="12" t="s">
        <v>29</v>
      </c>
      <c r="S2" s="12" t="s">
        <v>30</v>
      </c>
      <c r="T2" s="12" t="s">
        <v>31</v>
      </c>
      <c r="U2" s="12" t="s">
        <v>32</v>
      </c>
      <c r="V2" s="12" t="s">
        <v>33</v>
      </c>
      <c r="W2" s="86" t="s">
        <v>53</v>
      </c>
      <c r="X2" s="22" t="s">
        <v>25</v>
      </c>
      <c r="Y2" s="22" t="s">
        <v>36</v>
      </c>
      <c r="Z2" s="87" t="s">
        <v>28</v>
      </c>
      <c r="AA2" s="23" t="s">
        <v>37</v>
      </c>
      <c r="AB2" s="23" t="s">
        <v>38</v>
      </c>
      <c r="AC2" s="23" t="s">
        <v>39</v>
      </c>
      <c r="AD2" s="23" t="s">
        <v>40</v>
      </c>
    </row>
    <row r="3" customFormat="false" ht="18.75" hidden="false" customHeight="true" outlineLevel="0" collapsed="false">
      <c r="A3" s="18" t="n">
        <v>2016</v>
      </c>
      <c r="B3" s="18" t="n">
        <v>1</v>
      </c>
      <c r="C3" s="24" t="n">
        <v>11105.78</v>
      </c>
      <c r="D3" s="24" t="n">
        <f aca="false">2544.83+39.29</f>
        <v>2584.12</v>
      </c>
      <c r="E3" s="25" t="n">
        <v>86082.98</v>
      </c>
      <c r="F3" s="26" t="n">
        <v>11529.5</v>
      </c>
      <c r="G3" s="26" t="n">
        <f aca="false">2079+15</f>
        <v>2094</v>
      </c>
      <c r="H3" s="88" t="n">
        <v>379834.56</v>
      </c>
      <c r="I3" s="88"/>
      <c r="J3" s="89" t="n">
        <v>155093</v>
      </c>
      <c r="K3" s="89" t="n">
        <v>140630</v>
      </c>
      <c r="L3" s="90" t="n">
        <f aca="false">K3+J3</f>
        <v>295723</v>
      </c>
      <c r="M3" s="91" t="n">
        <v>140615.2</v>
      </c>
      <c r="N3" s="24" t="n">
        <v>495707</v>
      </c>
      <c r="O3" s="32" t="n">
        <v>221</v>
      </c>
      <c r="P3" s="92" t="n">
        <f aca="false">M3/O3</f>
        <v>636.267873303167</v>
      </c>
      <c r="Q3" s="93" t="n">
        <f aca="false">'$'!C50</f>
        <v>3.001791</v>
      </c>
      <c r="R3" s="35" t="n">
        <f aca="false">SUM(C3:E3)/Q3</f>
        <v>33237.7837097919</v>
      </c>
      <c r="S3" s="94" t="n">
        <f aca="false">(C3/Q3)/M3</f>
        <v>0.0263109388960755</v>
      </c>
      <c r="T3" s="94" t="n">
        <f aca="false">D3/Q3/M3</f>
        <v>0.00612209348826707</v>
      </c>
      <c r="U3" s="36" t="n">
        <f aca="false">E3/Q3/M3</f>
        <v>0.203941013307673</v>
      </c>
      <c r="V3" s="36" t="n">
        <f aca="false">(SUM(C3:E3)/Q3)/M3</f>
        <v>0.236374045692016</v>
      </c>
      <c r="W3" s="37" t="n">
        <f aca="false">(N3/Q3)/M3</f>
        <v>1.17438996516741</v>
      </c>
      <c r="X3" s="38" t="n">
        <f aca="false">F3/M3</f>
        <v>0.0819932695754086</v>
      </c>
      <c r="Y3" s="38" t="n">
        <f aca="false">G3/M3</f>
        <v>0.0148917044530037</v>
      </c>
      <c r="Z3" s="39" t="n">
        <f aca="false">H3/M3</f>
        <v>2.70123400599651</v>
      </c>
      <c r="AA3" s="40" t="n">
        <f aca="false">C3/F3</f>
        <v>0.963249056767423</v>
      </c>
      <c r="AB3" s="40" t="n">
        <f aca="false">D3/G3</f>
        <v>1.23405921680993</v>
      </c>
      <c r="AC3" s="40" t="n">
        <f aca="false">E3/H3</f>
        <v>0.226632826670643</v>
      </c>
      <c r="AD3" s="40"/>
    </row>
    <row r="4" customFormat="false" ht="18.75" hidden="false" customHeight="true" outlineLevel="0" collapsed="false">
      <c r="A4" s="18" t="n">
        <v>2016</v>
      </c>
      <c r="B4" s="18" t="n">
        <v>2</v>
      </c>
      <c r="C4" s="24" t="n">
        <v>11367.59</v>
      </c>
      <c r="D4" s="24" t="n">
        <f aca="false">2133.82+9</f>
        <v>2142.82</v>
      </c>
      <c r="E4" s="25" t="n">
        <v>93717.24</v>
      </c>
      <c r="F4" s="26" t="n">
        <v>11801.3</v>
      </c>
      <c r="G4" s="26" t="n">
        <f aca="false">1679+24</f>
        <v>1703</v>
      </c>
      <c r="H4" s="88" t="n">
        <v>402900.12</v>
      </c>
      <c r="I4" s="88"/>
      <c r="J4" s="89" t="n">
        <v>216909</v>
      </c>
      <c r="K4" s="89" t="n">
        <v>196408</v>
      </c>
      <c r="L4" s="90" t="n">
        <f aca="false">K4+J4</f>
        <v>413317</v>
      </c>
      <c r="M4" s="91" t="n">
        <v>196378.6</v>
      </c>
      <c r="N4" s="24" t="n">
        <v>449653</v>
      </c>
      <c r="O4" s="32" t="n">
        <v>215</v>
      </c>
      <c r="P4" s="92" t="n">
        <f aca="false">M4/O4</f>
        <v>913.388837209302</v>
      </c>
      <c r="Q4" s="93" t="n">
        <f aca="false">'$'!C51</f>
        <v>2.945324</v>
      </c>
      <c r="R4" s="35" t="n">
        <f aca="false">SUM(C4:E4)/Q4</f>
        <v>36406.0626267263</v>
      </c>
      <c r="S4" s="94" t="n">
        <f aca="false">(C4/Q4)/M4</f>
        <v>0.0196535571281504</v>
      </c>
      <c r="T4" s="94" t="n">
        <f aca="false">D4/Q4/M4</f>
        <v>0.00370474614982975</v>
      </c>
      <c r="U4" s="36" t="n">
        <f aca="false">E4/Q4/M4</f>
        <v>0.162028814395363</v>
      </c>
      <c r="V4" s="36" t="n">
        <f aca="false">(SUM(C4:E4)/Q4)/M4</f>
        <v>0.185387117673343</v>
      </c>
      <c r="W4" s="37" t="n">
        <f aca="false">(N4/Q4)/M4</f>
        <v>0.77741024468196</v>
      </c>
      <c r="X4" s="38" t="n">
        <f aca="false">F4/M4</f>
        <v>0.0600946335293153</v>
      </c>
      <c r="Y4" s="38" t="n">
        <f aca="false">G4/M4</f>
        <v>0.0086720243448115</v>
      </c>
      <c r="Z4" s="39" t="n">
        <f aca="false">H4/M4</f>
        <v>2.05164982335142</v>
      </c>
      <c r="AA4" s="40" t="n">
        <f aca="false">C4/F4</f>
        <v>0.963248964097176</v>
      </c>
      <c r="AB4" s="40" t="n">
        <f aca="false">D4/G4</f>
        <v>1.25826189078097</v>
      </c>
      <c r="AC4" s="40" t="n">
        <f aca="false">E4/H4</f>
        <v>0.232606632135031</v>
      </c>
      <c r="AD4" s="40"/>
    </row>
    <row r="5" customFormat="false" ht="18.75" hidden="false" customHeight="true" outlineLevel="0" collapsed="false">
      <c r="A5" s="18" t="n">
        <v>2016</v>
      </c>
      <c r="B5" s="18" t="n">
        <v>3</v>
      </c>
      <c r="C5" s="24" t="n">
        <v>8930.89</v>
      </c>
      <c r="D5" s="24" t="n">
        <f aca="false">1896.46+71.98</f>
        <v>1968.44</v>
      </c>
      <c r="E5" s="25" t="n">
        <v>92158.6</v>
      </c>
      <c r="F5" s="26" t="n">
        <v>9271.63</v>
      </c>
      <c r="G5" s="26" t="n">
        <f aca="false">1448+27</f>
        <v>1475</v>
      </c>
      <c r="H5" s="88" t="n">
        <v>396199.44</v>
      </c>
      <c r="I5" s="88"/>
      <c r="J5" s="89" t="n">
        <v>195681</v>
      </c>
      <c r="K5" s="89" t="n">
        <v>193108</v>
      </c>
      <c r="L5" s="90" t="n">
        <f aca="false">K5+J5</f>
        <v>388789</v>
      </c>
      <c r="M5" s="91" t="n">
        <v>193082.8</v>
      </c>
      <c r="N5" s="24" t="n">
        <v>494647</v>
      </c>
      <c r="O5" s="32" t="n">
        <v>218</v>
      </c>
      <c r="P5" s="92" t="n">
        <f aca="false">M5/O5</f>
        <v>885.700917431193</v>
      </c>
      <c r="Q5" s="93" t="n">
        <f aca="false">'$'!C52</f>
        <v>2.882802</v>
      </c>
      <c r="R5" s="35" t="n">
        <f aca="false">SUM(C5:E5)/Q5</f>
        <v>35749.2224578726</v>
      </c>
      <c r="S5" s="94" t="n">
        <f aca="false">(C5/Q5)/M5</f>
        <v>0.0160448749796188</v>
      </c>
      <c r="T5" s="94" t="n">
        <f aca="false">D5/Q5/M5</f>
        <v>0.00353641951752633</v>
      </c>
      <c r="U5" s="36" t="n">
        <f aca="false">E5/Q5/M5</f>
        <v>0.165568405309739</v>
      </c>
      <c r="V5" s="36" t="n">
        <f aca="false">(SUM(C5:E5)/Q5)/M5</f>
        <v>0.185149699806884</v>
      </c>
      <c r="W5" s="37" t="n">
        <f aca="false">(N5/Q5)/M5</f>
        <v>0.888662750749755</v>
      </c>
      <c r="X5" s="38" t="n">
        <f aca="false">F5/M5</f>
        <v>0.0480189328101726</v>
      </c>
      <c r="Y5" s="38" t="n">
        <f aca="false">G5/M5</f>
        <v>0.00763920970692366</v>
      </c>
      <c r="Z5" s="39" t="n">
        <f aca="false">H5/M5</f>
        <v>2.05196651384795</v>
      </c>
      <c r="AA5" s="40" t="n">
        <f aca="false">C5/F5</f>
        <v>0.963249180564798</v>
      </c>
      <c r="AB5" s="40" t="n">
        <f aca="false">D5/G5</f>
        <v>1.33453559322034</v>
      </c>
      <c r="AC5" s="40" t="n">
        <f aca="false">E5/H5</f>
        <v>0.23260658823748</v>
      </c>
      <c r="AD5" s="40"/>
    </row>
    <row r="6" customFormat="false" ht="18.75" hidden="false" customHeight="true" outlineLevel="0" collapsed="false">
      <c r="A6" s="18" t="n">
        <v>2016</v>
      </c>
      <c r="B6" s="18" t="n">
        <v>4</v>
      </c>
      <c r="C6" s="24" t="n">
        <v>7788.57</v>
      </c>
      <c r="D6" s="24" t="n">
        <f aca="false">2202.65+42</f>
        <v>2244.65</v>
      </c>
      <c r="E6" s="25" t="n">
        <v>81915.91</v>
      </c>
      <c r="F6" s="26" t="n">
        <v>8085.83</v>
      </c>
      <c r="G6" s="26" t="n">
        <f aca="false">1746+111.93</f>
        <v>1857.93</v>
      </c>
      <c r="H6" s="88" t="n">
        <v>352164.96</v>
      </c>
      <c r="I6" s="88"/>
      <c r="J6" s="89" t="n">
        <v>174603</v>
      </c>
      <c r="K6" s="89" t="n">
        <v>206958</v>
      </c>
      <c r="L6" s="90" t="n">
        <f aca="false">K6+J6</f>
        <v>381561</v>
      </c>
      <c r="M6" s="91" t="n">
        <v>206804.7</v>
      </c>
      <c r="N6" s="24" t="n">
        <v>494811</v>
      </c>
      <c r="O6" s="32" t="n">
        <v>216</v>
      </c>
      <c r="P6" s="92" t="n">
        <f aca="false">M6/O6</f>
        <v>957.429166666667</v>
      </c>
      <c r="Q6" s="93" t="n">
        <f aca="false">'$'!C53</f>
        <v>2.834917</v>
      </c>
      <c r="R6" s="35" t="n">
        <f aca="false">SUM(C6:E6)/Q6</f>
        <v>32434.5051371874</v>
      </c>
      <c r="S6" s="94" t="n">
        <f aca="false">(C6/Q6)/M6</f>
        <v>0.0132848597725234</v>
      </c>
      <c r="T6" s="94" t="n">
        <f aca="false">D6/Q6/M6</f>
        <v>0.00382866951037156</v>
      </c>
      <c r="U6" s="36" t="n">
        <f aca="false">E6/Q6/M6</f>
        <v>0.139722873067668</v>
      </c>
      <c r="V6" s="36" t="n">
        <f aca="false">(SUM(C6:E6)/Q6)/M6</f>
        <v>0.156836402350563</v>
      </c>
      <c r="W6" s="37" t="n">
        <f aca="false">(N6/Q6)/M6</f>
        <v>0.843992510679376</v>
      </c>
      <c r="X6" s="38" t="n">
        <f aca="false">F6/M6</f>
        <v>0.0390988696098299</v>
      </c>
      <c r="Y6" s="38" t="n">
        <f aca="false">G6/M6</f>
        <v>0.00898398343944794</v>
      </c>
      <c r="Z6" s="39" t="n">
        <f aca="false">H6/M6</f>
        <v>1.70288663652228</v>
      </c>
      <c r="AA6" s="40" t="n">
        <f aca="false">C6/F6</f>
        <v>0.96323692187444</v>
      </c>
      <c r="AB6" s="40" t="n">
        <f aca="false">D6/G6</f>
        <v>1.20814562443149</v>
      </c>
      <c r="AC6" s="40" t="n">
        <f aca="false">E6/H6</f>
        <v>0.232606645476597</v>
      </c>
      <c r="AD6" s="40"/>
    </row>
    <row r="7" customFormat="false" ht="18.75" hidden="false" customHeight="true" outlineLevel="0" collapsed="false">
      <c r="A7" s="18" t="n">
        <v>2016</v>
      </c>
      <c r="B7" s="18" t="n">
        <v>5</v>
      </c>
      <c r="C7" s="24" t="n">
        <v>11451.49</v>
      </c>
      <c r="D7" s="24" t="n">
        <f aca="false">2706.14+136.98</f>
        <v>2843.12</v>
      </c>
      <c r="E7" s="25" t="n">
        <v>75667.55</v>
      </c>
      <c r="F7" s="26" t="n">
        <f aca="false">11806.82+81.79</f>
        <v>11888.61</v>
      </c>
      <c r="G7" s="26" t="n">
        <f aca="false">2236+51</f>
        <v>2287</v>
      </c>
      <c r="H7" s="88" t="n">
        <v>323530.2</v>
      </c>
      <c r="I7" s="88"/>
      <c r="J7" s="89" t="n">
        <v>137202</v>
      </c>
      <c r="K7" s="89" t="n">
        <v>211386</v>
      </c>
      <c r="L7" s="90" t="n">
        <f aca="false">K7+J7</f>
        <v>348588</v>
      </c>
      <c r="M7" s="91" t="n">
        <v>211305.4</v>
      </c>
      <c r="N7" s="24" t="n">
        <v>516438</v>
      </c>
      <c r="O7" s="32" t="n">
        <v>224</v>
      </c>
      <c r="P7" s="92" t="n">
        <f aca="false">M7/O7</f>
        <v>943.327678571429</v>
      </c>
      <c r="Q7" s="93" t="n">
        <f aca="false">'$'!C54</f>
        <v>2.940724</v>
      </c>
      <c r="R7" s="35" t="n">
        <f aca="false">SUM(C7:E7)/Q7</f>
        <v>30591.8406487654</v>
      </c>
      <c r="S7" s="94" t="n">
        <f aca="false">(C7/Q7)/M7</f>
        <v>0.0184288033775576</v>
      </c>
      <c r="T7" s="94" t="n">
        <f aca="false">D7/Q7/M7</f>
        <v>0.00457541328323227</v>
      </c>
      <c r="U7" s="36" t="n">
        <f aca="false">E7/Q7/M7</f>
        <v>0.121771263041884</v>
      </c>
      <c r="V7" s="36" t="n">
        <f aca="false">(SUM(C7:E7)/Q7)/M7</f>
        <v>0.144775479702674</v>
      </c>
      <c r="W7" s="37" t="n">
        <f aca="false">(N7/Q7)/M7</f>
        <v>0.8311000890451</v>
      </c>
      <c r="X7" s="38" t="n">
        <f aca="false">F7/M7</f>
        <v>0.0562626889800261</v>
      </c>
      <c r="Y7" s="38" t="n">
        <f aca="false">G7/M7</f>
        <v>0.0108231971355204</v>
      </c>
      <c r="Z7" s="39" t="n">
        <f aca="false">H7/M7</f>
        <v>1.53110237599228</v>
      </c>
      <c r="AA7" s="40" t="n">
        <f aca="false">C7/F7</f>
        <v>0.963232034695393</v>
      </c>
      <c r="AB7" s="40" t="n">
        <f aca="false">D7/G7</f>
        <v>1.2431657192829</v>
      </c>
      <c r="AC7" s="40" t="n">
        <f aca="false">E7/H7</f>
        <v>0.23388094836278</v>
      </c>
      <c r="AD7" s="40"/>
    </row>
    <row r="8" customFormat="false" ht="18.75" hidden="false" customHeight="true" outlineLevel="0" collapsed="false">
      <c r="A8" s="18" t="n">
        <v>2016</v>
      </c>
      <c r="B8" s="18" t="n">
        <v>6</v>
      </c>
      <c r="C8" s="24" t="n">
        <v>11506.41</v>
      </c>
      <c r="D8" s="24" t="n">
        <f aca="false">132.3+3083.95</f>
        <v>3216.25</v>
      </c>
      <c r="E8" s="25" t="n">
        <v>75707.53</v>
      </c>
      <c r="F8" s="26" t="n">
        <f aca="false">11837.02+108.39</f>
        <v>11945.41</v>
      </c>
      <c r="G8" s="26" t="n">
        <f aca="false">49+2397</f>
        <v>2446</v>
      </c>
      <c r="H8" s="88" t="n">
        <v>332569.44</v>
      </c>
      <c r="I8" s="88"/>
      <c r="J8" s="89" t="n">
        <v>135346</v>
      </c>
      <c r="K8" s="89" t="n">
        <v>220068</v>
      </c>
      <c r="L8" s="90" t="n">
        <f aca="false">K8+J8</f>
        <v>355414</v>
      </c>
      <c r="M8" s="91" t="n">
        <v>218144.6</v>
      </c>
      <c r="N8" s="24" t="n">
        <v>469957</v>
      </c>
      <c r="O8" s="32" t="n">
        <v>221</v>
      </c>
      <c r="P8" s="92" t="n">
        <f aca="false">M8/O8</f>
        <v>987.07963800905</v>
      </c>
      <c r="Q8" s="93" t="n">
        <f aca="false">'$'!C55</f>
        <v>2.914586</v>
      </c>
      <c r="R8" s="35" t="n">
        <f aca="false">SUM(C8:E8)/Q8</f>
        <v>31026.7701827978</v>
      </c>
      <c r="S8" s="94" t="n">
        <f aca="false">(C8/Q8)/M8</f>
        <v>0.0180974965945935</v>
      </c>
      <c r="T8" s="94" t="n">
        <f aca="false">D8/Q8/M8</f>
        <v>0.00505857808146602</v>
      </c>
      <c r="U8" s="36" t="n">
        <f aca="false">E8/Q8/M8</f>
        <v>0.119074217445762</v>
      </c>
      <c r="V8" s="36" t="n">
        <f aca="false">(SUM(C8:E8)/Q8)/M8</f>
        <v>0.142230292121821</v>
      </c>
      <c r="W8" s="37" t="n">
        <f aca="false">(N8/Q8)/M8</f>
        <v>0.739157148676727</v>
      </c>
      <c r="X8" s="38" t="n">
        <f aca="false">F8/M8</f>
        <v>0.0547591368294242</v>
      </c>
      <c r="Y8" s="38" t="n">
        <f aca="false">G8/M8</f>
        <v>0.0112127460409288</v>
      </c>
      <c r="Z8" s="39" t="n">
        <f aca="false">H8/M8</f>
        <v>1.52453666054534</v>
      </c>
      <c r="AA8" s="40" t="n">
        <f aca="false">C8/F8</f>
        <v>0.963249482437187</v>
      </c>
      <c r="AB8" s="40" t="n">
        <f aca="false">D8/G8</f>
        <v>1.31490188062142</v>
      </c>
      <c r="AC8" s="40" t="n">
        <f aca="false">E8/H8</f>
        <v>0.227644277838637</v>
      </c>
      <c r="AD8" s="40"/>
    </row>
    <row r="9" customFormat="false" ht="18.75" hidden="false" customHeight="true" outlineLevel="0" collapsed="false">
      <c r="A9" s="18" t="n">
        <v>2016</v>
      </c>
      <c r="B9" s="18" t="n">
        <v>7</v>
      </c>
      <c r="C9" s="24" t="n">
        <v>9928.28</v>
      </c>
      <c r="D9" s="24" t="n">
        <f aca="false">2446.76</f>
        <v>2446.76</v>
      </c>
      <c r="E9" s="25" t="n">
        <v>76513.51</v>
      </c>
      <c r="F9" s="26" t="n">
        <f aca="false">10230.08+77.01</f>
        <v>10307.09</v>
      </c>
      <c r="G9" s="26" t="n">
        <f aca="false">1851</f>
        <v>1851</v>
      </c>
      <c r="H9" s="88" t="n">
        <v>336110.04</v>
      </c>
      <c r="I9" s="88"/>
      <c r="J9" s="89" t="n">
        <v>160054</v>
      </c>
      <c r="K9" s="89" t="n">
        <v>192819</v>
      </c>
      <c r="L9" s="90" t="n">
        <f aca="false">K9+J9</f>
        <v>352873</v>
      </c>
      <c r="M9" s="91" t="n">
        <v>192774.9</v>
      </c>
      <c r="N9" s="24" t="n">
        <v>501510</v>
      </c>
      <c r="O9" s="32" t="n">
        <v>212</v>
      </c>
      <c r="P9" s="92" t="n">
        <f aca="false">M9/O9</f>
        <v>909.315566037736</v>
      </c>
      <c r="Q9" s="93" t="n">
        <f aca="false">'$'!C56</f>
        <v>2.969792</v>
      </c>
      <c r="R9" s="35" t="n">
        <f aca="false">SUM(C9:E9)/Q9</f>
        <v>29930.9008846411</v>
      </c>
      <c r="S9" s="94" t="n">
        <f aca="false">(C9/Q9)/M9</f>
        <v>0.0173419327291649</v>
      </c>
      <c r="T9" s="94" t="n">
        <f aca="false">D9/Q9/M9</f>
        <v>0.00427380647246164</v>
      </c>
      <c r="U9" s="36" t="n">
        <f aca="false">E9/Q9/M9</f>
        <v>0.133647735891039</v>
      </c>
      <c r="V9" s="36" t="n">
        <f aca="false">(SUM(C9:E9)/Q9)/M9</f>
        <v>0.155263475092665</v>
      </c>
      <c r="W9" s="37" t="n">
        <f aca="false">(N9/Q9)/M9</f>
        <v>0.875997925421471</v>
      </c>
      <c r="X9" s="38" t="n">
        <f aca="false">F9/M9</f>
        <v>0.0534669710631415</v>
      </c>
      <c r="Y9" s="38" t="n">
        <f aca="false">G9/M9</f>
        <v>0.00960187244293733</v>
      </c>
      <c r="Z9" s="39" t="n">
        <f aca="false">H9/M9</f>
        <v>1.74353632137794</v>
      </c>
      <c r="AA9" s="40" t="n">
        <f aca="false">C9/F9</f>
        <v>0.963247628574118</v>
      </c>
      <c r="AB9" s="40" t="n">
        <f aca="false">D9/G9</f>
        <v>1.32185845488925</v>
      </c>
      <c r="AC9" s="40" t="n">
        <f aca="false">E9/H9</f>
        <v>0.227644226277799</v>
      </c>
      <c r="AD9" s="40"/>
    </row>
    <row r="10" customFormat="false" ht="18.75" hidden="false" customHeight="true" outlineLevel="0" collapsed="false">
      <c r="A10" s="18" t="n">
        <v>2016</v>
      </c>
      <c r="B10" s="18" t="n">
        <v>8</v>
      </c>
      <c r="C10" s="24" t="n">
        <v>11811.13</v>
      </c>
      <c r="D10" s="24" t="n">
        <f aca="false">2752.96+183.96</f>
        <v>2936.92</v>
      </c>
      <c r="E10" s="25" t="n">
        <v>88810</v>
      </c>
      <c r="F10" s="26" t="n">
        <f aca="false">12156.21</f>
        <v>12156.21</v>
      </c>
      <c r="G10" s="26" t="n">
        <f aca="false">2149+67</f>
        <v>2216</v>
      </c>
      <c r="H10" s="88" t="n">
        <v>390126.24</v>
      </c>
      <c r="I10" s="88"/>
      <c r="J10" s="89" t="n">
        <v>226687</v>
      </c>
      <c r="K10" s="89" t="n">
        <v>214611</v>
      </c>
      <c r="L10" s="90" t="n">
        <f aca="false">K10+J10</f>
        <v>441298</v>
      </c>
      <c r="M10" s="91" t="n">
        <v>214520.3</v>
      </c>
      <c r="N10" s="24" t="n">
        <v>518517</v>
      </c>
      <c r="O10" s="32" t="n">
        <v>220</v>
      </c>
      <c r="P10" s="92" t="n">
        <f aca="false">M10/O10</f>
        <v>975.092272727273</v>
      </c>
      <c r="Q10" s="93" t="n">
        <f aca="false">'$'!C57</f>
        <v>2.960826</v>
      </c>
      <c r="R10" s="35" t="n">
        <f aca="false">SUM(C10:E10)/Q10</f>
        <v>34976.067489275</v>
      </c>
      <c r="S10" s="94" t="n">
        <f aca="false">(C10/Q10)/M10</f>
        <v>0.0185955988210144</v>
      </c>
      <c r="T10" s="94" t="n">
        <f aca="false">D10/Q10/M10</f>
        <v>0.00462392557608066</v>
      </c>
      <c r="U10" s="36" t="n">
        <f aca="false">E10/Q10/M10</f>
        <v>0.139823635104709</v>
      </c>
      <c r="V10" s="36" t="n">
        <f aca="false">(SUM(C10:E10)/Q10)/M10</f>
        <v>0.163043159501805</v>
      </c>
      <c r="W10" s="37" t="n">
        <f aca="false">(N10/Q10)/M10</f>
        <v>0.816360002292407</v>
      </c>
      <c r="X10" s="38" t="n">
        <f aca="false">F10/M10</f>
        <v>0.056666944806622</v>
      </c>
      <c r="Y10" s="38" t="n">
        <f aca="false">G10/M10</f>
        <v>0.0103300247109481</v>
      </c>
      <c r="Z10" s="39" t="n">
        <f aca="false">H10/M10</f>
        <v>1.81859823988685</v>
      </c>
      <c r="AA10" s="40" t="n">
        <f aca="false">C10/F10</f>
        <v>0.971612862890654</v>
      </c>
      <c r="AB10" s="40" t="n">
        <f aca="false">D10/G10</f>
        <v>1.32532490974729</v>
      </c>
      <c r="AC10" s="40" t="n">
        <f aca="false">E10/H10</f>
        <v>0.227644262021442</v>
      </c>
      <c r="AD10" s="40"/>
    </row>
    <row r="11" customFormat="false" ht="18.75" hidden="false" customHeight="true" outlineLevel="0" collapsed="false">
      <c r="A11" s="18" t="n">
        <v>2016</v>
      </c>
      <c r="B11" s="18" t="n">
        <v>9</v>
      </c>
      <c r="C11" s="24" t="n">
        <v>7989.81</v>
      </c>
      <c r="D11" s="24" t="n">
        <f aca="false">2703.86+117.72</f>
        <v>2821.58</v>
      </c>
      <c r="E11" s="25" t="n">
        <v>72541.09</v>
      </c>
      <c r="F11" s="26" t="n">
        <f aca="false">8158.23+136.41</f>
        <v>8294.64</v>
      </c>
      <c r="G11" s="26" t="n">
        <f aca="false">2011+43</f>
        <v>2054</v>
      </c>
      <c r="H11" s="88" t="n">
        <v>316484.28</v>
      </c>
      <c r="I11" s="88"/>
      <c r="J11" s="89" t="n">
        <v>177779</v>
      </c>
      <c r="K11" s="89" t="n">
        <v>171601</v>
      </c>
      <c r="L11" s="90" t="n">
        <f aca="false">K11+J11</f>
        <v>349380</v>
      </c>
      <c r="M11" s="91" t="n">
        <v>171525.3</v>
      </c>
      <c r="N11" s="24" t="n">
        <v>489872</v>
      </c>
      <c r="O11" s="32" t="n">
        <v>216</v>
      </c>
      <c r="P11" s="92" t="n">
        <f aca="false">M11/O11</f>
        <v>794.098611111111</v>
      </c>
      <c r="Q11" s="93" t="n">
        <f aca="false">'$'!C58</f>
        <v>2.968482</v>
      </c>
      <c r="R11" s="35" t="n">
        <f aca="false">SUM(C11:E11)/Q11</f>
        <v>28079.1596512965</v>
      </c>
      <c r="S11" s="94" t="n">
        <f aca="false">(C11/Q11)/M11</f>
        <v>0.0156918390287169</v>
      </c>
      <c r="T11" s="94" t="n">
        <f aca="false">D11/Q11/M11</f>
        <v>0.00554153092084132</v>
      </c>
      <c r="U11" s="36" t="n">
        <f aca="false">E11/Q11/M11</f>
        <v>0.142469358751668</v>
      </c>
      <c r="V11" s="36" t="n">
        <f aca="false">(SUM(C11:E11)/Q11)/M11</f>
        <v>0.163702728701227</v>
      </c>
      <c r="W11" s="37" t="n">
        <f aca="false">(N11/Q11)/M11</f>
        <v>0.962099545380382</v>
      </c>
      <c r="X11" s="38" t="n">
        <f aca="false">F11/M11</f>
        <v>0.0483581139342126</v>
      </c>
      <c r="Y11" s="38" t="n">
        <f aca="false">G11/M11</f>
        <v>0.0119749098237986</v>
      </c>
      <c r="Z11" s="39" t="n">
        <f aca="false">H11/M11</f>
        <v>1.84511719262406</v>
      </c>
      <c r="AA11" s="40" t="n">
        <f aca="false">C11/F11</f>
        <v>0.963249761291629</v>
      </c>
      <c r="AB11" s="40" t="n">
        <f aca="false">D11/G11</f>
        <v>1.37370009737098</v>
      </c>
      <c r="AC11" s="40" t="n">
        <f aca="false">E11/H11</f>
        <v>0.229209141130169</v>
      </c>
      <c r="AD11" s="40"/>
    </row>
    <row r="12" customFormat="false" ht="18.75" hidden="false" customHeight="true" outlineLevel="0" collapsed="false">
      <c r="A12" s="18" t="n">
        <v>2016</v>
      </c>
      <c r="B12" s="18" t="n">
        <v>10</v>
      </c>
      <c r="C12" s="24" t="n">
        <v>6975.89</v>
      </c>
      <c r="D12" s="24" t="n">
        <f aca="false">161.82+3617.74</f>
        <v>3779.56</v>
      </c>
      <c r="E12" s="25" t="n">
        <v>101305.88</v>
      </c>
      <c r="F12" s="26" t="n">
        <f aca="false">7832.48+114.48</f>
        <v>7946.96</v>
      </c>
      <c r="G12" s="26" t="n">
        <f aca="false">59+2545</f>
        <v>2604</v>
      </c>
      <c r="H12" s="88" t="n">
        <v>430640.28</v>
      </c>
      <c r="I12" s="88"/>
      <c r="J12" s="89" t="n">
        <v>221644</v>
      </c>
      <c r="K12" s="89" t="n">
        <v>263356</v>
      </c>
      <c r="L12" s="90" t="n">
        <f aca="false">K12+J12</f>
        <v>485000</v>
      </c>
      <c r="M12" s="91" t="n">
        <v>263196.2</v>
      </c>
      <c r="N12" s="24" t="n">
        <v>554182</v>
      </c>
      <c r="O12" s="32" t="n">
        <v>225</v>
      </c>
      <c r="P12" s="92" t="n">
        <f aca="false">M12/O12</f>
        <v>1169.76088888889</v>
      </c>
      <c r="Q12" s="93" t="n">
        <f aca="false">'$'!C59</f>
        <v>3.073362</v>
      </c>
      <c r="R12" s="35" t="n">
        <f aca="false">SUM(C12:E12)/Q12</f>
        <v>36462.1316981208</v>
      </c>
      <c r="S12" s="94" t="n">
        <f aca="false">(C12/Q12)/M12</f>
        <v>0.00862395123043961</v>
      </c>
      <c r="T12" s="94" t="n">
        <f aca="false">D12/Q12/M12</f>
        <v>0.00467248496070327</v>
      </c>
      <c r="U12" s="36" t="n">
        <f aca="false">E12/Q12/M12</f>
        <v>0.125239498970994</v>
      </c>
      <c r="V12" s="36" t="n">
        <f aca="false">(SUM(C12:E12)/Q12)/M12</f>
        <v>0.138535935162137</v>
      </c>
      <c r="W12" s="37" t="n">
        <f aca="false">(N12/Q12)/M12</f>
        <v>0.685108070911021</v>
      </c>
      <c r="X12" s="38" t="n">
        <f aca="false">F12/M12</f>
        <v>0.0301940529536521</v>
      </c>
      <c r="Y12" s="38" t="n">
        <f aca="false">G12/M12</f>
        <v>0.00989375986431415</v>
      </c>
      <c r="Z12" s="39" t="n">
        <f aca="false">H12/M12</f>
        <v>1.63619489947043</v>
      </c>
      <c r="AA12" s="44" t="n">
        <f aca="false">C12/F12</f>
        <v>0.877806104472654</v>
      </c>
      <c r="AB12" s="40" t="n">
        <f aca="false">D12/G12</f>
        <v>1.45144393241167</v>
      </c>
      <c r="AC12" s="40" t="n">
        <f aca="false">E12/H12</f>
        <v>0.235244784812048</v>
      </c>
      <c r="AD12" s="40"/>
    </row>
    <row r="13" customFormat="false" ht="18.75" hidden="false" customHeight="true" outlineLevel="0" collapsed="false">
      <c r="A13" s="18" t="n">
        <v>2016</v>
      </c>
      <c r="B13" s="18" t="n">
        <v>11</v>
      </c>
      <c r="C13" s="24" t="n">
        <v>8977.01</v>
      </c>
      <c r="D13" s="24" t="n">
        <f aca="false">3653.22+158.59</f>
        <v>3811.81</v>
      </c>
      <c r="E13" s="25" t="n">
        <v>109555.85</v>
      </c>
      <c r="F13" s="26" t="n">
        <f aca="false">10147.88+93.06</f>
        <v>10240.94</v>
      </c>
      <c r="G13" s="26" t="n">
        <f aca="false">2654+57</f>
        <v>2711</v>
      </c>
      <c r="H13" s="88" t="n">
        <v>477973.44</v>
      </c>
      <c r="I13" s="88"/>
      <c r="J13" s="89" t="n">
        <v>244542</v>
      </c>
      <c r="K13" s="89" t="n">
        <v>227400</v>
      </c>
      <c r="L13" s="90" t="n">
        <f aca="false">K13+J13</f>
        <v>471942</v>
      </c>
      <c r="M13" s="91" t="n">
        <v>227348.3</v>
      </c>
      <c r="N13" s="24" t="n">
        <v>540567</v>
      </c>
      <c r="O13" s="32" t="n">
        <v>230</v>
      </c>
      <c r="P13" s="92" t="n">
        <f aca="false">M13/O13</f>
        <v>988.470869565217</v>
      </c>
      <c r="Q13" s="93" t="n">
        <f aca="false">'$'!C60</f>
        <v>3.299438</v>
      </c>
      <c r="R13" s="35" t="n">
        <f aca="false">SUM(C13:E13)/Q13</f>
        <v>37080.4573384922</v>
      </c>
      <c r="S13" s="94" t="n">
        <f aca="false">(C13/Q13)/M13</f>
        <v>0.0119674060280299</v>
      </c>
      <c r="T13" s="94" t="n">
        <f aca="false">D13/Q13/M13</f>
        <v>0.00508158930108182</v>
      </c>
      <c r="U13" s="36" t="n">
        <f aca="false">E13/Q13/M13</f>
        <v>0.146050783021957</v>
      </c>
      <c r="V13" s="36" t="n">
        <f aca="false">(SUM(C13:E13)/Q13)/M13</f>
        <v>0.163099778351068</v>
      </c>
      <c r="W13" s="37" t="n">
        <f aca="false">(N13/Q13)/M13</f>
        <v>0.720639140911508</v>
      </c>
      <c r="X13" s="38" t="n">
        <f aca="false">F13/M13</f>
        <v>0.0450451575842001</v>
      </c>
      <c r="Y13" s="38" t="n">
        <f aca="false">G13/M13</f>
        <v>0.0119244348869114</v>
      </c>
      <c r="Z13" s="39" t="n">
        <f aca="false">H13/M13</f>
        <v>2.10238405125528</v>
      </c>
      <c r="AA13" s="40" t="n">
        <f aca="false">C13/F13</f>
        <v>0.876580665446727</v>
      </c>
      <c r="AB13" s="40" t="n">
        <f aca="false">D13/G13</f>
        <v>1.40605311693102</v>
      </c>
      <c r="AC13" s="40" t="n">
        <f aca="false">E13/H13</f>
        <v>0.229209074880813</v>
      </c>
      <c r="AD13" s="40"/>
    </row>
    <row r="14" customFormat="false" ht="18.75" hidden="false" customHeight="true" outlineLevel="0" collapsed="false">
      <c r="A14" s="18" t="n">
        <v>2016</v>
      </c>
      <c r="B14" s="18" t="n">
        <v>12</v>
      </c>
      <c r="C14" s="24" t="n">
        <v>13518.47</v>
      </c>
      <c r="D14" s="24" t="n">
        <f aca="false">195.77+4891.2</f>
        <v>5086.97</v>
      </c>
      <c r="E14" s="25" t="n">
        <v>122064.38</v>
      </c>
      <c r="F14" s="26" t="n">
        <f aca="false">15283.56+138.24</f>
        <v>15421.8</v>
      </c>
      <c r="G14" s="26" t="n">
        <f aca="false">70+3711</f>
        <v>3781</v>
      </c>
      <c r="H14" s="88" t="n">
        <v>494086.32</v>
      </c>
      <c r="I14" s="88"/>
      <c r="J14" s="89" t="n">
        <v>257508</v>
      </c>
      <c r="K14" s="89" t="n">
        <v>259763</v>
      </c>
      <c r="L14" s="90" t="n">
        <f aca="false">K14+J14</f>
        <v>517271</v>
      </c>
      <c r="M14" s="91" t="n">
        <v>259709.7</v>
      </c>
      <c r="N14" s="24" t="n">
        <v>557878</v>
      </c>
      <c r="O14" s="32" t="n">
        <v>226</v>
      </c>
      <c r="P14" s="92" t="n">
        <f aca="false">M14/O14</f>
        <v>1149.15796460177</v>
      </c>
      <c r="Q14" s="93" t="n">
        <f aca="false">'$'!C61</f>
        <v>3.502333</v>
      </c>
      <c r="R14" s="35" t="n">
        <f aca="false">SUM(C14:E14)/Q14</f>
        <v>40164.6045650142</v>
      </c>
      <c r="S14" s="94" t="n">
        <f aca="false">(C14/Q14)/M14</f>
        <v>0.0148621600817388</v>
      </c>
      <c r="T14" s="94" t="n">
        <f aca="false">D14/Q14/M14</f>
        <v>0.00559259756991753</v>
      </c>
      <c r="U14" s="36" t="n">
        <f aca="false">E14/Q14/M14</f>
        <v>0.134197165495666</v>
      </c>
      <c r="V14" s="36" t="n">
        <f aca="false">(SUM(C14:E14)/Q14)/M14</f>
        <v>0.154651923147323</v>
      </c>
      <c r="W14" s="37" t="n">
        <f aca="false">(N14/Q14)/M14</f>
        <v>0.613329181636701</v>
      </c>
      <c r="X14" s="38" t="n">
        <f aca="false">F14/M14</f>
        <v>0.0593809164617263</v>
      </c>
      <c r="Y14" s="38" t="n">
        <f aca="false">G14/M14</f>
        <v>0.0145585628877166</v>
      </c>
      <c r="Z14" s="39" t="n">
        <f aca="false">H14/M14</f>
        <v>1.90245616548015</v>
      </c>
      <c r="AA14" s="40" t="n">
        <f aca="false">C14/F14</f>
        <v>0.876581851664527</v>
      </c>
      <c r="AB14" s="40" t="n">
        <f aca="false">D14/G14</f>
        <v>1.34540333245173</v>
      </c>
      <c r="AC14" s="40" t="n">
        <f aca="false">E14/H14</f>
        <v>0.247050717777412</v>
      </c>
      <c r="AD14" s="40"/>
    </row>
    <row r="15" customFormat="false" ht="18.75" hidden="false" customHeight="true" outlineLevel="0" collapsed="false">
      <c r="A15" s="18" t="n">
        <v>2017</v>
      </c>
      <c r="B15" s="18" t="n">
        <v>1</v>
      </c>
      <c r="C15" s="24" t="n">
        <v>8664.09</v>
      </c>
      <c r="D15" s="24" t="n">
        <f aca="false">252.72+3601.04</f>
        <v>3853.76</v>
      </c>
      <c r="E15" s="25" t="n">
        <v>119052.49</v>
      </c>
      <c r="F15" s="26" t="n">
        <f aca="false">9784.14+99.8</f>
        <v>9883.94</v>
      </c>
      <c r="G15" s="26" t="n">
        <f aca="false">40+2368</f>
        <v>2408</v>
      </c>
      <c r="H15" s="88" t="n">
        <v>514951.92</v>
      </c>
      <c r="I15" s="88"/>
      <c r="J15" s="89" t="n">
        <v>207790</v>
      </c>
      <c r="K15" s="89" t="n">
        <v>265977</v>
      </c>
      <c r="L15" s="90" t="n">
        <f aca="false">K15+J15</f>
        <v>473767</v>
      </c>
      <c r="M15" s="91" t="n">
        <v>263495.3</v>
      </c>
      <c r="N15" s="24" t="n">
        <v>571813</v>
      </c>
      <c r="O15" s="32" t="n">
        <v>235</v>
      </c>
      <c r="P15" s="92" t="n">
        <f aca="false">M15/O15</f>
        <v>1121.25659574468</v>
      </c>
      <c r="Q15" s="93" t="n">
        <f aca="false">'$'!C62</f>
        <v>3.812</v>
      </c>
      <c r="R15" s="35" t="n">
        <f aca="false">SUM(C15:E15)/Q15</f>
        <v>34514.7796432319</v>
      </c>
      <c r="S15" s="94" t="n">
        <f aca="false">(C15/Q15)/M15</f>
        <v>0.00862575641736798</v>
      </c>
      <c r="T15" s="94" t="n">
        <f aca="false">D15/Q15/M15</f>
        <v>0.00383670934293111</v>
      </c>
      <c r="U15" s="36" t="n">
        <f aca="false">E15/Q15/M15</f>
        <v>0.118525751650911</v>
      </c>
      <c r="V15" s="36" t="n">
        <f aca="false">(SUM(C15:E15)/Q15)/M15</f>
        <v>0.13098821741121</v>
      </c>
      <c r="W15" s="37" t="n">
        <f aca="false">(N15/Q15)/M15</f>
        <v>0.56928305849598</v>
      </c>
      <c r="X15" s="38" t="n">
        <f aca="false">F15/M15</f>
        <v>0.0375108778031335</v>
      </c>
      <c r="Y15" s="38" t="n">
        <f aca="false">G15/M15</f>
        <v>0.00913868292906932</v>
      </c>
      <c r="Z15" s="39" t="n">
        <f aca="false">H15/M15</f>
        <v>1.95431159493167</v>
      </c>
      <c r="AA15" s="40" t="n">
        <f aca="false">C15/F15</f>
        <v>0.876582617862917</v>
      </c>
      <c r="AB15" s="40" t="n">
        <f aca="false">D15/G15</f>
        <v>1.60039867109635</v>
      </c>
      <c r="AC15" s="40" t="n">
        <f aca="false">E15/H15</f>
        <v>0.231191467350971</v>
      </c>
      <c r="AD15" s="40"/>
    </row>
    <row r="16" customFormat="false" ht="18.75" hidden="false" customHeight="true" outlineLevel="0" collapsed="false">
      <c r="A16" s="18" t="n">
        <v>2017</v>
      </c>
      <c r="B16" s="18" t="n">
        <v>2</v>
      </c>
      <c r="C16" s="24" t="n">
        <v>13377.14</v>
      </c>
      <c r="D16" s="24" t="n">
        <f aca="false">128.4+3482.31</f>
        <v>3610.71</v>
      </c>
      <c r="E16" s="25" t="n">
        <v>127903.26</v>
      </c>
      <c r="F16" s="26" t="n">
        <f aca="false">15190.55+70.04</f>
        <v>15260.59</v>
      </c>
      <c r="G16" s="26" t="n">
        <f aca="false">45+2276</f>
        <v>2321</v>
      </c>
      <c r="H16" s="88" t="n">
        <v>535298.4</v>
      </c>
      <c r="I16" s="88"/>
      <c r="J16" s="89" t="n">
        <v>179283</v>
      </c>
      <c r="K16" s="89" t="n">
        <v>278691</v>
      </c>
      <c r="L16" s="90" t="n">
        <f aca="false">K16+J16</f>
        <v>457974</v>
      </c>
      <c r="M16" s="91" t="n">
        <v>275276.2</v>
      </c>
      <c r="N16" s="24" t="n">
        <v>547638</v>
      </c>
      <c r="O16" s="32" t="n">
        <v>240</v>
      </c>
      <c r="P16" s="92" t="n">
        <f aca="false">M16/O16</f>
        <v>1146.98416666667</v>
      </c>
      <c r="Q16" s="93" t="n">
        <f aca="false">'$'!C63</f>
        <v>3.666612</v>
      </c>
      <c r="R16" s="35" t="n">
        <f aca="false">SUM(C16:E16)/Q16</f>
        <v>39516.3464255285</v>
      </c>
      <c r="S16" s="94" t="n">
        <f aca="false">(C16/Q16)/M16</f>
        <v>0.0132534716146942</v>
      </c>
      <c r="T16" s="94" t="n">
        <f aca="false">D16/Q16/M16</f>
        <v>0.00357732986975485</v>
      </c>
      <c r="U16" s="36" t="n">
        <f aca="false">E16/Q16/M16</f>
        <v>0.126720825665041</v>
      </c>
      <c r="V16" s="36" t="n">
        <f aca="false">(SUM(C16:E16)/Q16)/M16</f>
        <v>0.14355162714949</v>
      </c>
      <c r="W16" s="37" t="n">
        <f aca="false">(N16/Q16)/M16</f>
        <v>0.54257522072191</v>
      </c>
      <c r="X16" s="38" t="n">
        <f aca="false">F16/M16</f>
        <v>0.0554373752616463</v>
      </c>
      <c r="Y16" s="38" t="n">
        <f aca="false">G16/M16</f>
        <v>0.00843153167618559</v>
      </c>
      <c r="Z16" s="39" t="n">
        <f aca="false">H16/M16</f>
        <v>1.94458656433066</v>
      </c>
      <c r="AA16" s="40" t="n">
        <f aca="false">C16/F16</f>
        <v>0.876580787505594</v>
      </c>
      <c r="AB16" s="40" t="n">
        <f aca="false">D16/G16</f>
        <v>1.55566996984059</v>
      </c>
      <c r="AC16" s="40" t="n">
        <f aca="false">E16/H16</f>
        <v>0.238938244538</v>
      </c>
      <c r="AD16" s="40"/>
    </row>
    <row r="17" customFormat="false" ht="18.75" hidden="false" customHeight="true" outlineLevel="0" collapsed="false">
      <c r="A17" s="18" t="n">
        <v>2017</v>
      </c>
      <c r="B17" s="18" t="n">
        <v>3</v>
      </c>
      <c r="C17" s="24" t="n">
        <v>12630.24</v>
      </c>
      <c r="D17" s="24" t="n">
        <f aca="false">210.55+3398.24</f>
        <v>3608.79</v>
      </c>
      <c r="E17" s="25" t="n">
        <v>155269.56</v>
      </c>
      <c r="F17" s="26" t="n">
        <f aca="false">14180.51+121.57</f>
        <v>14302.08</v>
      </c>
      <c r="G17" s="26" t="n">
        <f aca="false">32+2203</f>
        <v>2235</v>
      </c>
      <c r="H17" s="88" t="n">
        <v>604290.96</v>
      </c>
      <c r="I17" s="88"/>
      <c r="J17" s="89" t="n">
        <v>291961</v>
      </c>
      <c r="K17" s="89" t="n">
        <v>316996</v>
      </c>
      <c r="L17" s="90" t="n">
        <f aca="false">K17+J17</f>
        <v>608957</v>
      </c>
      <c r="M17" s="91" t="n">
        <v>316993.2</v>
      </c>
      <c r="N17" s="24" t="n">
        <v>635639</v>
      </c>
      <c r="O17" s="32" t="n">
        <v>244</v>
      </c>
      <c r="P17" s="92" t="n">
        <f aca="false">M17/O17</f>
        <v>1299.15245901639</v>
      </c>
      <c r="Q17" s="93" t="n">
        <f aca="false">'$'!C64</f>
        <v>3.599536</v>
      </c>
      <c r="R17" s="35" t="n">
        <f aca="false">SUM(C17:E17)/Q17</f>
        <v>47647.4162225354</v>
      </c>
      <c r="S17" s="94" t="n">
        <f aca="false">(C17/Q17)/M17</f>
        <v>0.0110691719950713</v>
      </c>
      <c r="T17" s="94" t="n">
        <f aca="false">D17/Q17/M17</f>
        <v>0.00316275203037262</v>
      </c>
      <c r="U17" s="36" t="n">
        <f aca="false">E17/Q17/M17</f>
        <v>0.1360786069971</v>
      </c>
      <c r="V17" s="36" t="n">
        <f aca="false">(SUM(C17:E17)/Q17)/M17</f>
        <v>0.150310531022544</v>
      </c>
      <c r="W17" s="37" t="n">
        <f aca="false">(N17/Q17)/M17</f>
        <v>0.55707551224483</v>
      </c>
      <c r="X17" s="38" t="n">
        <f aca="false">F17/M17</f>
        <v>0.0451179394384485</v>
      </c>
      <c r="Y17" s="38" t="n">
        <f aca="false">G17/M17</f>
        <v>0.00705062442979849</v>
      </c>
      <c r="Z17" s="39" t="n">
        <f aca="false">H17/M17</f>
        <v>1.90632152361628</v>
      </c>
      <c r="AA17" s="40" t="n">
        <f aca="false">C17/F17</f>
        <v>0.883105114780507</v>
      </c>
      <c r="AB17" s="40" t="n">
        <f aca="false">D17/G17</f>
        <v>1.6146711409396</v>
      </c>
      <c r="AC17" s="44" t="n">
        <f aca="false">E17/H17</f>
        <v>0.256945031909794</v>
      </c>
      <c r="AD17" s="44"/>
    </row>
    <row r="18" customFormat="false" ht="18.75" hidden="false" customHeight="true" outlineLevel="0" collapsed="false">
      <c r="A18" s="18" t="n">
        <v>2017</v>
      </c>
      <c r="B18" s="18" t="n">
        <v>4</v>
      </c>
      <c r="C18" s="24" t="n">
        <v>14282.24</v>
      </c>
      <c r="D18" s="24" t="n">
        <f aca="false">716.34+3171.27</f>
        <v>3887.61</v>
      </c>
      <c r="E18" s="25" t="n">
        <v>146141.05</v>
      </c>
      <c r="F18" s="26" t="n">
        <f aca="false">16110.24+59.96</f>
        <v>16170.2</v>
      </c>
      <c r="G18" s="26" t="n">
        <f aca="false">108+2035</f>
        <v>2143</v>
      </c>
      <c r="H18" s="88" t="n">
        <v>568764</v>
      </c>
      <c r="I18" s="88"/>
      <c r="J18" s="89" t="n">
        <v>281171</v>
      </c>
      <c r="K18" s="89" t="n">
        <v>343830</v>
      </c>
      <c r="L18" s="90" t="n">
        <f aca="false">K18+J18</f>
        <v>625001</v>
      </c>
      <c r="M18" s="91" t="n">
        <v>343174.8</v>
      </c>
      <c r="N18" s="24" t="n">
        <v>638015</v>
      </c>
      <c r="O18" s="32" t="n">
        <v>245</v>
      </c>
      <c r="P18" s="92" t="n">
        <f aca="false">M18/O18</f>
        <v>1400.71346938776</v>
      </c>
      <c r="Q18" s="93" t="n">
        <f aca="false">'$'!C65</f>
        <v>3.653912</v>
      </c>
      <c r="R18" s="35" t="n">
        <f aca="false">SUM(C18:E18)/Q18</f>
        <v>44968.4885678692</v>
      </c>
      <c r="S18" s="94" t="n">
        <f aca="false">(C18/Q18)/M18</f>
        <v>0.0113899771751927</v>
      </c>
      <c r="T18" s="94" t="n">
        <f aca="false">D18/Q18/M18</f>
        <v>0.00310033924412774</v>
      </c>
      <c r="U18" s="36" t="n">
        <f aca="false">E18/Q18/M18</f>
        <v>0.116546369747231</v>
      </c>
      <c r="V18" s="36" t="n">
        <f aca="false">(SUM(C18:E18)/Q18)/M18</f>
        <v>0.131036686166552</v>
      </c>
      <c r="W18" s="37" t="n">
        <f aca="false">(N18/Q18)/M18</f>
        <v>0.508812083218779</v>
      </c>
      <c r="X18" s="38" t="n">
        <f aca="false">F18/M18</f>
        <v>0.0471194271840473</v>
      </c>
      <c r="Y18" s="38" t="n">
        <f aca="false">G18/M18</f>
        <v>0.00624463101603032</v>
      </c>
      <c r="Z18" s="39" t="n">
        <f aca="false">H18/M18</f>
        <v>1.65735945646359</v>
      </c>
      <c r="AA18" s="40" t="n">
        <f aca="false">C18/F18</f>
        <v>0.883244486771963</v>
      </c>
      <c r="AB18" s="40" t="n">
        <f aca="false">D18/G18</f>
        <v>1.81409706019599</v>
      </c>
      <c r="AC18" s="40" t="n">
        <f aca="false">E18/H18</f>
        <v>0.256944971903988</v>
      </c>
      <c r="AD18" s="40"/>
    </row>
    <row r="19" customFormat="false" ht="18.75" hidden="false" customHeight="true" outlineLevel="0" collapsed="false">
      <c r="A19" s="18" t="n">
        <v>2017</v>
      </c>
      <c r="B19" s="18" t="n">
        <v>5</v>
      </c>
      <c r="C19" s="24" t="n">
        <v>15511.75</v>
      </c>
      <c r="D19" s="24" t="n">
        <f aca="false">770.55+3389.52</f>
        <v>4160.07</v>
      </c>
      <c r="E19" s="25" t="n">
        <v>145512.34</v>
      </c>
      <c r="F19" s="26" t="n">
        <f aca="false">17380.92+179.93</f>
        <v>17560.85</v>
      </c>
      <c r="G19" s="26" t="n">
        <f aca="false">115+2183</f>
        <v>2298</v>
      </c>
      <c r="H19" s="88" t="n">
        <v>566317.08</v>
      </c>
      <c r="I19" s="88"/>
      <c r="J19" s="89" t="n">
        <v>283037</v>
      </c>
      <c r="K19" s="89" t="n">
        <v>316837</v>
      </c>
      <c r="L19" s="90" t="n">
        <f aca="false">K19+J19</f>
        <v>599874</v>
      </c>
      <c r="M19" s="91" t="n">
        <v>320250.4</v>
      </c>
      <c r="N19" s="24" t="n">
        <v>674284</v>
      </c>
      <c r="O19" s="32" t="n">
        <v>244</v>
      </c>
      <c r="P19" s="92" t="n">
        <f aca="false">M19/O19</f>
        <v>1312.50163934426</v>
      </c>
      <c r="Q19" s="93" t="n">
        <f aca="false">'$'!C66</f>
        <v>3.568617</v>
      </c>
      <c r="R19" s="35" t="n">
        <f aca="false">SUM(C19:E19)/Q19</f>
        <v>46288.0045687167</v>
      </c>
      <c r="S19" s="94" t="n">
        <f aca="false">(C19/Q19)/M19</f>
        <v>0.0135728539464134</v>
      </c>
      <c r="T19" s="94" t="n">
        <f aca="false">D19/Q19/M19</f>
        <v>0.00364008074632817</v>
      </c>
      <c r="U19" s="36" t="n">
        <f aca="false">E19/Q19/M19</f>
        <v>0.127323979449182</v>
      </c>
      <c r="V19" s="36" t="n">
        <f aca="false">(SUM(C19:E19)/Q19)/M19</f>
        <v>0.144536914141924</v>
      </c>
      <c r="W19" s="37" t="n">
        <f aca="false">(N19/Q19)/M19</f>
        <v>0.590001660057918</v>
      </c>
      <c r="X19" s="38" t="n">
        <f aca="false">F19/M19</f>
        <v>0.0548347480596433</v>
      </c>
      <c r="Y19" s="38" t="n">
        <f aca="false">G19/M19</f>
        <v>0.0071756350655612</v>
      </c>
      <c r="Z19" s="39" t="n">
        <f aca="false">H19/M19</f>
        <v>1.76835713554144</v>
      </c>
      <c r="AA19" s="40" t="n">
        <f aca="false">C19/F19</f>
        <v>0.883314304262037</v>
      </c>
      <c r="AB19" s="40" t="n">
        <f aca="false">D19/G19</f>
        <v>1.81030026109661</v>
      </c>
      <c r="AC19" s="40" t="n">
        <f aca="false">E19/H19</f>
        <v>0.256944996255455</v>
      </c>
      <c r="AD19" s="40"/>
    </row>
    <row r="20" customFormat="false" ht="18.75" hidden="false" customHeight="true" outlineLevel="0" collapsed="false">
      <c r="A20" s="18" t="n">
        <v>2017</v>
      </c>
      <c r="B20" s="18" t="n">
        <v>6</v>
      </c>
      <c r="C20" s="24" t="n">
        <v>15229.82</v>
      </c>
      <c r="D20" s="24" t="n">
        <f aca="false">3282.41+380.14</f>
        <v>3662.55</v>
      </c>
      <c r="E20" s="25" t="n">
        <v>154482.43</v>
      </c>
      <c r="F20" s="26" t="n">
        <f aca="false">16993.9+246.81</f>
        <v>17240.71</v>
      </c>
      <c r="G20" s="26" t="n">
        <f aca="false">2100+36</f>
        <v>2136</v>
      </c>
      <c r="H20" s="88" t="n">
        <v>554898.96</v>
      </c>
      <c r="I20" s="88"/>
      <c r="J20" s="89" t="n">
        <v>227943</v>
      </c>
      <c r="K20" s="89" t="n">
        <v>280194</v>
      </c>
      <c r="L20" s="90" t="n">
        <f aca="false">K20+J20</f>
        <v>508137</v>
      </c>
      <c r="M20" s="91" t="n">
        <v>277466.9</v>
      </c>
      <c r="N20" s="24" t="n">
        <v>623568</v>
      </c>
      <c r="O20" s="32" t="n">
        <v>254</v>
      </c>
      <c r="P20" s="92" t="n">
        <f aca="false">M20/O20</f>
        <v>1092.38937007874</v>
      </c>
      <c r="Q20" s="93" t="n">
        <f aca="false">'$'!C67</f>
        <v>3.519175</v>
      </c>
      <c r="R20" s="35" t="n">
        <f aca="false">SUM(C20:E20)/Q20</f>
        <v>49265.7512058934</v>
      </c>
      <c r="S20" s="94" t="n">
        <f aca="false">(C20/Q20)/M20</f>
        <v>0.0155970593472935</v>
      </c>
      <c r="T20" s="94" t="n">
        <f aca="false">D20/Q20/M20</f>
        <v>0.00375086571689159</v>
      </c>
      <c r="U20" s="36" t="n">
        <f aca="false">E20/Q20/M20</f>
        <v>0.158207492197814</v>
      </c>
      <c r="V20" s="36" t="n">
        <f aca="false">(SUM(C20:E20)/Q20)/M20</f>
        <v>0.177555417261999</v>
      </c>
      <c r="W20" s="37" t="n">
        <f aca="false">(N20/Q20)/M20</f>
        <v>0.638604205635596</v>
      </c>
      <c r="X20" s="38" t="n">
        <f aca="false">F20/M20</f>
        <v>0.0621360962334606</v>
      </c>
      <c r="Y20" s="38" t="n">
        <f aca="false">G20/M20</f>
        <v>0.00769821553489804</v>
      </c>
      <c r="Z20" s="39" t="n">
        <f aca="false">H20/M20</f>
        <v>1.9998744354732</v>
      </c>
      <c r="AA20" s="40" t="n">
        <f aca="false">C20/F20</f>
        <v>0.883363852184742</v>
      </c>
      <c r="AB20" s="40" t="n">
        <f aca="false">D20/G20</f>
        <v>1.71467696629213</v>
      </c>
      <c r="AC20" s="40" t="n">
        <f aca="false">E20/H20</f>
        <v>0.278397404096775</v>
      </c>
      <c r="AD20" s="40"/>
    </row>
    <row r="21" customFormat="false" ht="18.75" hidden="false" customHeight="true" outlineLevel="0" collapsed="false">
      <c r="A21" s="18" t="n">
        <v>2017</v>
      </c>
      <c r="B21" s="18" t="n">
        <v>7</v>
      </c>
      <c r="C21" s="24" t="n">
        <v>16797.55</v>
      </c>
      <c r="D21" s="24" t="n">
        <f aca="false">3592.15+415.95</f>
        <v>4008.1</v>
      </c>
      <c r="E21" s="25" t="n">
        <v>153414.35</v>
      </c>
      <c r="F21" s="26" t="n">
        <f aca="false">18857.28+157.37</f>
        <v>19014.65</v>
      </c>
      <c r="G21" s="26" t="n">
        <f aca="false">61+2340</f>
        <v>2401</v>
      </c>
      <c r="H21" s="88" t="n">
        <v>599770.08</v>
      </c>
      <c r="I21" s="88"/>
      <c r="J21" s="89" t="n">
        <v>242795</v>
      </c>
      <c r="K21" s="89" t="n">
        <v>288919</v>
      </c>
      <c r="L21" s="90" t="n">
        <f aca="false">K21+J21</f>
        <v>531714</v>
      </c>
      <c r="M21" s="91" t="n">
        <v>285695</v>
      </c>
      <c r="N21" s="24" t="n">
        <v>713259</v>
      </c>
      <c r="O21" s="32" t="n">
        <v>264</v>
      </c>
      <c r="P21" s="92" t="n">
        <f aca="false">M21/O21</f>
        <v>1082.17803030303</v>
      </c>
      <c r="Q21" s="93" t="n">
        <f aca="false">'$'!C68</f>
        <v>3.556397</v>
      </c>
      <c r="R21" s="35" t="n">
        <f aca="false">SUM(C21:E21)/Q21</f>
        <v>48987.7817352787</v>
      </c>
      <c r="S21" s="94" t="n">
        <f aca="false">(C21/Q21)/M21</f>
        <v>0.0165322920048223</v>
      </c>
      <c r="T21" s="94" t="n">
        <f aca="false">D21/Q21/M21</f>
        <v>0.00394480621188972</v>
      </c>
      <c r="U21" s="36" t="n">
        <f aca="false">E21/Q21/M21</f>
        <v>0.150991712001453</v>
      </c>
      <c r="V21" s="36" t="n">
        <f aca="false">(SUM(C21:E21)/Q21)/M21</f>
        <v>0.171468810218165</v>
      </c>
      <c r="W21" s="37" t="n">
        <f aca="false">(N21/Q21)/M21</f>
        <v>0.70199559239696</v>
      </c>
      <c r="X21" s="38" t="n">
        <f aca="false">F21/M21</f>
        <v>0.0665557675143072</v>
      </c>
      <c r="Y21" s="38" t="n">
        <f aca="false">G21/M21</f>
        <v>0.00840406727454103</v>
      </c>
      <c r="Z21" s="39" t="n">
        <f aca="false">H21/M21</f>
        <v>2.0993369852465</v>
      </c>
      <c r="AA21" s="40" t="n">
        <f aca="false">C21/F21</f>
        <v>0.883400430720523</v>
      </c>
      <c r="AB21" s="40" t="n">
        <f aca="false">D21/G21</f>
        <v>1.66934610578925</v>
      </c>
      <c r="AC21" s="40" t="n">
        <f aca="false">E21/H21</f>
        <v>0.255788601525438</v>
      </c>
      <c r="AD21" s="40"/>
    </row>
    <row r="22" customFormat="false" ht="18.75" hidden="false" customHeight="true" outlineLevel="0" collapsed="false">
      <c r="A22" s="18" t="n">
        <v>2017</v>
      </c>
      <c r="B22" s="18" t="n">
        <v>8</v>
      </c>
      <c r="C22" s="24" t="n">
        <v>16369.58</v>
      </c>
      <c r="D22" s="24" t="n">
        <f aca="false">591.63+4024.51</f>
        <v>4616.14</v>
      </c>
      <c r="E22" s="25" t="n">
        <v>156074.32</v>
      </c>
      <c r="F22" s="26" t="n">
        <f aca="false">18183.15+346.95</f>
        <v>18530.1</v>
      </c>
      <c r="G22" s="26" t="n">
        <f aca="false">87+2675</f>
        <v>2762</v>
      </c>
      <c r="H22" s="88" t="n">
        <v>604646.28</v>
      </c>
      <c r="I22" s="88"/>
      <c r="J22" s="89" t="n">
        <v>301749</v>
      </c>
      <c r="K22" s="89" t="n">
        <v>305588</v>
      </c>
      <c r="L22" s="90" t="n">
        <f aca="false">K22+J22</f>
        <v>607337</v>
      </c>
      <c r="M22" s="91" t="n">
        <v>310231.6</v>
      </c>
      <c r="N22" s="24" t="n">
        <v>692928</v>
      </c>
      <c r="O22" s="32" t="n">
        <v>268</v>
      </c>
      <c r="P22" s="92" t="n">
        <f aca="false">M22/O22</f>
        <v>1157.58059701493</v>
      </c>
      <c r="Q22" s="93" t="n">
        <f aca="false">'$'!C69</f>
        <v>3.50946</v>
      </c>
      <c r="R22" s="35" t="n">
        <f aca="false">SUM(C22:E22)/Q22</f>
        <v>50452.2177201051</v>
      </c>
      <c r="S22" s="94" t="n">
        <f aca="false">(C22/Q22)/M22</f>
        <v>0.0150352691605215</v>
      </c>
      <c r="T22" s="94" t="n">
        <f aca="false">D22/Q22/M22</f>
        <v>0.00423987099135408</v>
      </c>
      <c r="U22" s="36" t="n">
        <f aca="false">E22/Q22/M22</f>
        <v>0.143352450719284</v>
      </c>
      <c r="V22" s="36" t="n">
        <f aca="false">(SUM(C22:E22)/Q22)/M22</f>
        <v>0.162627590871159</v>
      </c>
      <c r="W22" s="37" t="n">
        <f aca="false">(N22/Q22)/M22</f>
        <v>0.636446322316264</v>
      </c>
      <c r="X22" s="38" t="n">
        <f aca="false">F22/M22</f>
        <v>0.059729892119307</v>
      </c>
      <c r="Y22" s="38" t="n">
        <f aca="false">G22/M22</f>
        <v>0.00890302599735166</v>
      </c>
      <c r="Z22" s="39" t="n">
        <f aca="false">H22/M22</f>
        <v>1.94901576757493</v>
      </c>
      <c r="AA22" s="40" t="n">
        <f aca="false">C22/F22</f>
        <v>0.883404838613931</v>
      </c>
      <c r="AB22" s="40" t="n">
        <f aca="false">D22/G22</f>
        <v>1.67130340333092</v>
      </c>
      <c r="AC22" s="40" t="n">
        <f aca="false">E22/H22</f>
        <v>0.258124998304794</v>
      </c>
      <c r="AD22" s="40"/>
    </row>
    <row r="23" customFormat="false" ht="18.75" hidden="false" customHeight="true" outlineLevel="0" collapsed="false">
      <c r="A23" s="18" t="n">
        <v>2017</v>
      </c>
      <c r="B23" s="18" t="n">
        <v>9</v>
      </c>
      <c r="C23" s="24" t="n">
        <v>12802.56</v>
      </c>
      <c r="D23" s="24" t="n">
        <f aca="false">476.74+2934.83</f>
        <v>3411.57</v>
      </c>
      <c r="E23" s="25" t="n">
        <v>140792.4</v>
      </c>
      <c r="F23" s="26" t="n">
        <f aca="false">14431.74+59.74</f>
        <v>14491.48</v>
      </c>
      <c r="G23" s="26" t="n">
        <f aca="false">70+1913</f>
        <v>1983</v>
      </c>
      <c r="H23" s="88" t="n">
        <v>560667.24</v>
      </c>
      <c r="I23" s="88"/>
      <c r="J23" s="89" t="n">
        <v>292940</v>
      </c>
      <c r="K23" s="89" t="n">
        <v>287741</v>
      </c>
      <c r="L23" s="90" t="n">
        <f aca="false">K23+J23</f>
        <v>580681</v>
      </c>
      <c r="M23" s="91" t="n">
        <v>287741</v>
      </c>
      <c r="N23" s="24" t="n">
        <v>704628</v>
      </c>
      <c r="O23" s="32" t="n">
        <v>272</v>
      </c>
      <c r="P23" s="92" t="n">
        <f aca="false">M23/O23</f>
        <v>1057.87132352941</v>
      </c>
      <c r="Q23" s="93" t="n">
        <f aca="false">'$'!C70</f>
        <v>3.467228</v>
      </c>
      <c r="R23" s="35" t="n">
        <f aca="false">SUM(C23:E23)/Q23</f>
        <v>45283.0128275383</v>
      </c>
      <c r="S23" s="94" t="n">
        <f aca="false">(C23/Q23)/M23</f>
        <v>0.0128325412828283</v>
      </c>
      <c r="T23" s="94" t="n">
        <f aca="false">D23/Q23/M23</f>
        <v>0.00341955928066408</v>
      </c>
      <c r="U23" s="36" t="n">
        <f aca="false">E23/Q23/M23</f>
        <v>0.141122110367652</v>
      </c>
      <c r="V23" s="36" t="n">
        <f aca="false">(SUM(C23:E23)/Q23)/M23</f>
        <v>0.157374210931144</v>
      </c>
      <c r="W23" s="37" t="n">
        <f aca="false">(N23/Q23)/M23</f>
        <v>0.70627811148995</v>
      </c>
      <c r="X23" s="38" t="n">
        <f aca="false">F23/M23</f>
        <v>0.0503629305521285</v>
      </c>
      <c r="Y23" s="38" t="n">
        <f aca="false">G23/M23</f>
        <v>0.00689161433372373</v>
      </c>
      <c r="Z23" s="39" t="n">
        <f aca="false">H23/M23</f>
        <v>1.94851355906875</v>
      </c>
      <c r="AA23" s="40" t="n">
        <f aca="false">C23/F23</f>
        <v>0.883454277961947</v>
      </c>
      <c r="AB23" s="40" t="n">
        <f aca="false">D23/G23</f>
        <v>1.7204084720121</v>
      </c>
      <c r="AC23" s="40" t="n">
        <f aca="false">E23/H23</f>
        <v>0.251115795529626</v>
      </c>
      <c r="AD23" s="40"/>
    </row>
    <row r="24" customFormat="false" ht="18.75" hidden="false" customHeight="true" outlineLevel="0" collapsed="false">
      <c r="A24" s="18" t="n">
        <v>2017</v>
      </c>
      <c r="B24" s="18" t="n">
        <v>10</v>
      </c>
      <c r="C24" s="24" t="n">
        <v>14369.36</v>
      </c>
      <c r="D24" s="24" t="n">
        <f aca="false">2540.84+383.38</f>
        <v>2924.22</v>
      </c>
      <c r="E24" s="25" t="n">
        <v>139454</v>
      </c>
      <c r="F24" s="26" t="n">
        <f aca="false">15924.64+339.24</f>
        <v>16263.88</v>
      </c>
      <c r="G24" s="26" t="n">
        <f aca="false">1594+56</f>
        <v>1650</v>
      </c>
      <c r="H24" s="88" t="n">
        <v>555337.44</v>
      </c>
      <c r="I24" s="88"/>
      <c r="J24" s="89" t="n">
        <v>261691</v>
      </c>
      <c r="K24" s="89" t="n">
        <v>353516</v>
      </c>
      <c r="L24" s="90" t="n">
        <f aca="false">K24+J24</f>
        <v>615207</v>
      </c>
      <c r="M24" s="91" t="n">
        <v>345207.2</v>
      </c>
      <c r="N24" s="24" t="n">
        <v>746460</v>
      </c>
      <c r="O24" s="32" t="n">
        <v>280</v>
      </c>
      <c r="P24" s="92" t="n">
        <f aca="false">M24/O24</f>
        <v>1232.88285714286</v>
      </c>
      <c r="Q24" s="93" t="n">
        <f aca="false">'$'!C71</f>
        <v>3.672914</v>
      </c>
      <c r="R24" s="35" t="n">
        <f aca="false">SUM(C24:E24)/Q24</f>
        <v>42676.6267873411</v>
      </c>
      <c r="S24" s="94" t="n">
        <f aca="false">(C24/Q24)/M24</f>
        <v>0.0113330504112671</v>
      </c>
      <c r="T24" s="94" t="n">
        <f aca="false">D24/Q24/M24</f>
        <v>0.00230631932623551</v>
      </c>
      <c r="U24" s="36" t="n">
        <f aca="false">E24/Q24/M24</f>
        <v>0.109986750422625</v>
      </c>
      <c r="V24" s="36" t="n">
        <f aca="false">(SUM(C24:E24)/Q24)/M24</f>
        <v>0.123626120160127</v>
      </c>
      <c r="W24" s="37" t="n">
        <f aca="false">(N24/Q24)/M24</f>
        <v>0.588729686638406</v>
      </c>
      <c r="X24" s="38" t="n">
        <f aca="false">F24/M24</f>
        <v>0.0471133858158231</v>
      </c>
      <c r="Y24" s="38" t="n">
        <f aca="false">G24/M24</f>
        <v>0.00477973808194035</v>
      </c>
      <c r="Z24" s="39" t="n">
        <f aca="false">H24/M24</f>
        <v>1.60870758199713</v>
      </c>
      <c r="AA24" s="40" t="n">
        <f aca="false">C24/F24</f>
        <v>0.883513651109083</v>
      </c>
      <c r="AB24" s="40" t="n">
        <f aca="false">D24/G24</f>
        <v>1.77225454545455</v>
      </c>
      <c r="AC24" s="40" t="n">
        <f aca="false">E24/H24</f>
        <v>0.251115790068107</v>
      </c>
      <c r="AD24" s="40"/>
    </row>
    <row r="25" customFormat="false" ht="18.75" hidden="false" customHeight="true" outlineLevel="0" collapsed="false">
      <c r="A25" s="18" t="n">
        <v>2017</v>
      </c>
      <c r="B25" s="18" t="n">
        <v>11</v>
      </c>
      <c r="C25" s="24" t="n">
        <v>17346.77</v>
      </c>
      <c r="D25" s="24" t="n">
        <f aca="false">2329.61+427.22</f>
        <v>2756.83</v>
      </c>
      <c r="E25" s="25" t="n">
        <v>139367.32</v>
      </c>
      <c r="F25" s="26" t="n">
        <f aca="false">19331.6+228.69</f>
        <v>19560.29</v>
      </c>
      <c r="G25" s="26" t="n">
        <f aca="false">62+1423</f>
        <v>1485</v>
      </c>
      <c r="H25" s="88" t="n">
        <v>554992.2</v>
      </c>
      <c r="I25" s="88"/>
      <c r="J25" s="89" t="n">
        <v>296031</v>
      </c>
      <c r="K25" s="89" t="n">
        <v>305789</v>
      </c>
      <c r="L25" s="90" t="n">
        <f aca="false">K25+J25</f>
        <v>601820</v>
      </c>
      <c r="M25" s="91" t="n">
        <v>283358.2</v>
      </c>
      <c r="N25" s="24" t="n">
        <v>640678</v>
      </c>
      <c r="O25" s="32" t="n">
        <v>247</v>
      </c>
      <c r="P25" s="92" t="n">
        <f aca="false">M25/O25</f>
        <v>1147.1991902834</v>
      </c>
      <c r="Q25" s="93" t="n">
        <f aca="false">'$'!C72</f>
        <v>3.889185</v>
      </c>
      <c r="R25" s="35" t="n">
        <f aca="false">SUM(C25:E25)/Q25</f>
        <v>41003.6858622051</v>
      </c>
      <c r="S25" s="94" t="n">
        <f aca="false">(C25/Q25)/M25</f>
        <v>0.0157407069327202</v>
      </c>
      <c r="T25" s="94" t="n">
        <f aca="false">D25/Q25/M25</f>
        <v>0.00250158692905543</v>
      </c>
      <c r="U25" s="36" t="n">
        <f aca="false">E25/Q25/M25</f>
        <v>0.126463897320287</v>
      </c>
      <c r="V25" s="36" t="n">
        <f aca="false">(SUM(C25:E25)/Q25)/M25</f>
        <v>0.144706191182062</v>
      </c>
      <c r="W25" s="37" t="n">
        <f aca="false">(N25/Q25)/M25</f>
        <v>0.581360370618928</v>
      </c>
      <c r="X25" s="38" t="n">
        <f aca="false">F25/M25</f>
        <v>0.0690302592266608</v>
      </c>
      <c r="Y25" s="38" t="n">
        <f aca="false">G25/M25</f>
        <v>0.00524071652064419</v>
      </c>
      <c r="Z25" s="39" t="n">
        <f aca="false">H25/M25</f>
        <v>1.95862410193176</v>
      </c>
      <c r="AA25" s="40" t="n">
        <f aca="false">C25/F25</f>
        <v>0.886836033617089</v>
      </c>
      <c r="AB25" s="40" t="n">
        <f aca="false">D25/G25</f>
        <v>1.85645117845118</v>
      </c>
      <c r="AC25" s="40" t="n">
        <f aca="false">E25/H25</f>
        <v>0.251115817483561</v>
      </c>
      <c r="AD25" s="40"/>
    </row>
    <row r="26" customFormat="false" ht="18.75" hidden="false" customHeight="true" outlineLevel="0" collapsed="false">
      <c r="A26" s="18" t="n">
        <v>2017</v>
      </c>
      <c r="B26" s="18" t="n">
        <v>12</v>
      </c>
      <c r="C26" s="24" t="n">
        <v>18727.8</v>
      </c>
      <c r="D26" s="24" t="n">
        <f aca="false">2842.2+427.22</f>
        <v>3269.42</v>
      </c>
      <c r="E26" s="25" t="n">
        <v>140133.65</v>
      </c>
      <c r="F26" s="26" t="n">
        <f aca="false">20855.66+255.92</f>
        <v>21111.58</v>
      </c>
      <c r="G26" s="26" t="n">
        <f aca="false">1838</f>
        <v>1838</v>
      </c>
      <c r="H26" s="88" t="n">
        <v>558043.92</v>
      </c>
      <c r="I26" s="88"/>
      <c r="J26" s="89" t="n">
        <v>236171</v>
      </c>
      <c r="K26" s="89" t="n">
        <v>380774</v>
      </c>
      <c r="L26" s="90" t="n">
        <f aca="false">K26+J26</f>
        <v>616945</v>
      </c>
      <c r="M26" s="91" t="n">
        <v>349214.5</v>
      </c>
      <c r="N26" s="24" t="n">
        <v>694464</v>
      </c>
      <c r="O26" s="32" t="n">
        <v>259</v>
      </c>
      <c r="P26" s="92" t="n">
        <f aca="false">M26/O26</f>
        <v>1348.31853281853</v>
      </c>
      <c r="Q26" s="93" t="n">
        <f aca="false">'$'!C73</f>
        <v>3.843316</v>
      </c>
      <c r="R26" s="35" t="n">
        <f aca="false">SUM(C26:E26)/Q26</f>
        <v>42185.15209262</v>
      </c>
      <c r="S26" s="94" t="n">
        <f aca="false">(C26/Q26)/M26</f>
        <v>0.0139536684873935</v>
      </c>
      <c r="T26" s="94" t="n">
        <f aca="false">D26/Q26/M26</f>
        <v>0.00243597234197579</v>
      </c>
      <c r="U26" s="36" t="n">
        <f aca="false">E26/Q26/M26</f>
        <v>0.104410475124063</v>
      </c>
      <c r="V26" s="36" t="n">
        <f aca="false">(SUM(C26:E26)/Q26)/M26</f>
        <v>0.120800115953433</v>
      </c>
      <c r="W26" s="37" t="n">
        <f aca="false">(N26/Q26)/M26</f>
        <v>0.517429726525767</v>
      </c>
      <c r="X26" s="38" t="n">
        <f aca="false">F26/M26</f>
        <v>0.0604544771193636</v>
      </c>
      <c r="Y26" s="38" t="n">
        <f aca="false">G26/M26</f>
        <v>0.00526324078753889</v>
      </c>
      <c r="Z26" s="39" t="n">
        <f aca="false">H26/M26</f>
        <v>1.59799756310233</v>
      </c>
      <c r="AA26" s="40" t="n">
        <f aca="false">C26/F26</f>
        <v>0.887086613128908</v>
      </c>
      <c r="AB26" s="40" t="n">
        <f aca="false">D26/G26</f>
        <v>1.77879216539717</v>
      </c>
      <c r="AC26" s="40" t="n">
        <f aca="false">E26/H26</f>
        <v>0.251115808232442</v>
      </c>
      <c r="AD26" s="40"/>
    </row>
    <row r="27" customFormat="false" ht="18.75" hidden="false" customHeight="true" outlineLevel="0" collapsed="false">
      <c r="A27" s="18" t="n">
        <v>2018</v>
      </c>
      <c r="B27" s="18" t="n">
        <v>1</v>
      </c>
      <c r="C27" s="24" t="n">
        <v>24335.71</v>
      </c>
      <c r="D27" s="24" t="n">
        <f aca="false">366.15+3175.69</f>
        <v>3541.84</v>
      </c>
      <c r="E27" s="25" t="n">
        <v>160495.25</v>
      </c>
      <c r="F27" s="26" t="n">
        <f aca="false">24010.8+288.99</f>
        <v>24299.79</v>
      </c>
      <c r="G27" s="26" t="n">
        <f aca="false">51+2108</f>
        <v>2159</v>
      </c>
      <c r="H27" s="88" t="n">
        <v>635722.92</v>
      </c>
      <c r="I27" s="88"/>
      <c r="J27" s="89" t="n">
        <v>390831</v>
      </c>
      <c r="K27" s="89" t="n">
        <v>332879</v>
      </c>
      <c r="L27" s="90" t="n">
        <f aca="false">K27+J27</f>
        <v>723710</v>
      </c>
      <c r="M27" s="91" t="n">
        <v>347726.6</v>
      </c>
      <c r="N27" s="24" t="n">
        <v>802832</v>
      </c>
      <c r="O27" s="32" t="n">
        <v>269</v>
      </c>
      <c r="P27" s="92" t="n">
        <f aca="false">M27/O27</f>
        <v>1292.66394052045</v>
      </c>
      <c r="Q27" s="93" t="n">
        <f aca="false">'$'!C74</f>
        <v>3.772753</v>
      </c>
      <c r="R27" s="35" t="n">
        <f aca="false">SUM(C27:E27)/Q27</f>
        <v>49929.7992738989</v>
      </c>
      <c r="S27" s="94" t="n">
        <f aca="false">(C27/Q27)/M27</f>
        <v>0.0185501631732015</v>
      </c>
      <c r="T27" s="94" t="n">
        <f aca="false">D27/Q27/M27</f>
        <v>0.00269980657779749</v>
      </c>
      <c r="U27" s="36" t="n">
        <f aca="false">E27/Q27/M27</f>
        <v>0.122339273274697</v>
      </c>
      <c r="V27" s="36" t="n">
        <f aca="false">(SUM(C27:E27)/Q27)/M27</f>
        <v>0.143589243025696</v>
      </c>
      <c r="W27" s="37" t="n">
        <f aca="false">(N27/Q27)/M27</f>
        <v>0.611967540732024</v>
      </c>
      <c r="X27" s="38" t="n">
        <f aca="false">F27/M27</f>
        <v>0.0698818842159329</v>
      </c>
      <c r="Y27" s="38" t="n">
        <f aca="false">G27/M27</f>
        <v>0.00620890090088018</v>
      </c>
      <c r="Z27" s="39" t="n">
        <f aca="false">H27/M27</f>
        <v>1.8282263134313</v>
      </c>
      <c r="AA27" s="44" t="n">
        <f aca="false">C27/F27</f>
        <v>1.001478202075</v>
      </c>
      <c r="AB27" s="40" t="n">
        <f aca="false">D27/G27</f>
        <v>1.6405002315887</v>
      </c>
      <c r="AC27" s="40" t="n">
        <f aca="false">E27/H27</f>
        <v>0.252461009271146</v>
      </c>
      <c r="AD27" s="40"/>
    </row>
    <row r="28" customFormat="false" ht="18.75" hidden="false" customHeight="true" outlineLevel="0" collapsed="false">
      <c r="A28" s="18" t="n">
        <v>2018</v>
      </c>
      <c r="B28" s="18" t="n">
        <v>2</v>
      </c>
      <c r="C28" s="24" t="n">
        <v>23410.11</v>
      </c>
      <c r="D28" s="24" t="n">
        <f aca="false">354.22+2854.55</f>
        <v>3208.77</v>
      </c>
      <c r="E28" s="25" t="n">
        <v>153823.48</v>
      </c>
      <c r="F28" s="26" t="n">
        <f aca="false">23098.5+244.28</f>
        <v>23342.78</v>
      </c>
      <c r="G28" s="26" t="n">
        <f aca="false">49+1848</f>
        <v>1897</v>
      </c>
      <c r="H28" s="88" t="n">
        <v>562930.2</v>
      </c>
      <c r="I28" s="88"/>
      <c r="J28" s="89" t="n">
        <v>361096</v>
      </c>
      <c r="K28" s="89" t="n">
        <v>272926</v>
      </c>
      <c r="L28" s="90" t="n">
        <f aca="false">K28+J28</f>
        <v>634022</v>
      </c>
      <c r="M28" s="91" t="n">
        <v>343756.3</v>
      </c>
      <c r="N28" s="24" t="n">
        <v>765154</v>
      </c>
      <c r="O28" s="32" t="n">
        <v>268</v>
      </c>
      <c r="P28" s="92" t="n">
        <f aca="false">M28/O28</f>
        <v>1282.67276119403</v>
      </c>
      <c r="Q28" s="93" t="n">
        <f aca="false">'$'!C75</f>
        <v>3.78455</v>
      </c>
      <c r="R28" s="35" t="n">
        <f aca="false">SUM(C28:E28)/Q28</f>
        <v>47678.683066679</v>
      </c>
      <c r="S28" s="94" t="n">
        <f aca="false">(C28/Q28)/M28</f>
        <v>0.017994448501997</v>
      </c>
      <c r="T28" s="94" t="n">
        <f aca="false">D28/Q28/M28</f>
        <v>0.00246645771932524</v>
      </c>
      <c r="U28" s="36" t="n">
        <f aca="false">E28/Q28/M28</f>
        <v>0.118238175269487</v>
      </c>
      <c r="V28" s="36" t="n">
        <f aca="false">(SUM(C28:E28)/Q28)/M28</f>
        <v>0.138699081490809</v>
      </c>
      <c r="W28" s="37" t="n">
        <f aca="false">(N28/Q28)/M28</f>
        <v>0.588144363657284</v>
      </c>
      <c r="X28" s="38" t="n">
        <f aca="false">F28/M28</f>
        <v>0.0679050245770041</v>
      </c>
      <c r="Y28" s="38" t="n">
        <f aca="false">G28/M28</f>
        <v>0.00551844431651144</v>
      </c>
      <c r="Z28" s="39" t="n">
        <f aca="false">H28/M28</f>
        <v>1.63758511480371</v>
      </c>
      <c r="AA28" s="40" t="n">
        <f aca="false">C28/F28</f>
        <v>1.00288440365715</v>
      </c>
      <c r="AB28" s="40" t="n">
        <f aca="false">D28/G28</f>
        <v>1.69149710068529</v>
      </c>
      <c r="AC28" s="44" t="n">
        <f aca="false">E28/H28</f>
        <v>0.273254979036477</v>
      </c>
      <c r="AD28" s="44"/>
    </row>
    <row r="29" customFormat="false" ht="18.75" hidden="false" customHeight="true" outlineLevel="0" collapsed="false">
      <c r="A29" s="18" t="n">
        <v>2018</v>
      </c>
      <c r="B29" s="18" t="n">
        <v>3</v>
      </c>
      <c r="C29" s="24" t="n">
        <v>23691.45</v>
      </c>
      <c r="D29" s="24" t="n">
        <f aca="false">423.55+3220.15</f>
        <v>3643.7</v>
      </c>
      <c r="E29" s="25" t="n">
        <v>153371.75</v>
      </c>
      <c r="F29" s="26" t="n">
        <f aca="false">23346.9+272.83</f>
        <v>23619.73</v>
      </c>
      <c r="G29" s="26" t="n">
        <f aca="false">2144+58</f>
        <v>2202</v>
      </c>
      <c r="H29" s="88" t="n">
        <v>561277.08</v>
      </c>
      <c r="I29" s="88"/>
      <c r="J29" s="89" t="n">
        <v>445088</v>
      </c>
      <c r="K29" s="89" t="n">
        <v>216671</v>
      </c>
      <c r="L29" s="90" t="n">
        <f aca="false">K29+J29</f>
        <v>661759</v>
      </c>
      <c r="M29" s="91" t="n">
        <v>436277.9</v>
      </c>
      <c r="N29" s="24" t="n">
        <v>834545</v>
      </c>
      <c r="O29" s="32" t="n">
        <v>267</v>
      </c>
      <c r="P29" s="92" t="n">
        <f aca="false">M29/O29</f>
        <v>1633.99962546816</v>
      </c>
      <c r="Q29" s="93" t="n">
        <f aca="false">'$'!C76</f>
        <v>3.889189</v>
      </c>
      <c r="R29" s="35" t="n">
        <f aca="false">SUM(C29:E29)/Q29</f>
        <v>46463.9028856659</v>
      </c>
      <c r="S29" s="94" t="n">
        <f aca="false">(C29/Q29)/M29</f>
        <v>0.0139626991054728</v>
      </c>
      <c r="T29" s="94" t="n">
        <f aca="false">D29/Q29/M29</f>
        <v>0.00214743659550644</v>
      </c>
      <c r="U29" s="36" t="n">
        <f aca="false">E29/Q29/M29</f>
        <v>0.0903905669146378</v>
      </c>
      <c r="V29" s="36" t="n">
        <f aca="false">(SUM(C29:E29)/Q29)/M29</f>
        <v>0.106500702615617</v>
      </c>
      <c r="W29" s="37" t="n">
        <f aca="false">(N29/Q29)/M29</f>
        <v>0.491844134697403</v>
      </c>
      <c r="X29" s="38" t="n">
        <f aca="false">F29/M29</f>
        <v>0.0541391851386467</v>
      </c>
      <c r="Y29" s="95" t="n">
        <f aca="false">G29/M29</f>
        <v>0.00504724167783883</v>
      </c>
      <c r="Z29" s="39" t="n">
        <f aca="false">H29/M29</f>
        <v>1.28651274795262</v>
      </c>
      <c r="AA29" s="40" t="n">
        <f aca="false">C29/F29</f>
        <v>1.00303644453175</v>
      </c>
      <c r="AB29" s="40" t="n">
        <f aca="false">D29/G29</f>
        <v>1.6547229791099</v>
      </c>
      <c r="AC29" s="40" t="n">
        <f aca="false">E29/H29</f>
        <v>0.273254967047648</v>
      </c>
      <c r="AD29" s="40"/>
    </row>
    <row r="30" customFormat="false" ht="18.75" hidden="false" customHeight="true" outlineLevel="0" collapsed="false">
      <c r="A30" s="18" t="n">
        <v>2018</v>
      </c>
      <c r="B30" s="18" t="n">
        <v>4</v>
      </c>
      <c r="C30" s="24" t="n">
        <f aca="false">18826.17</f>
        <v>18826.17</v>
      </c>
      <c r="D30" s="24" t="n">
        <f aca="false">308.96+2587.89</f>
        <v>2896.85</v>
      </c>
      <c r="E30" s="25" t="n">
        <v>146695.18</v>
      </c>
      <c r="F30" s="26" t="n">
        <f aca="false">16913.41+275.93</f>
        <v>17189.34</v>
      </c>
      <c r="G30" s="26" t="n">
        <f aca="false">42+1588</f>
        <v>1630</v>
      </c>
      <c r="H30" s="88" t="n">
        <v>464138.64</v>
      </c>
      <c r="I30" s="88"/>
      <c r="J30" s="89" t="n">
        <v>344050</v>
      </c>
      <c r="K30" s="89" t="n">
        <v>200725</v>
      </c>
      <c r="L30" s="90" t="n">
        <f aca="false">K30+J30</f>
        <v>544775</v>
      </c>
      <c r="M30" s="91" t="n">
        <v>341333.5</v>
      </c>
      <c r="N30" s="24" t="n">
        <v>778053</v>
      </c>
      <c r="O30" s="32" t="n">
        <v>258</v>
      </c>
      <c r="P30" s="92" t="n">
        <f aca="false">M30/O30</f>
        <v>1322.9980620155</v>
      </c>
      <c r="Q30" s="93" t="n">
        <f aca="false">'$'!C77</f>
        <v>4.060187</v>
      </c>
      <c r="R30" s="35" t="n">
        <f aca="false">SUM(C30:E30)/Q30</f>
        <v>41480.4047202752</v>
      </c>
      <c r="S30" s="94" t="n">
        <f aca="false">(C30/Q30)/M30</f>
        <v>0.0135842925438744</v>
      </c>
      <c r="T30" s="94" t="n">
        <f aca="false">D30/Q30/M30</f>
        <v>0.0020902635987948</v>
      </c>
      <c r="U30" s="36" t="n">
        <f aca="false">E30/Q30/M30</f>
        <v>0.105850007723096</v>
      </c>
      <c r="V30" s="36" t="n">
        <f aca="false">(SUM(C30:E30)/Q30)/M30</f>
        <v>0.121524563865765</v>
      </c>
      <c r="W30" s="37" t="n">
        <f aca="false">(N30/Q30)/M30</f>
        <v>0.561415283439974</v>
      </c>
      <c r="X30" s="38" t="n">
        <f aca="false">F30/M30</f>
        <v>0.0503593699417139</v>
      </c>
      <c r="Y30" s="38" t="n">
        <f aca="false">G30/M30</f>
        <v>0.00477538829326744</v>
      </c>
      <c r="Z30" s="39" t="n">
        <f aca="false">H30/M30</f>
        <v>1.35978050791967</v>
      </c>
      <c r="AA30" s="44" t="n">
        <f aca="false">C30/F30</f>
        <v>1.09522355134054</v>
      </c>
      <c r="AB30" s="40" t="n">
        <f aca="false">D30/G30</f>
        <v>1.77720858895706</v>
      </c>
      <c r="AC30" s="44" t="n">
        <f aca="false">E30/H30</f>
        <v>0.316058968932214</v>
      </c>
      <c r="AD30" s="44"/>
    </row>
    <row r="31" customFormat="false" ht="18.75" hidden="false" customHeight="true" outlineLevel="0" collapsed="false">
      <c r="A31" s="18" t="n">
        <v>2018</v>
      </c>
      <c r="B31" s="18" t="n">
        <v>5</v>
      </c>
      <c r="C31" s="24" t="n">
        <v>23768.02</v>
      </c>
      <c r="D31" s="24" t="n">
        <f aca="false">371.44+3028.83</f>
        <v>3400.27</v>
      </c>
      <c r="E31" s="25" t="n">
        <v>183975.24</v>
      </c>
      <c r="F31" s="26" t="n">
        <f aca="false">21675.49-5.86</f>
        <v>21669.63</v>
      </c>
      <c r="G31" s="26" t="n">
        <f aca="false">50+1945</f>
        <v>1995</v>
      </c>
      <c r="H31" s="88" t="n">
        <v>594210.96</v>
      </c>
      <c r="I31" s="88"/>
      <c r="J31" s="89" t="n">
        <v>415586</v>
      </c>
      <c r="K31" s="89" t="n">
        <v>302761</v>
      </c>
      <c r="L31" s="90" t="n">
        <f aca="false">K31+J31</f>
        <v>718347</v>
      </c>
      <c r="M31" s="91" t="n">
        <v>402254.7</v>
      </c>
      <c r="N31" s="24" t="n">
        <v>826644</v>
      </c>
      <c r="O31" s="32" t="n">
        <v>264</v>
      </c>
      <c r="P31" s="92" t="n">
        <f aca="false">M31/O31</f>
        <v>1523.69204545455</v>
      </c>
      <c r="Q31" s="93" t="n">
        <f aca="false">'$'!C78</f>
        <v>4.417734</v>
      </c>
      <c r="R31" s="35" t="n">
        <f aca="false">SUM(C31:E31)/Q31</f>
        <v>47794.5322194591</v>
      </c>
      <c r="S31" s="94" t="n">
        <f aca="false">(C31/Q31)/M31</f>
        <v>0.0133749545357912</v>
      </c>
      <c r="T31" s="94" t="n">
        <f aca="false">D31/Q31/M31</f>
        <v>0.00191343059537205</v>
      </c>
      <c r="U31" s="36" t="n">
        <f aca="false">E31/Q31/M31</f>
        <v>0.10352820599744</v>
      </c>
      <c r="V31" s="36" t="n">
        <f aca="false">(SUM(C31:E31)/Q31)/M31</f>
        <v>0.118816591128604</v>
      </c>
      <c r="W31" s="37" t="n">
        <f aca="false">(N31/Q31)/M31</f>
        <v>0.465176565708234</v>
      </c>
      <c r="X31" s="38" t="n">
        <f aca="false">F31/M31</f>
        <v>0.0538704209049639</v>
      </c>
      <c r="Y31" s="38" t="n">
        <f aca="false">G31/M31</f>
        <v>0.0049595442887305</v>
      </c>
      <c r="Z31" s="39" t="n">
        <f aca="false">H31/M31</f>
        <v>1.47720078845567</v>
      </c>
      <c r="AA31" s="40" t="n">
        <f aca="false">C31/F31</f>
        <v>1.09683552511049</v>
      </c>
      <c r="AB31" s="40" t="n">
        <f aca="false">D31/G31</f>
        <v>1.70439598997494</v>
      </c>
      <c r="AC31" s="40" t="n">
        <f aca="false">E31/H31</f>
        <v>0.309612666854883</v>
      </c>
      <c r="AD31" s="40"/>
    </row>
    <row r="32" customFormat="false" ht="18.75" hidden="false" customHeight="true" outlineLevel="0" collapsed="false">
      <c r="A32" s="18" t="n">
        <v>2018</v>
      </c>
      <c r="B32" s="18" t="n">
        <v>6</v>
      </c>
      <c r="C32" s="24" t="n">
        <v>21870.57</v>
      </c>
      <c r="D32" s="24" t="n">
        <f aca="false">2957.2+332.99</f>
        <v>3290.19</v>
      </c>
      <c r="E32" s="25" t="n">
        <v>170052.95</v>
      </c>
      <c r="F32" s="26" t="n">
        <f aca="false">19634.07+301.95</f>
        <v>19936.02</v>
      </c>
      <c r="G32" s="26" t="n">
        <f aca="false">1887+44</f>
        <v>1931</v>
      </c>
      <c r="H32" s="88" t="n">
        <v>511048.44</v>
      </c>
      <c r="I32" s="88"/>
      <c r="J32" s="89" t="n">
        <v>280786</v>
      </c>
      <c r="K32" s="89" t="n">
        <v>221122</v>
      </c>
      <c r="L32" s="90" t="n">
        <f aca="false">K32+J32</f>
        <v>501908</v>
      </c>
      <c r="M32" s="91" t="n">
        <v>282138.5</v>
      </c>
      <c r="N32" s="24" t="n">
        <v>772215</v>
      </c>
      <c r="O32" s="32" t="n">
        <v>263</v>
      </c>
      <c r="P32" s="92" t="n">
        <f aca="false">M32/O32</f>
        <v>1072.76996197719</v>
      </c>
      <c r="Q32" s="93" t="n">
        <f aca="false">'$'!C79</f>
        <v>4.629054</v>
      </c>
      <c r="R32" s="35" t="n">
        <f aca="false">SUM(C32:E32)/Q32</f>
        <v>42171.4047837852</v>
      </c>
      <c r="S32" s="94" t="n">
        <f aca="false">(C32/Q32)/M32</f>
        <v>0.0167457846471344</v>
      </c>
      <c r="T32" s="94" t="n">
        <f aca="false">D32/Q32/M32</f>
        <v>0.0025192216384006</v>
      </c>
      <c r="U32" s="36" t="n">
        <f aca="false">E32/Q32/M32</f>
        <v>0.130205572114028</v>
      </c>
      <c r="V32" s="36" t="n">
        <f aca="false">(SUM(C32:E32)/Q32)/M32</f>
        <v>0.149470578399563</v>
      </c>
      <c r="W32" s="37" t="n">
        <f aca="false">(N32/Q32)/M32</f>
        <v>0.591266989899525</v>
      </c>
      <c r="X32" s="38" t="n">
        <f aca="false">F32/M32</f>
        <v>0.0706604026036858</v>
      </c>
      <c r="Y32" s="38" t="n">
        <f aca="false">G32/M32</f>
        <v>0.00684415632747746</v>
      </c>
      <c r="Z32" s="39" t="n">
        <f aca="false">H32/M32</f>
        <v>1.81133889915768</v>
      </c>
      <c r="AA32" s="40" t="n">
        <f aca="false">C32/F32</f>
        <v>1.0970379243199</v>
      </c>
      <c r="AB32" s="40" t="n">
        <f aca="false">D32/G32</f>
        <v>1.70387881926463</v>
      </c>
      <c r="AC32" s="40" t="n">
        <f aca="false">E32/H32</f>
        <v>0.332753094794693</v>
      </c>
      <c r="AD32" s="40"/>
    </row>
    <row r="33" customFormat="false" ht="18.75" hidden="false" customHeight="true" outlineLevel="0" collapsed="false">
      <c r="A33" s="18" t="n">
        <v>2018</v>
      </c>
      <c r="B33" s="18" t="n">
        <v>7</v>
      </c>
      <c r="C33" s="24" t="n">
        <v>22795.49</v>
      </c>
      <c r="D33" s="24" t="n">
        <f aca="false">492.18+3426.55</f>
        <v>3918.73</v>
      </c>
      <c r="E33" s="25" t="n">
        <v>211004.73</v>
      </c>
      <c r="F33" s="26" t="n">
        <f aca="false">20383.66+392.01</f>
        <v>20775.67</v>
      </c>
      <c r="G33" s="26" t="n">
        <f aca="false">64+2267</f>
        <v>2331</v>
      </c>
      <c r="H33" s="88" t="n">
        <v>575517.6</v>
      </c>
      <c r="I33" s="88"/>
      <c r="J33" s="89" t="n">
        <v>328702</v>
      </c>
      <c r="K33" s="89" t="n">
        <v>210393</v>
      </c>
      <c r="L33" s="90" t="n">
        <f aca="false">K33+J33</f>
        <v>539095</v>
      </c>
      <c r="M33" s="91" t="n">
        <v>329180.8</v>
      </c>
      <c r="N33" s="24" t="n">
        <v>864736</v>
      </c>
      <c r="O33" s="32" t="n">
        <v>277</v>
      </c>
      <c r="P33" s="92" t="n">
        <f aca="false">M33/O33</f>
        <v>1188.37833935018</v>
      </c>
      <c r="Q33" s="93" t="n">
        <f aca="false">'$'!C80</f>
        <v>4.761595</v>
      </c>
      <c r="R33" s="35" t="n">
        <f aca="false">SUM(C33:E33)/Q33</f>
        <v>49924.227070971</v>
      </c>
      <c r="S33" s="94" t="n">
        <f aca="false">(C33/Q33)/M33</f>
        <v>0.014543267159108</v>
      </c>
      <c r="T33" s="94" t="n">
        <f aca="false">D33/Q33/M33</f>
        <v>0.00250010582419642</v>
      </c>
      <c r="U33" s="36" t="n">
        <f aca="false">E33/Q33/M33</f>
        <v>0.134618653085564</v>
      </c>
      <c r="V33" s="36" t="n">
        <f aca="false">(SUM(C33:E33)/Q33)/M33</f>
        <v>0.151662026068868</v>
      </c>
      <c r="W33" s="37" t="n">
        <f aca="false">(N33/Q33)/M33</f>
        <v>0.551691877213361</v>
      </c>
      <c r="X33" s="38" t="n">
        <f aca="false">F33/M33</f>
        <v>0.0631132496184468</v>
      </c>
      <c r="Y33" s="38" t="n">
        <f aca="false">G33/M33</f>
        <v>0.00708121494327737</v>
      </c>
      <c r="Z33" s="39" t="n">
        <f aca="false">H33/M33</f>
        <v>1.74833283107642</v>
      </c>
      <c r="AA33" s="40" t="n">
        <f aca="false">C33/F33</f>
        <v>1.09722045065213</v>
      </c>
      <c r="AB33" s="40" t="n">
        <f aca="false">D33/G33</f>
        <v>1.68113685113685</v>
      </c>
      <c r="AC33" s="44" t="n">
        <f aca="false">E33/H33</f>
        <v>0.366634712821988</v>
      </c>
      <c r="AD33" s="44"/>
    </row>
    <row r="34" customFormat="false" ht="18.75" hidden="false" customHeight="true" outlineLevel="0" collapsed="false">
      <c r="A34" s="18" t="n">
        <v>2018</v>
      </c>
      <c r="B34" s="18" t="n">
        <v>8</v>
      </c>
      <c r="C34" s="24" t="n">
        <v>20654.12</v>
      </c>
      <c r="D34" s="24" t="n">
        <f aca="false">3582.98+473.47</f>
        <v>4056.45</v>
      </c>
      <c r="E34" s="25" t="n">
        <v>223954.49</v>
      </c>
      <c r="F34" s="26" t="n">
        <f aca="false">16359.28+250.44</f>
        <v>16609.72</v>
      </c>
      <c r="G34" s="26" t="n">
        <f aca="false">2110+60</f>
        <v>2170</v>
      </c>
      <c r="H34" s="88" t="n">
        <v>516237.12</v>
      </c>
      <c r="I34" s="88"/>
      <c r="J34" s="89" t="n">
        <v>270614</v>
      </c>
      <c r="K34" s="89" t="n">
        <v>187148</v>
      </c>
      <c r="L34" s="90" t="n">
        <f aca="false">K34+J34</f>
        <v>457762</v>
      </c>
      <c r="M34" s="91" t="n">
        <v>268629</v>
      </c>
      <c r="N34" s="24" t="n">
        <v>818904</v>
      </c>
      <c r="O34" s="32" t="n">
        <v>270</v>
      </c>
      <c r="P34" s="92" t="n">
        <f aca="false">M34/O34</f>
        <v>994.922222222222</v>
      </c>
      <c r="Q34" s="93" t="n">
        <f aca="false">'$'!C81</f>
        <v>5.888005</v>
      </c>
      <c r="R34" s="35" t="n">
        <f aca="false">SUM(C34:E34)/Q34</f>
        <v>42232.4811205154</v>
      </c>
      <c r="S34" s="94" t="n">
        <f aca="false">(C34/Q34)/M34</f>
        <v>0.0130582695898023</v>
      </c>
      <c r="T34" s="94" t="n">
        <f aca="false">D34/Q34/M34</f>
        <v>0.00256463202874553</v>
      </c>
      <c r="U34" s="36" t="n">
        <f aca="false">E34/Q34/M34</f>
        <v>0.141591997444902</v>
      </c>
      <c r="V34" s="36" t="n">
        <f aca="false">(SUM(C34:E34)/Q34)/M34</f>
        <v>0.157214899063449</v>
      </c>
      <c r="W34" s="37" t="n">
        <f aca="false">(N34/Q34)/M34</f>
        <v>0.517740247474474</v>
      </c>
      <c r="X34" s="38" t="n">
        <f aca="false">F34/M34</f>
        <v>0.061831447833257</v>
      </c>
      <c r="Y34" s="38" t="n">
        <f aca="false">G34/M34</f>
        <v>0.00807805560829248</v>
      </c>
      <c r="Z34" s="39" t="n">
        <f aca="false">H34/M34</f>
        <v>1.92174754028791</v>
      </c>
      <c r="AA34" s="44" t="n">
        <f aca="false">C34/F34</f>
        <v>1.2434959770544</v>
      </c>
      <c r="AB34" s="44" t="n">
        <f aca="false">D34/G34</f>
        <v>1.86933179723502</v>
      </c>
      <c r="AC34" s="44" t="n">
        <f aca="false">E34/H34</f>
        <v>0.433820973586711</v>
      </c>
      <c r="AD34" s="44"/>
    </row>
    <row r="35" customFormat="false" ht="18.75" hidden="false" customHeight="true" outlineLevel="0" collapsed="false">
      <c r="A35" s="18" t="n">
        <v>2018</v>
      </c>
      <c r="B35" s="18" t="n">
        <v>9</v>
      </c>
      <c r="C35" s="24" t="n">
        <v>38889.29</v>
      </c>
      <c r="D35" s="24" t="n">
        <f aca="false">452.27+4482.53</f>
        <v>4934.8</v>
      </c>
      <c r="E35" s="25" t="n">
        <v>284404.84</v>
      </c>
      <c r="F35" s="26" t="n">
        <f aca="false">27074.44+182.19</f>
        <v>27256.63</v>
      </c>
      <c r="G35" s="26" t="n">
        <f aca="false">57+2752</f>
        <v>2809</v>
      </c>
      <c r="H35" s="88" t="n">
        <v>573027.84</v>
      </c>
      <c r="I35" s="88"/>
      <c r="J35" s="89" t="n">
        <v>309681</v>
      </c>
      <c r="K35" s="89" t="n">
        <v>220181</v>
      </c>
      <c r="L35" s="90" t="n">
        <f aca="false">K35+J35</f>
        <v>529862</v>
      </c>
      <c r="M35" s="91" t="n">
        <v>302063.9</v>
      </c>
      <c r="N35" s="24" t="n">
        <v>838169</v>
      </c>
      <c r="O35" s="32" t="n">
        <v>290</v>
      </c>
      <c r="P35" s="92" t="n">
        <f aca="false">M35/O35</f>
        <v>1041.59965517241</v>
      </c>
      <c r="Q35" s="93" t="n">
        <f aca="false">'$'!C82</f>
        <v>6.333883</v>
      </c>
      <c r="R35" s="35" t="n">
        <f aca="false">SUM(C35:E35)/Q35</f>
        <v>51821.122998325</v>
      </c>
      <c r="S35" s="94" t="n">
        <f aca="false">(C35/Q35)/M35</f>
        <v>0.0203264320346023</v>
      </c>
      <c r="T35" s="94" t="n">
        <f aca="false">D35/Q35/M35</f>
        <v>0.00257929308568902</v>
      </c>
      <c r="U35" s="36" t="n">
        <f aca="false">E35/Q35/M35</f>
        <v>0.148651097784813</v>
      </c>
      <c r="V35" s="36" t="n">
        <f aca="false">(SUM(C35:E35)/Q35)/M35</f>
        <v>0.171556822905104</v>
      </c>
      <c r="W35" s="37" t="n">
        <f aca="false">(N35/Q35)/M35</f>
        <v>0.438089386872595</v>
      </c>
      <c r="X35" s="38" t="n">
        <f aca="false">F35/M35</f>
        <v>0.0902346490262491</v>
      </c>
      <c r="Y35" s="38" t="n">
        <f aca="false">G35/M35</f>
        <v>0.00929935685793635</v>
      </c>
      <c r="Z35" s="39" t="n">
        <f aca="false">H35/M35</f>
        <v>1.89704178486737</v>
      </c>
      <c r="AA35" s="44" t="n">
        <f aca="false">C35/F35</f>
        <v>1.42678276808248</v>
      </c>
      <c r="AB35" s="40" t="n">
        <f aca="false">D35/G35</f>
        <v>1.75678177287291</v>
      </c>
      <c r="AC35" s="44" t="n">
        <f aca="false">E35/H35</f>
        <v>0.496319410938219</v>
      </c>
      <c r="AD35" s="44"/>
    </row>
    <row r="36" customFormat="false" ht="18.75" hidden="false" customHeight="true" outlineLevel="0" collapsed="false">
      <c r="A36" s="18" t="n">
        <v>2018</v>
      </c>
      <c r="B36" s="18" t="n">
        <v>10</v>
      </c>
      <c r="C36" s="24" t="n">
        <v>43183.96</v>
      </c>
      <c r="D36" s="24" t="n">
        <f aca="false">5340.73+503.26</f>
        <v>5843.99</v>
      </c>
      <c r="E36" s="25" t="n">
        <v>288125.74</v>
      </c>
      <c r="F36" s="26" t="n">
        <f aca="false">24787.8+333.67</f>
        <v>25121.47</v>
      </c>
      <c r="G36" s="26" t="n">
        <f aca="false">2930+62</f>
        <v>2992</v>
      </c>
      <c r="H36" s="88" t="n">
        <v>606561.48</v>
      </c>
      <c r="I36" s="88"/>
      <c r="J36" s="89" t="n">
        <v>332141</v>
      </c>
      <c r="K36" s="89" t="n">
        <v>199716</v>
      </c>
      <c r="L36" s="90" t="n">
        <f aca="false">K36+J36</f>
        <v>531857</v>
      </c>
      <c r="M36" s="91" t="n">
        <v>326761.4</v>
      </c>
      <c r="N36" s="24" t="n">
        <v>899855</v>
      </c>
      <c r="O36" s="32" t="n">
        <v>266</v>
      </c>
      <c r="P36" s="92" t="n">
        <f aca="false">M36/O36</f>
        <v>1228.42631578947</v>
      </c>
      <c r="Q36" s="93" t="n">
        <f aca="false">'$'!C83</f>
        <v>5.831909</v>
      </c>
      <c r="R36" s="35" t="n">
        <f aca="false">SUM(C36:E36)/Q36</f>
        <v>57811.8914406929</v>
      </c>
      <c r="S36" s="94" t="n">
        <f aca="false">(C36/Q36)/M36</f>
        <v>0.0226610995219566</v>
      </c>
      <c r="T36" s="94" t="n">
        <f aca="false">D36/Q36/M36</f>
        <v>0.00306667658536454</v>
      </c>
      <c r="U36" s="36" t="n">
        <f aca="false">E36/Q36/M36</f>
        <v>0.151196093850063</v>
      </c>
      <c r="V36" s="36" t="n">
        <f aca="false">(SUM(C36:E36)/Q36)/M36</f>
        <v>0.176923869957385</v>
      </c>
      <c r="W36" s="37" t="n">
        <f aca="false">(N36/Q36)/M36</f>
        <v>0.472205506635571</v>
      </c>
      <c r="X36" s="38" t="n">
        <f aca="false">F36/M36</f>
        <v>0.076880163936132</v>
      </c>
      <c r="Y36" s="38" t="n">
        <f aca="false">G36/M36</f>
        <v>0.00915652828026811</v>
      </c>
      <c r="Z36" s="39" t="n">
        <f aca="false">H36/M36</f>
        <v>1.85628253520765</v>
      </c>
      <c r="AA36" s="44" t="n">
        <f aca="false">C36/F36</f>
        <v>1.71900609319439</v>
      </c>
      <c r="AB36" s="44" t="n">
        <f aca="false">D36/G36</f>
        <v>1.95320521390374</v>
      </c>
      <c r="AC36" s="40" t="n">
        <f aca="false">E36/H36</f>
        <v>0.475014898737058</v>
      </c>
      <c r="AD36" s="40"/>
    </row>
    <row r="37" customFormat="false" ht="18.75" hidden="false" customHeight="true" outlineLevel="0" collapsed="false">
      <c r="A37" s="18" t="n">
        <v>2018</v>
      </c>
      <c r="B37" s="18" t="n">
        <v>11</v>
      </c>
      <c r="C37" s="24" t="n">
        <v>49224.01</v>
      </c>
      <c r="D37" s="24" t="n">
        <f aca="false">4824.24+543.6</f>
        <v>5367.84</v>
      </c>
      <c r="E37" s="25" t="n">
        <v>225884.14</v>
      </c>
      <c r="F37" s="26" t="n">
        <f aca="false">27824.85+732.92</f>
        <v>28557.77</v>
      </c>
      <c r="G37" s="26" t="n">
        <f aca="false">2609+63</f>
        <v>2672</v>
      </c>
      <c r="H37" s="88" t="n">
        <v>526176</v>
      </c>
      <c r="I37" s="88"/>
      <c r="J37" s="89" t="n">
        <v>302320</v>
      </c>
      <c r="K37" s="89" t="n">
        <v>179378</v>
      </c>
      <c r="L37" s="90" t="n">
        <f aca="false">K37+J37</f>
        <v>481698</v>
      </c>
      <c r="M37" s="91" t="n">
        <v>285073.7</v>
      </c>
      <c r="N37" s="24" t="n">
        <v>753541</v>
      </c>
      <c r="O37" s="32" t="n">
        <v>261</v>
      </c>
      <c r="P37" s="92" t="n">
        <f aca="false">M37/O37</f>
        <v>1092.23639846743</v>
      </c>
      <c r="Q37" s="93" t="n">
        <f aca="false">'$'!C84</f>
        <v>5.374481</v>
      </c>
      <c r="R37" s="35" t="n">
        <f aca="false">SUM(C37:E37)/Q37</f>
        <v>52186.6185776822</v>
      </c>
      <c r="S37" s="94" t="n">
        <f aca="false">(C37/Q37)/M37</f>
        <v>0.0321279715012639</v>
      </c>
      <c r="T37" s="94" t="n">
        <f aca="false">D37/Q37/M37</f>
        <v>0.00350353030042339</v>
      </c>
      <c r="U37" s="36" t="n">
        <f aca="false">E37/Q37/M37</f>
        <v>0.147432100970796</v>
      </c>
      <c r="V37" s="36" t="n">
        <f aca="false">(SUM(C37:E37)/Q37)/M37</f>
        <v>0.183063602772484</v>
      </c>
      <c r="W37" s="37" t="n">
        <f aca="false">(N37/Q37)/M37</f>
        <v>0.491827946829888</v>
      </c>
      <c r="X37" s="38" t="n">
        <f aca="false">F37/M37</f>
        <v>0.100176796386338</v>
      </c>
      <c r="Y37" s="38" t="n">
        <f aca="false">G37/M37</f>
        <v>0.00937301476776006</v>
      </c>
      <c r="Z37" s="39" t="n">
        <f aca="false">H37/M37</f>
        <v>1.84575427336861</v>
      </c>
      <c r="AA37" s="40" t="n">
        <f aca="false">C37/F37</f>
        <v>1.72366434774144</v>
      </c>
      <c r="AB37" s="44" t="n">
        <f aca="false">D37/G37</f>
        <v>2.00892215568862</v>
      </c>
      <c r="AC37" s="40" t="n">
        <f aca="false">E37/H37</f>
        <v>0.429293886456243</v>
      </c>
      <c r="AD37" s="40"/>
    </row>
    <row r="38" customFormat="false" ht="18.75" hidden="false" customHeight="true" outlineLevel="0" collapsed="false">
      <c r="A38" s="18" t="n">
        <v>2018</v>
      </c>
      <c r="B38" s="18" t="n">
        <v>12</v>
      </c>
      <c r="C38" s="24" t="n">
        <v>49265.63</v>
      </c>
      <c r="D38" s="24" t="n">
        <f aca="false">416.36+4487.99</f>
        <v>4904.35</v>
      </c>
      <c r="E38" s="25" t="n">
        <v>220034.58</v>
      </c>
      <c r="F38" s="26" t="n">
        <f aca="false">28453.43+400.46</f>
        <v>28853.89</v>
      </c>
      <c r="G38" s="26" t="n">
        <f aca="false">47+2400</f>
        <v>2447</v>
      </c>
      <c r="H38" s="88" t="n">
        <v>561284.64</v>
      </c>
      <c r="I38" s="88"/>
      <c r="J38" s="89" t="n">
        <v>286865</v>
      </c>
      <c r="K38" s="89" t="n">
        <v>254628</v>
      </c>
      <c r="L38" s="90" t="n">
        <f aca="false">K38+J38</f>
        <v>541493</v>
      </c>
      <c r="M38" s="91" t="n">
        <v>276469.7</v>
      </c>
      <c r="N38" s="24" t="n">
        <v>928241</v>
      </c>
      <c r="O38" s="32" t="n">
        <v>269</v>
      </c>
      <c r="P38" s="92" t="n">
        <f aca="false">M38/O38</f>
        <v>1027.76840148699</v>
      </c>
      <c r="Q38" s="93" t="n">
        <f aca="false">'$'!C85</f>
        <v>5.309368</v>
      </c>
      <c r="R38" s="35" t="n">
        <f aca="false">SUM(C38:E38)/Q38</f>
        <v>51645.4237114474</v>
      </c>
      <c r="S38" s="94" t="n">
        <f aca="false">(C38/Q38)/M38</f>
        <v>0.0335624512022943</v>
      </c>
      <c r="T38" s="94" t="n">
        <f aca="false">D38/Q38/M38</f>
        <v>0.00334111240542284</v>
      </c>
      <c r="U38" s="36" t="n">
        <f aca="false">E38/Q38/M38</f>
        <v>0.149899632950341</v>
      </c>
      <c r="V38" s="36" t="n">
        <f aca="false">(SUM(C38:E38)/Q38)/M38</f>
        <v>0.186803196558058</v>
      </c>
      <c r="W38" s="37" t="n">
        <f aca="false">(N38/Q38)/M38</f>
        <v>0.632368717632736</v>
      </c>
      <c r="X38" s="38" t="n">
        <f aca="false">F38/M38</f>
        <v>0.10436546934438</v>
      </c>
      <c r="Y38" s="38" t="n">
        <f aca="false">G38/M38</f>
        <v>0.00885087949963414</v>
      </c>
      <c r="Z38" s="39" t="n">
        <f aca="false">H38/M38</f>
        <v>2.03018500761566</v>
      </c>
      <c r="AA38" s="40" t="n">
        <f aca="false">C38/F38</f>
        <v>1.70741726678794</v>
      </c>
      <c r="AB38" s="40" t="n">
        <f aca="false">D38/G38</f>
        <v>2.00422966898243</v>
      </c>
      <c r="AC38" s="40" t="n">
        <f aca="false">E38/H38</f>
        <v>0.392019599894984</v>
      </c>
      <c r="AD38" s="40"/>
    </row>
    <row r="39" customFormat="false" ht="18.75" hidden="false" customHeight="true" outlineLevel="0" collapsed="false">
      <c r="A39" s="18" t="n">
        <v>2019</v>
      </c>
      <c r="B39" s="18" t="n">
        <v>1</v>
      </c>
      <c r="C39" s="24" t="n">
        <v>44021.2</v>
      </c>
      <c r="D39" s="24" t="n">
        <f aca="false">366.6+4174.25</f>
        <v>4540.85</v>
      </c>
      <c r="E39" s="25" t="n">
        <v>211781.29</v>
      </c>
      <c r="F39" s="26" t="n">
        <f aca="false">25136.19+652.39</f>
        <v>25788.58</v>
      </c>
      <c r="G39" s="26" t="n">
        <f aca="false">2205+42</f>
        <v>2247</v>
      </c>
      <c r="H39" s="88" t="n">
        <v>577841.04</v>
      </c>
      <c r="I39" s="88"/>
      <c r="J39" s="89" t="n">
        <v>307081</v>
      </c>
      <c r="K39" s="89" t="n">
        <v>194732</v>
      </c>
      <c r="L39" s="90" t="n">
        <f aca="false">K39+J39</f>
        <v>501813</v>
      </c>
      <c r="M39" s="91" t="n">
        <v>279558.3</v>
      </c>
      <c r="N39" s="24" t="n">
        <v>976129</v>
      </c>
      <c r="O39" s="32" t="n">
        <v>258</v>
      </c>
      <c r="P39" s="92" t="n">
        <f aca="false">M39/O39</f>
        <v>1083.55930232558</v>
      </c>
      <c r="Q39" s="93" t="n">
        <f aca="false">'$'!C86</f>
        <v>5.36303</v>
      </c>
      <c r="R39" s="35" t="n">
        <f aca="false">SUM(C39:E39)/Q39</f>
        <v>48544.0767625764</v>
      </c>
      <c r="S39" s="94" t="n">
        <f aca="false">(C39/Q39)/M39</f>
        <v>0.0293615690351449</v>
      </c>
      <c r="T39" s="94" t="n">
        <f aca="false">D39/Q39/M39</f>
        <v>0.00302868801289464</v>
      </c>
      <c r="U39" s="36" t="n">
        <f aca="false">E39/Q39/M39</f>
        <v>0.141255371654726</v>
      </c>
      <c r="V39" s="36" t="n">
        <f aca="false">(SUM(C39:E39)/Q39)/M39</f>
        <v>0.173645628702766</v>
      </c>
      <c r="W39" s="37" t="n">
        <f aca="false">(N39/Q39)/M39</f>
        <v>0.651065373517917</v>
      </c>
      <c r="X39" s="38" t="n">
        <f aca="false">F39/M39</f>
        <v>0.0922475920049592</v>
      </c>
      <c r="Y39" s="38" t="n">
        <f aca="false">G39/M39</f>
        <v>0.00803767943931552</v>
      </c>
      <c r="Z39" s="39" t="n">
        <f aca="false">H39/M39</f>
        <v>2.06697865883431</v>
      </c>
      <c r="AA39" s="40" t="n">
        <f aca="false">C39/F39</f>
        <v>1.70700364269766</v>
      </c>
      <c r="AB39" s="40" t="n">
        <f aca="false">D39/G39</f>
        <v>2.02085002225189</v>
      </c>
      <c r="AC39" s="40" t="n">
        <f aca="false">E39/H39</f>
        <v>0.366504410970879</v>
      </c>
      <c r="AD39" s="40"/>
    </row>
    <row r="40" customFormat="false" ht="18.75" hidden="false" customHeight="true" outlineLevel="0" collapsed="false">
      <c r="A40" s="18" t="n">
        <v>2019</v>
      </c>
      <c r="B40" s="18" t="n">
        <v>2</v>
      </c>
      <c r="C40" s="24" t="n">
        <v>54755.81</v>
      </c>
      <c r="D40" s="24" t="n">
        <f aca="false">260.81+4660.14</f>
        <v>4920.95</v>
      </c>
      <c r="E40" s="25" t="n">
        <v>275731.98</v>
      </c>
      <c r="F40" s="26" t="n">
        <f aca="false">31248.91+521.05</f>
        <v>31769.96</v>
      </c>
      <c r="G40" s="26" t="n">
        <f aca="false">30+2507</f>
        <v>2537</v>
      </c>
      <c r="H40" s="88" t="n">
        <v>622704.6</v>
      </c>
      <c r="I40" s="88"/>
      <c r="J40" s="89" t="n">
        <v>353645</v>
      </c>
      <c r="K40" s="89" t="n">
        <v>266771</v>
      </c>
      <c r="L40" s="90" t="n">
        <f aca="false">K40+J40</f>
        <v>620416</v>
      </c>
      <c r="M40" s="91" t="n">
        <v>309256.9</v>
      </c>
      <c r="N40" s="24" t="n">
        <v>978958</v>
      </c>
      <c r="O40" s="32" t="n">
        <v>262</v>
      </c>
      <c r="P40" s="92" t="n">
        <f aca="false">M40/O40</f>
        <v>1180.36984732824</v>
      </c>
      <c r="Q40" s="93" t="n">
        <f aca="false">'$'!C87</f>
        <v>5.269724</v>
      </c>
      <c r="R40" s="35" t="n">
        <f aca="false">SUM(C40:E40)/Q40</f>
        <v>63648.2555822658</v>
      </c>
      <c r="S40" s="94" t="n">
        <f aca="false">(C40/Q40)/M40</f>
        <v>0.0335987360410518</v>
      </c>
      <c r="T40" s="94" t="n">
        <f aca="false">D40/Q40/M40</f>
        <v>0.0030195462384944</v>
      </c>
      <c r="U40" s="36" t="n">
        <f aca="false">E40/Q40/M40</f>
        <v>0.169192018419535</v>
      </c>
      <c r="V40" s="36" t="n">
        <f aca="false">(SUM(C40:E40)/Q40)/M40</f>
        <v>0.205810300699081</v>
      </c>
      <c r="W40" s="37" t="n">
        <f aca="false">(N40/Q40)/M40</f>
        <v>0.600698837936577</v>
      </c>
      <c r="X40" s="38" t="n">
        <f aca="false">F40/M40</f>
        <v>0.102729995676733</v>
      </c>
      <c r="Y40" s="38" t="n">
        <f aca="false">G40/M40</f>
        <v>0.0082035356365533</v>
      </c>
      <c r="Z40" s="39" t="n">
        <f aca="false">H40/M40</f>
        <v>2.01355119319892</v>
      </c>
      <c r="AA40" s="40" t="n">
        <f aca="false">C40/F40</f>
        <v>1.72350893737354</v>
      </c>
      <c r="AB40" s="40" t="n">
        <f aca="false">D40/G40</f>
        <v>1.9396728419393</v>
      </c>
      <c r="AC40" s="40" t="n">
        <f aca="false">E40/H40</f>
        <v>0.442797403455828</v>
      </c>
      <c r="AD40" s="40"/>
    </row>
    <row r="41" customFormat="false" ht="18.75" hidden="false" customHeight="true" outlineLevel="0" collapsed="false">
      <c r="A41" s="18" t="n">
        <v>2019</v>
      </c>
      <c r="B41" s="18" t="n">
        <v>3</v>
      </c>
      <c r="C41" s="24" t="n">
        <v>54710.35</v>
      </c>
      <c r="D41" s="24" t="n">
        <f aca="false">114.21+5702.72</f>
        <v>5816.93</v>
      </c>
      <c r="E41" s="25" t="n">
        <v>315018.31</v>
      </c>
      <c r="F41" s="26" t="n">
        <f aca="false">31462.42+580.91</f>
        <v>32043.33</v>
      </c>
      <c r="G41" s="26" t="n">
        <f aca="false">13+3155</f>
        <v>3168</v>
      </c>
      <c r="H41" s="88" t="n">
        <v>717338.16</v>
      </c>
      <c r="I41" s="88"/>
      <c r="J41" s="89" t="n">
        <v>367538</v>
      </c>
      <c r="K41" s="89" t="n">
        <v>281021</v>
      </c>
      <c r="L41" s="90" t="n">
        <f aca="false">K41+J41</f>
        <v>648559</v>
      </c>
      <c r="M41" s="91" t="n">
        <v>363165.5</v>
      </c>
      <c r="N41" s="24" t="n">
        <v>1172309</v>
      </c>
      <c r="O41" s="32" t="n">
        <v>266</v>
      </c>
      <c r="P41" s="92" t="n">
        <f aca="false">M41/O41</f>
        <v>1365.28383458647</v>
      </c>
      <c r="Q41" s="93" t="n">
        <f aca="false">'$'!C88</f>
        <v>5.476742</v>
      </c>
      <c r="R41" s="35" t="n">
        <f aca="false">SUM(C41:E41)/Q41</f>
        <v>68570.9843552974</v>
      </c>
      <c r="S41" s="94" t="n">
        <f aca="false">(C41/Q41)/M41</f>
        <v>0.0275069618981215</v>
      </c>
      <c r="T41" s="94" t="n">
        <f aca="false">D41/Q41/M41</f>
        <v>0.00292460333143618</v>
      </c>
      <c r="U41" s="36" t="n">
        <f aca="false">E41/Q41/M41</f>
        <v>0.158383133180113</v>
      </c>
      <c r="V41" s="36" t="n">
        <f aca="false">(SUM(C41:E41)/Q41)/M41</f>
        <v>0.188814698409671</v>
      </c>
      <c r="W41" s="37" t="n">
        <f aca="false">(N41/Q41)/M41</f>
        <v>0.589406922014297</v>
      </c>
      <c r="X41" s="38" t="n">
        <f aca="false">F41/M41</f>
        <v>0.0882334087351359</v>
      </c>
      <c r="Y41" s="38" t="n">
        <f aca="false">G41/M41</f>
        <v>0.00872329557736073</v>
      </c>
      <c r="Z41" s="39" t="n">
        <f aca="false">H41/M41</f>
        <v>1.97523762582073</v>
      </c>
      <c r="AA41" s="40" t="n">
        <f aca="false">C41/F41</f>
        <v>1.7073865294275</v>
      </c>
      <c r="AB41" s="40" t="n">
        <f aca="false">D41/G41</f>
        <v>1.83615214646465</v>
      </c>
      <c r="AC41" s="40" t="n">
        <f aca="false">E41/H41</f>
        <v>0.439148964276486</v>
      </c>
      <c r="AD41" s="40"/>
    </row>
    <row r="42" customFormat="false" ht="18.75" hidden="false" customHeight="true" outlineLevel="0" collapsed="false">
      <c r="A42" s="18" t="n">
        <v>2019</v>
      </c>
      <c r="B42" s="18" t="n">
        <v>4</v>
      </c>
      <c r="C42" s="24" t="n">
        <v>42353.83</v>
      </c>
      <c r="D42" s="24" t="n">
        <f aca="false">4236.99+149.59</f>
        <v>4386.58</v>
      </c>
      <c r="E42" s="25" t="n">
        <v>266688.57</v>
      </c>
      <c r="F42" s="26" t="n">
        <f aca="false">24286.94+523.4</f>
        <v>24810.34</v>
      </c>
      <c r="G42" s="26" t="n">
        <f aca="false">2244+17</f>
        <v>2261</v>
      </c>
      <c r="H42" s="88" t="n">
        <v>699420.96</v>
      </c>
      <c r="I42" s="88"/>
      <c r="J42" s="89" t="n">
        <v>349135</v>
      </c>
      <c r="K42" s="89" t="n">
        <v>312074</v>
      </c>
      <c r="L42" s="90" t="n">
        <f aca="false">K42+J42</f>
        <v>661209</v>
      </c>
      <c r="M42" s="91" t="n">
        <v>342350</v>
      </c>
      <c r="N42" s="24" t="n">
        <v>1282142</v>
      </c>
      <c r="O42" s="32" t="n">
        <v>261</v>
      </c>
      <c r="P42" s="92" t="n">
        <f aca="false">M42/O42</f>
        <v>1311.68582375479</v>
      </c>
      <c r="Q42" s="93" t="n">
        <f aca="false">'$'!C89</f>
        <v>5.764748</v>
      </c>
      <c r="R42" s="35" t="n">
        <f aca="false">SUM(C42:E42)/Q42</f>
        <v>54369.9360318959</v>
      </c>
      <c r="S42" s="94" t="n">
        <f aca="false">(C42/Q42)/M42</f>
        <v>0.0214606083856143</v>
      </c>
      <c r="T42" s="94" t="n">
        <f aca="false">D42/Q42/M42</f>
        <v>0.00222267208259956</v>
      </c>
      <c r="U42" s="36" t="n">
        <f aca="false">E42/Q42/M42</f>
        <v>0.135130611840523</v>
      </c>
      <c r="V42" s="36" t="n">
        <f aca="false">(SUM(C42:E42)/Q42)/M42</f>
        <v>0.158813892308736</v>
      </c>
      <c r="W42" s="37" t="n">
        <f aca="false">(N42/Q42)/M42</f>
        <v>0.649659012107011</v>
      </c>
      <c r="X42" s="38" t="n">
        <f aca="false">F42/M42</f>
        <v>0.0724706878925077</v>
      </c>
      <c r="Y42" s="38" t="n">
        <f aca="false">G42/M42</f>
        <v>0.00660435227106762</v>
      </c>
      <c r="Z42" s="39" t="n">
        <f aca="false">H42/M42</f>
        <v>2.04299973711114</v>
      </c>
      <c r="AA42" s="40" t="n">
        <f aca="false">C42/F42</f>
        <v>1.70710397358521</v>
      </c>
      <c r="AB42" s="40" t="n">
        <f aca="false">D42/G42</f>
        <v>1.94010614772225</v>
      </c>
      <c r="AC42" s="44" t="n">
        <f aca="false">E42/H42</f>
        <v>0.381299082029226</v>
      </c>
      <c r="AD42" s="44"/>
    </row>
    <row r="43" customFormat="false" ht="18.75" hidden="false" customHeight="true" outlineLevel="0" collapsed="false">
      <c r="A43" s="18" t="n">
        <v>2019</v>
      </c>
      <c r="B43" s="18" t="n">
        <v>5</v>
      </c>
      <c r="C43" s="24" t="n">
        <v>59649.14</v>
      </c>
      <c r="D43" s="24" t="n">
        <f aca="false">4440.87+160.02</f>
        <v>4600.89</v>
      </c>
      <c r="E43" s="25" t="n">
        <v>330171.92</v>
      </c>
      <c r="F43" s="26" t="n">
        <f aca="false">34625.26+313.71</f>
        <v>34938.97</v>
      </c>
      <c r="G43" s="26" t="n">
        <f aca="false">2303+18</f>
        <v>2321</v>
      </c>
      <c r="H43" s="88" t="n">
        <v>694476.72</v>
      </c>
      <c r="I43" s="88"/>
      <c r="J43" s="89" t="n">
        <v>377497</v>
      </c>
      <c r="K43" s="89" t="n">
        <v>260767</v>
      </c>
      <c r="L43" s="90" t="n">
        <f aca="false">K43+J43</f>
        <v>638264</v>
      </c>
      <c r="M43" s="91" t="n">
        <v>339196.3</v>
      </c>
      <c r="N43" s="24" t="n">
        <v>1248863</v>
      </c>
      <c r="O43" s="32" t="n">
        <v>253</v>
      </c>
      <c r="P43" s="92" t="n">
        <f aca="false">M43/O43</f>
        <v>1340.69683794466</v>
      </c>
      <c r="Q43" s="93" t="n">
        <f aca="false">'$'!C90</f>
        <v>6.044426</v>
      </c>
      <c r="R43" s="35" t="n">
        <f aca="false">SUM(C43:E43)/Q43</f>
        <v>65253.8305539682</v>
      </c>
      <c r="S43" s="94" t="n">
        <f aca="false">(C43/Q43)/M43</f>
        <v>0.0290936369599432</v>
      </c>
      <c r="T43" s="94" t="n">
        <f aca="false">D43/Q43/M43</f>
        <v>0.00224406627409269</v>
      </c>
      <c r="U43" s="36" t="n">
        <f aca="false">E43/Q43/M43</f>
        <v>0.161040074925597</v>
      </c>
      <c r="V43" s="36" t="n">
        <f aca="false">(SUM(C43:E43)/Q43)/M43</f>
        <v>0.192377778159633</v>
      </c>
      <c r="W43" s="37" t="n">
        <f aca="false">(N43/Q43)/M43</f>
        <v>0.60912809027432</v>
      </c>
      <c r="X43" s="38" t="n">
        <f aca="false">F43/M43</f>
        <v>0.10300516249735</v>
      </c>
      <c r="Y43" s="38" t="n">
        <f aca="false">G43/M43</f>
        <v>0.00684264539442205</v>
      </c>
      <c r="Z43" s="39" t="n">
        <f aca="false">H43/M43</f>
        <v>2.04741832384374</v>
      </c>
      <c r="AA43" s="40" t="n">
        <f aca="false">C43/F43</f>
        <v>1.70723807828336</v>
      </c>
      <c r="AB43" s="40" t="n">
        <f aca="false">D43/G43</f>
        <v>1.98228780697975</v>
      </c>
      <c r="AC43" s="44" t="n">
        <f aca="false">E43/H43</f>
        <v>0.475425468545584</v>
      </c>
      <c r="AD43" s="44"/>
    </row>
    <row r="44" customFormat="false" ht="18.75" hidden="false" customHeight="true" outlineLevel="0" collapsed="false">
      <c r="A44" s="18" t="n">
        <v>2019</v>
      </c>
      <c r="B44" s="18" t="n">
        <v>6</v>
      </c>
      <c r="C44" s="24" t="n">
        <v>62316.94</v>
      </c>
      <c r="D44" s="24" t="n">
        <f aca="false">4284.79+207.93</f>
        <v>4492.72</v>
      </c>
      <c r="E44" s="25" t="n">
        <v>293445.56</v>
      </c>
      <c r="F44" s="26" t="n">
        <f aca="false">32302.79+638.86</f>
        <v>32941.65</v>
      </c>
      <c r="G44" s="26" t="n">
        <f aca="false">2206+23</f>
        <v>2229</v>
      </c>
      <c r="H44" s="88" t="n">
        <v>537833.52</v>
      </c>
      <c r="I44" s="88"/>
      <c r="J44" s="89" t="n">
        <v>309360</v>
      </c>
      <c r="K44" s="89" t="n">
        <v>194483</v>
      </c>
      <c r="L44" s="90" t="n">
        <f aca="false">K44+J44</f>
        <v>503843</v>
      </c>
      <c r="M44" s="91" t="n">
        <v>289828.7</v>
      </c>
      <c r="N44" s="24" t="n">
        <v>1127296</v>
      </c>
      <c r="O44" s="32" t="n">
        <v>261</v>
      </c>
      <c r="P44" s="92" t="n">
        <f aca="false">M44/O44</f>
        <v>1110.45478927203</v>
      </c>
      <c r="Q44" s="93" t="n">
        <f aca="false">'$'!C91</f>
        <v>5.820426</v>
      </c>
      <c r="R44" s="35" t="n">
        <f aca="false">SUM(C44:E44)/Q44</f>
        <v>61894.9918786013</v>
      </c>
      <c r="S44" s="94" t="n">
        <f aca="false">(C44/Q44)/M44</f>
        <v>0.0369411115197319</v>
      </c>
      <c r="T44" s="94" t="n">
        <f aca="false">D44/Q44/M44</f>
        <v>0.00266325770403569</v>
      </c>
      <c r="U44" s="36" t="n">
        <f aca="false">E44/Q44/M44</f>
        <v>0.173952783254925</v>
      </c>
      <c r="V44" s="36" t="n">
        <f aca="false">(SUM(C44:E44)/Q44)/M44</f>
        <v>0.213557152478693</v>
      </c>
      <c r="W44" s="37" t="n">
        <f aca="false">(N44/Q44)/M44</f>
        <v>0.668254366336789</v>
      </c>
      <c r="X44" s="38" t="n">
        <f aca="false">F44/M44</f>
        <v>0.113659033767187</v>
      </c>
      <c r="Y44" s="38" t="n">
        <f aca="false">G44/M44</f>
        <v>0.00769074974286535</v>
      </c>
      <c r="Z44" s="39" t="n">
        <f aca="false">H44/M44</f>
        <v>1.85569448436266</v>
      </c>
      <c r="AA44" s="44" t="n">
        <f aca="false">C44/F44</f>
        <v>1.89173705627982</v>
      </c>
      <c r="AB44" s="40" t="n">
        <f aca="false">D44/G44</f>
        <v>2.01557649170031</v>
      </c>
      <c r="AC44" s="44" t="n">
        <f aca="false">E44/H44</f>
        <v>0.545606677694614</v>
      </c>
      <c r="AD44" s="44"/>
    </row>
    <row r="45" customFormat="false" ht="18.75" hidden="false" customHeight="true" outlineLevel="0" collapsed="false">
      <c r="A45" s="18" t="n">
        <v>2019</v>
      </c>
      <c r="B45" s="18" t="n">
        <v>7</v>
      </c>
      <c r="C45" s="24" t="n">
        <v>62333.89</v>
      </c>
      <c r="D45" s="24" t="n">
        <f aca="false">4786.79+282.92</f>
        <v>5069.71</v>
      </c>
      <c r="E45" s="25" t="n">
        <v>339693.49</v>
      </c>
      <c r="F45" s="26" t="n">
        <f aca="false">35864.67+633.15</f>
        <v>36497.82</v>
      </c>
      <c r="G45" s="26" t="n">
        <f aca="false">31+2518</f>
        <v>2549</v>
      </c>
      <c r="H45" s="88" t="n">
        <v>702664.2</v>
      </c>
      <c r="I45" s="88"/>
      <c r="J45" s="89" t="n">
        <v>330076</v>
      </c>
      <c r="K45" s="89" t="n">
        <v>319985</v>
      </c>
      <c r="L45" s="90" t="n">
        <f aca="false">K45+J45</f>
        <v>650061</v>
      </c>
      <c r="M45" s="91" t="n">
        <v>320102.7</v>
      </c>
      <c r="N45" s="24" t="n">
        <v>1411812</v>
      </c>
      <c r="O45" s="32" t="n">
        <v>279</v>
      </c>
      <c r="P45" s="92" t="n">
        <f aca="false">M45/O45</f>
        <v>1147.32150537634</v>
      </c>
      <c r="Q45" s="93" t="n">
        <f aca="false">'$'!C92</f>
        <v>5.676879</v>
      </c>
      <c r="R45" s="35" t="n">
        <f aca="false">SUM(C45:E45)/Q45</f>
        <v>71711.4262960334</v>
      </c>
      <c r="S45" s="94" t="n">
        <f aca="false">(C45/Q45)/M45</f>
        <v>0.0343024591150589</v>
      </c>
      <c r="T45" s="94" t="n">
        <f aca="false">D45/Q45/M45</f>
        <v>0.00278987112789215</v>
      </c>
      <c r="U45" s="36" t="n">
        <f aca="false">E45/Q45/M45</f>
        <v>0.186933978488695</v>
      </c>
      <c r="V45" s="36" t="n">
        <f aca="false">(SUM(C45:E45)/Q45)/M45</f>
        <v>0.224026308731646</v>
      </c>
      <c r="W45" s="37" t="n">
        <f aca="false">(N45/Q45)/M45</f>
        <v>0.776922849001555</v>
      </c>
      <c r="X45" s="38" t="n">
        <f aca="false">F45/M45</f>
        <v>0.11401909449686</v>
      </c>
      <c r="Y45" s="38" t="n">
        <f aca="false">G45/M45</f>
        <v>0.00796306935242971</v>
      </c>
      <c r="Z45" s="39" t="n">
        <f aca="false">H45/M45</f>
        <v>2.19512112831288</v>
      </c>
      <c r="AA45" s="40" t="n">
        <f aca="false">C45/F45</f>
        <v>1.70787981309569</v>
      </c>
      <c r="AB45" s="40" t="n">
        <f aca="false">D45/G45</f>
        <v>1.98890153001177</v>
      </c>
      <c r="AC45" s="40" t="n">
        <f aca="false">E45/H45</f>
        <v>0.483436455137461</v>
      </c>
      <c r="AD45" s="40"/>
    </row>
    <row r="46" customFormat="false" ht="18.75" hidden="false" customHeight="true" outlineLevel="0" collapsed="false">
      <c r="A46" s="18" t="n">
        <v>2019</v>
      </c>
      <c r="B46" s="18" t="n">
        <v>8</v>
      </c>
      <c r="C46" s="24" t="n">
        <v>50841.68</v>
      </c>
      <c r="D46" s="24" t="n">
        <f aca="false">290.92+4897.81</f>
        <v>5188.73</v>
      </c>
      <c r="E46" s="25" t="n">
        <v>280244.48</v>
      </c>
      <c r="F46" s="26" t="n">
        <f aca="false">25161.03+924.02</f>
        <v>26085.05</v>
      </c>
      <c r="G46" s="26" t="n">
        <f aca="false">29+2587</f>
        <v>2616</v>
      </c>
      <c r="H46" s="88" t="n">
        <v>572032.44</v>
      </c>
      <c r="I46" s="88"/>
      <c r="J46" s="89" t="n">
        <v>336274</v>
      </c>
      <c r="K46" s="89" t="n">
        <v>228933</v>
      </c>
      <c r="L46" s="90" t="n">
        <f aca="false">K46+J46</f>
        <v>565207</v>
      </c>
      <c r="M46" s="91" t="n">
        <v>311537</v>
      </c>
      <c r="N46" s="24" t="n">
        <v>1324519</v>
      </c>
      <c r="O46" s="32" t="n">
        <v>284</v>
      </c>
      <c r="P46" s="92" t="n">
        <f aca="false">M46/O46</f>
        <v>1096.96126760563</v>
      </c>
      <c r="Q46" s="93" t="n">
        <f aca="false">'$'!C93</f>
        <v>5.641561</v>
      </c>
      <c r="R46" s="35" t="n">
        <f aca="false">SUM(C46:E46)/Q46</f>
        <v>59606.7099159257</v>
      </c>
      <c r="S46" s="94" t="n">
        <f aca="false">(C46/Q46)/M46</f>
        <v>0.0289275045792411</v>
      </c>
      <c r="T46" s="94" t="n">
        <f aca="false">D46/Q46/M46</f>
        <v>0.00295224333333293</v>
      </c>
      <c r="U46" s="36" t="n">
        <f aca="false">E46/Q46/M46</f>
        <v>0.159451329667058</v>
      </c>
      <c r="V46" s="36" t="n">
        <f aca="false">(SUM(C46:E46)/Q46)/M46</f>
        <v>0.191331077579632</v>
      </c>
      <c r="W46" s="37" t="n">
        <f aca="false">(N46/Q46)/M46</f>
        <v>0.753614542985045</v>
      </c>
      <c r="X46" s="38" t="n">
        <f aca="false">F46/M46</f>
        <v>0.0837301829317224</v>
      </c>
      <c r="Y46" s="38" t="n">
        <f aca="false">G46/M46</f>
        <v>0.00839707643072894</v>
      </c>
      <c r="Z46" s="39" t="n">
        <f aca="false">H46/M46</f>
        <v>1.83616212520503</v>
      </c>
      <c r="AA46" s="44" t="n">
        <f aca="false">C46/F46</f>
        <v>1.9490735114558</v>
      </c>
      <c r="AB46" s="40" t="n">
        <f aca="false">D46/G46</f>
        <v>1.98345948012232</v>
      </c>
      <c r="AC46" s="40" t="n">
        <f aca="false">E46/H46</f>
        <v>0.489910117684934</v>
      </c>
      <c r="AD46" s="40"/>
    </row>
    <row r="47" customFormat="false" ht="18.75" hidden="false" customHeight="true" outlineLevel="0" collapsed="false">
      <c r="A47" s="18" t="n">
        <v>2019</v>
      </c>
      <c r="B47" s="18" t="n">
        <v>9</v>
      </c>
      <c r="C47" s="24" t="n">
        <v>56658.11</v>
      </c>
      <c r="D47" s="24" t="n">
        <f aca="false">4946.08+304.68</f>
        <v>5250.76</v>
      </c>
      <c r="E47" s="25" t="n">
        <v>272485.99</v>
      </c>
      <c r="F47" s="26" t="n">
        <f aca="false">28143.29+513.01</f>
        <v>28656.3</v>
      </c>
      <c r="G47" s="26" t="n">
        <f aca="false">2617+30</f>
        <v>2647</v>
      </c>
      <c r="H47" s="88" t="n">
        <v>603351</v>
      </c>
      <c r="I47" s="88"/>
      <c r="J47" s="89" t="n">
        <v>313494</v>
      </c>
      <c r="K47" s="89" t="n">
        <v>265841</v>
      </c>
      <c r="L47" s="90" t="n">
        <f aca="false">K47+J47</f>
        <v>579335</v>
      </c>
      <c r="M47" s="91" t="n">
        <v>304909</v>
      </c>
      <c r="N47" s="24" t="n">
        <v>1349229</v>
      </c>
      <c r="O47" s="32" t="n">
        <v>277</v>
      </c>
      <c r="P47" s="92" t="n">
        <f aca="false">M47/O47</f>
        <v>1100.75451263538</v>
      </c>
      <c r="Q47" s="93" t="n">
        <f aca="false">'$'!C94</f>
        <v>5.719617</v>
      </c>
      <c r="R47" s="35" t="n">
        <f aca="false">SUM(C47:E47)/Q47</f>
        <v>58464.5545322353</v>
      </c>
      <c r="S47" s="94" t="n">
        <f aca="false">(C47/Q47)/M47</f>
        <v>0.0324881432411231</v>
      </c>
      <c r="T47" s="94" t="n">
        <f aca="false">D47/Q47/M47</f>
        <v>0.00301082127527303</v>
      </c>
      <c r="U47" s="36" t="n">
        <f aca="false">E47/Q47/M47</f>
        <v>0.156245308470742</v>
      </c>
      <c r="V47" s="36" t="n">
        <f aca="false">(SUM(C47:E47)/Q47)/M47</f>
        <v>0.191744272987138</v>
      </c>
      <c r="W47" s="37" t="n">
        <f aca="false">(N47/Q47)/M47</f>
        <v>0.773657028395004</v>
      </c>
      <c r="X47" s="38" t="n">
        <f aca="false">F47/M47</f>
        <v>0.09398312283337</v>
      </c>
      <c r="Y47" s="38" t="n">
        <f aca="false">G47/M47</f>
        <v>0.00868127867658875</v>
      </c>
      <c r="Z47" s="39" t="n">
        <f aca="false">H47/M47</f>
        <v>1.97879039319928</v>
      </c>
      <c r="AA47" s="44" t="n">
        <f aca="false">C47/F47</f>
        <v>1.977160694158</v>
      </c>
      <c r="AB47" s="40" t="n">
        <f aca="false">D47/G47</f>
        <v>1.98366452587835</v>
      </c>
      <c r="AC47" s="40" t="n">
        <f aca="false">E47/H47</f>
        <v>0.451621013307345</v>
      </c>
      <c r="AD47" s="40"/>
    </row>
    <row r="48" customFormat="false" ht="18.75" hidden="false" customHeight="true" outlineLevel="0" collapsed="false">
      <c r="A48" s="18" t="n">
        <v>2019</v>
      </c>
      <c r="B48" s="18" t="n">
        <v>10</v>
      </c>
      <c r="C48" s="24" t="n">
        <v>57625.73</v>
      </c>
      <c r="D48" s="24" t="n">
        <f aca="false">235.42+5734.45</f>
        <v>5969.87</v>
      </c>
      <c r="E48" s="25" t="n">
        <v>294858.11</v>
      </c>
      <c r="F48" s="26" t="n">
        <f aca="false">29007.35+413.99</f>
        <v>29421.34</v>
      </c>
      <c r="G48" s="26" t="n">
        <f aca="false">3107+23</f>
        <v>3130</v>
      </c>
      <c r="H48" s="88" t="n">
        <v>644341.32</v>
      </c>
      <c r="I48" s="88"/>
      <c r="J48" s="89" t="n">
        <v>450190</v>
      </c>
      <c r="K48" s="89" t="n">
        <v>231377</v>
      </c>
      <c r="L48" s="90" t="n">
        <f aca="false">K48+J48</f>
        <v>681567</v>
      </c>
      <c r="M48" s="91" t="n">
        <v>424400.9</v>
      </c>
      <c r="N48" s="24" t="n">
        <v>1352117</v>
      </c>
      <c r="O48" s="32" t="n">
        <v>283</v>
      </c>
      <c r="P48" s="92" t="n">
        <f aca="false">M48/O48</f>
        <v>1499.64982332155</v>
      </c>
      <c r="Q48" s="93" t="n">
        <f aca="false">'$'!C95</f>
        <v>5.792574</v>
      </c>
      <c r="R48" s="35" t="n">
        <f aca="false">SUM(C48:E48)/Q48</f>
        <v>61881.5935713553</v>
      </c>
      <c r="S48" s="94" t="n">
        <f aca="false">(C48/Q48)/M48</f>
        <v>0.0234405907859504</v>
      </c>
      <c r="T48" s="94" t="n">
        <f aca="false">D48/Q48/M48</f>
        <v>0.00242838190015678</v>
      </c>
      <c r="U48" s="36" t="n">
        <f aca="false">E48/Q48/M48</f>
        <v>0.119940316529244</v>
      </c>
      <c r="V48" s="36" t="n">
        <f aca="false">(SUM(C48:E48)/Q48)/M48</f>
        <v>0.145809289215351</v>
      </c>
      <c r="W48" s="37" t="n">
        <f aca="false">(N48/Q48)/M48</f>
        <v>0.550004681792784</v>
      </c>
      <c r="X48" s="38" t="n">
        <f aca="false">F48/M48</f>
        <v>0.0693244052969727</v>
      </c>
      <c r="Y48" s="38" t="n">
        <f aca="false">G48/M48</f>
        <v>0.00737510217344025</v>
      </c>
      <c r="Z48" s="39" t="n">
        <f aca="false">H48/M48</f>
        <v>1.51823740241833</v>
      </c>
      <c r="AA48" s="40" t="n">
        <f aca="false">C48/F48</f>
        <v>1.95863716608421</v>
      </c>
      <c r="AB48" s="40" t="n">
        <f aca="false">D48/G48</f>
        <v>1.90730670926518</v>
      </c>
      <c r="AC48" s="40" t="n">
        <f aca="false">E48/H48</f>
        <v>0.457611673887374</v>
      </c>
      <c r="AD48" s="40"/>
    </row>
    <row r="49" customFormat="false" ht="18.75" hidden="false" customHeight="true" outlineLevel="0" collapsed="false">
      <c r="A49" s="18" t="n">
        <v>2019</v>
      </c>
      <c r="B49" s="18" t="n">
        <v>11</v>
      </c>
      <c r="C49" s="24" t="n">
        <v>49709.77</v>
      </c>
      <c r="D49" s="24" t="n">
        <f aca="false">5895.35+216.88</f>
        <v>6112.23</v>
      </c>
      <c r="E49" s="25" t="n">
        <v>337796.18</v>
      </c>
      <c r="F49" s="26" t="n">
        <f aca="false">24868.29+512.52</f>
        <v>25380.81</v>
      </c>
      <c r="G49" s="26" t="n">
        <f aca="false">3207+21</f>
        <v>3228</v>
      </c>
      <c r="H49" s="88" t="n">
        <v>726813.36</v>
      </c>
      <c r="I49" s="88"/>
      <c r="J49" s="96"/>
      <c r="K49" s="96"/>
      <c r="L49" s="90" t="n">
        <f aca="false">72236.6+689412.9</f>
        <v>761649.5</v>
      </c>
      <c r="M49" s="91" t="n">
        <v>417692.5</v>
      </c>
      <c r="N49" s="24" t="n">
        <v>1332312</v>
      </c>
      <c r="O49" s="32" t="n">
        <v>282</v>
      </c>
      <c r="P49" s="92" t="n">
        <f aca="false">M49/O49</f>
        <v>1481.17907801418</v>
      </c>
      <c r="Q49" s="93" t="n">
        <f aca="false">'$'!C96</f>
        <v>5.740255</v>
      </c>
      <c r="R49" s="35" t="n">
        <f aca="false">SUM(C49:E49)/Q49</f>
        <v>68571.5495217547</v>
      </c>
      <c r="S49" s="94" t="n">
        <f aca="false">(C49/Q49)/M49</f>
        <v>0.0207326058313032</v>
      </c>
      <c r="T49" s="94" t="n">
        <f aca="false">D49/Q49/M49</f>
        <v>0.00254924646282343</v>
      </c>
      <c r="U49" s="36" t="n">
        <f aca="false">E49/Q49/M49</f>
        <v>0.140885686078611</v>
      </c>
      <c r="V49" s="36" t="n">
        <f aca="false">(SUM(C49:E49)/Q49)/M49</f>
        <v>0.164167538372738</v>
      </c>
      <c r="W49" s="37" t="n">
        <f aca="false">(N49/Q49)/M49</f>
        <v>0.555671441254209</v>
      </c>
      <c r="X49" s="38" t="n">
        <f aca="false">F49/M49</f>
        <v>0.0607643421895294</v>
      </c>
      <c r="Y49" s="38" t="n">
        <f aca="false">G49/M49</f>
        <v>0.0077281732374893</v>
      </c>
      <c r="Z49" s="39" t="n">
        <f aca="false">H49/M49</f>
        <v>1.74006801654327</v>
      </c>
      <c r="AA49" s="40" t="n">
        <f aca="false">C49/F49</f>
        <v>1.95855727220684</v>
      </c>
      <c r="AB49" s="40" t="n">
        <f aca="false">D49/G49</f>
        <v>1.89350371747212</v>
      </c>
      <c r="AC49" s="40" t="n">
        <f aca="false">E49/H49</f>
        <v>0.464763305946935</v>
      </c>
      <c r="AD49" s="40"/>
    </row>
    <row r="50" customFormat="false" ht="18.75" hidden="false" customHeight="true" outlineLevel="0" collapsed="false">
      <c r="A50" s="18" t="n">
        <v>2019</v>
      </c>
      <c r="B50" s="18" t="n">
        <v>12</v>
      </c>
      <c r="C50" s="24" t="n">
        <v>36500.71</v>
      </c>
      <c r="D50" s="24" t="n">
        <f aca="false">152.64+5908.21</f>
        <v>6060.85</v>
      </c>
      <c r="E50" s="25" t="n">
        <v>338869.67</v>
      </c>
      <c r="F50" s="26" t="n">
        <f aca="false">18017.69+615.16</f>
        <v>18632.85</v>
      </c>
      <c r="G50" s="26" t="n">
        <f aca="false">20+3215</f>
        <v>3235</v>
      </c>
      <c r="H50" s="88" t="n">
        <v>752749.2</v>
      </c>
      <c r="I50" s="88"/>
      <c r="J50" s="96"/>
      <c r="K50" s="96"/>
      <c r="L50" s="90" t="n">
        <f aca="false">767309.1+36869.505</f>
        <v>804178.605</v>
      </c>
      <c r="M50" s="91" t="n">
        <v>486262.2</v>
      </c>
      <c r="N50" s="24" t="n">
        <v>1351288</v>
      </c>
      <c r="O50" s="32" t="n">
        <v>295</v>
      </c>
      <c r="P50" s="92" t="n">
        <f aca="false">M50/O50</f>
        <v>1648.34644067797</v>
      </c>
      <c r="Q50" s="93" t="n">
        <f aca="false">'$'!C97</f>
        <v>5.853509</v>
      </c>
      <c r="R50" s="35" t="n">
        <f aca="false">SUM(C50:E50)/Q50</f>
        <v>65162.8330972072</v>
      </c>
      <c r="S50" s="94" t="n">
        <f aca="false">(C50/Q50)/M50</f>
        <v>0.0128237343030491</v>
      </c>
      <c r="T50" s="94" t="n">
        <f aca="false">D50/Q50/M50</f>
        <v>0.00212934844419835</v>
      </c>
      <c r="U50" s="36" t="n">
        <f aca="false">E50/Q50/M50</f>
        <v>0.11905452281454</v>
      </c>
      <c r="V50" s="36" t="n">
        <f aca="false">(SUM(C50:E50)/Q50)/M50</f>
        <v>0.134007605561788</v>
      </c>
      <c r="W50" s="37" t="n">
        <f aca="false">(N50/Q50)/M50</f>
        <v>0.474745786558634</v>
      </c>
      <c r="X50" s="38" t="n">
        <f aca="false">F50/M50</f>
        <v>0.0383185244503891</v>
      </c>
      <c r="Y50" s="38" t="n">
        <f aca="false">G50/M50</f>
        <v>0.006652789379886</v>
      </c>
      <c r="Z50" s="39" t="n">
        <f aca="false">H50/M50</f>
        <v>1.54803149411984</v>
      </c>
      <c r="AA50" s="40" t="n">
        <f aca="false">C50/F50</f>
        <v>1.95894401554244</v>
      </c>
      <c r="AB50" s="40" t="n">
        <f aca="false">D50/G50</f>
        <v>1.87352395672334</v>
      </c>
      <c r="AC50" s="40" t="n">
        <f aca="false">E50/H50</f>
        <v>0.450176061296379</v>
      </c>
      <c r="AD50" s="40"/>
    </row>
    <row r="51" customFormat="false" ht="18.75" hidden="false" customHeight="true" outlineLevel="0" collapsed="false">
      <c r="A51" s="18" t="n">
        <v>2020</v>
      </c>
      <c r="B51" s="18" t="n">
        <v>1</v>
      </c>
      <c r="C51" s="24" t="n">
        <v>46554.96</v>
      </c>
      <c r="D51" s="24" t="n">
        <f aca="false">185.03+8173.18</f>
        <v>8358.21</v>
      </c>
      <c r="E51" s="25" t="n">
        <v>340966.83</v>
      </c>
      <c r="F51" s="26" t="n">
        <f aca="false">23250.39+513.89</f>
        <v>23764.28</v>
      </c>
      <c r="G51" s="26" t="n">
        <f aca="false">17+3340</f>
        <v>3357</v>
      </c>
      <c r="H51" s="88" t="n">
        <v>728912.52</v>
      </c>
      <c r="I51" s="88"/>
      <c r="J51" s="96"/>
      <c r="K51" s="96"/>
      <c r="L51" s="90" t="n">
        <f aca="false">718758.3+1503.2+53341.8</f>
        <v>773603.3</v>
      </c>
      <c r="M51" s="91" t="n">
        <v>468377.7</v>
      </c>
      <c r="N51" s="24" t="n">
        <v>1542973</v>
      </c>
      <c r="O51" s="32" t="n">
        <v>309</v>
      </c>
      <c r="P51" s="92" t="n">
        <f aca="false">M51/O51</f>
        <v>1515.7854368932</v>
      </c>
      <c r="Q51" s="93" t="n">
        <f aca="false">'$'!C98</f>
        <v>5.924601</v>
      </c>
      <c r="R51" s="35" t="n">
        <f aca="false">SUM(C51:E51)/Q51</f>
        <v>66819.689629732</v>
      </c>
      <c r="S51" s="94" t="n">
        <f aca="false">(C51/Q51)/M51</f>
        <v>0.0167768584638657</v>
      </c>
      <c r="T51" s="94" t="n">
        <f aca="false">D51/Q51/M51</f>
        <v>0.00301202076387278</v>
      </c>
      <c r="U51" s="36" t="n">
        <f aca="false">E51/Q51/M51</f>
        <v>0.122873099832605</v>
      </c>
      <c r="V51" s="36" t="n">
        <f aca="false">(SUM(C51:E51)/Q51)/M51</f>
        <v>0.142661979060344</v>
      </c>
      <c r="W51" s="37" t="n">
        <f aca="false">(N51/Q51)/M51</f>
        <v>0.556036126646145</v>
      </c>
      <c r="X51" s="38" t="n">
        <f aca="false">F51/M51</f>
        <v>0.0507374283617687</v>
      </c>
      <c r="Y51" s="38" t="n">
        <f aca="false">G51/M51</f>
        <v>0.00716729255043526</v>
      </c>
      <c r="Z51" s="39" t="n">
        <f aca="false">H51/M51</f>
        <v>1.55624941153262</v>
      </c>
      <c r="AA51" s="40" t="n">
        <f aca="false">C51/F51</f>
        <v>1.95903094897047</v>
      </c>
      <c r="AB51" s="44" t="n">
        <f aca="false">D51/G51</f>
        <v>2.4897855227882</v>
      </c>
      <c r="AC51" s="40" t="n">
        <f aca="false">E51/H51</f>
        <v>0.467774692633898</v>
      </c>
      <c r="AD51" s="40"/>
    </row>
    <row r="52" customFormat="false" ht="18.75" hidden="false" customHeight="true" outlineLevel="0" collapsed="false">
      <c r="A52" s="18" t="n">
        <v>2020</v>
      </c>
      <c r="B52" s="18" t="n">
        <v>2</v>
      </c>
      <c r="C52" s="24" t="n">
        <v>35195.26</v>
      </c>
      <c r="D52" s="24" t="n">
        <f aca="false">134.77+9333.91</f>
        <v>9468.68</v>
      </c>
      <c r="E52" s="25" t="n">
        <v>307404.22</v>
      </c>
      <c r="F52" s="26" t="n">
        <f aca="false">17113.51+850.8</f>
        <v>17964.31</v>
      </c>
      <c r="G52" s="26" t="n">
        <f aca="false">3854+12</f>
        <v>3866</v>
      </c>
      <c r="H52" s="88" t="n">
        <v>641050.2</v>
      </c>
      <c r="I52" s="88"/>
      <c r="J52" s="89" t="n">
        <v>315447</v>
      </c>
      <c r="K52" s="89" t="n">
        <v>206272</v>
      </c>
      <c r="L52" s="90" t="n">
        <f aca="false">K52+J52</f>
        <v>521719</v>
      </c>
      <c r="M52" s="91" t="n">
        <v>323684.4</v>
      </c>
      <c r="N52" s="24" t="n">
        <v>1497458</v>
      </c>
      <c r="O52" s="32" t="n">
        <v>309</v>
      </c>
      <c r="P52" s="92" t="n">
        <f aca="false">M52/O52</f>
        <v>1047.52233009709</v>
      </c>
      <c r="Q52" s="93" t="n">
        <f aca="false">'$'!C99</f>
        <v>6.057833</v>
      </c>
      <c r="R52" s="35" t="n">
        <f aca="false">SUM(C52:E52)/Q52</f>
        <v>58117.8385075983</v>
      </c>
      <c r="S52" s="94" t="n">
        <f aca="false">(C52/Q52)/M52</f>
        <v>0.0179492006346986</v>
      </c>
      <c r="T52" s="94" t="n">
        <f aca="false">D52/Q52/M52</f>
        <v>0.00482892403879835</v>
      </c>
      <c r="U52" s="36" t="n">
        <f aca="false">E52/Q52/M52</f>
        <v>0.156772816019346</v>
      </c>
      <c r="V52" s="36" t="n">
        <f aca="false">(SUM(C52:E52)/Q52)/M52</f>
        <v>0.179550940692843</v>
      </c>
      <c r="W52" s="37" t="n">
        <f aca="false">(N52/Q52)/M52</f>
        <v>0.763687328465098</v>
      </c>
      <c r="X52" s="38" t="n">
        <f aca="false">F52/M52</f>
        <v>0.0554994618214532</v>
      </c>
      <c r="Y52" s="38" t="n">
        <f aca="false">G52/M52</f>
        <v>0.011943732845945</v>
      </c>
      <c r="Z52" s="39" t="n">
        <f aca="false">H52/M52</f>
        <v>1.98047913337807</v>
      </c>
      <c r="AA52" s="40" t="n">
        <f aca="false">C52/F52</f>
        <v>1.95917683451243</v>
      </c>
      <c r="AB52" s="40" t="n">
        <f aca="false">D52/G52</f>
        <v>2.4492188308329</v>
      </c>
      <c r="AC52" s="40" t="n">
        <f aca="false">E52/H52</f>
        <v>0.479532211361918</v>
      </c>
      <c r="AD52" s="40"/>
    </row>
    <row r="53" customFormat="false" ht="18.75" hidden="false" customHeight="true" outlineLevel="0" collapsed="false">
      <c r="A53" s="18" t="n">
        <v>2020</v>
      </c>
      <c r="B53" s="18" t="n">
        <v>3</v>
      </c>
      <c r="C53" s="24" t="n">
        <v>30739.58</v>
      </c>
      <c r="D53" s="24" t="n">
        <f aca="false">155.58+7557.58</f>
        <v>7713.16</v>
      </c>
      <c r="E53" s="25" t="n">
        <v>275663.1</v>
      </c>
      <c r="F53" s="26" t="n">
        <f aca="false">15087.36+600.52</f>
        <v>15687.88</v>
      </c>
      <c r="G53" s="26" t="n">
        <f aca="false">3587+14</f>
        <v>3601</v>
      </c>
      <c r="H53" s="88" t="n">
        <v>604933.56</v>
      </c>
      <c r="I53" s="88"/>
      <c r="J53" s="89" t="n">
        <v>302876</v>
      </c>
      <c r="K53" s="89" t="n">
        <v>215896</v>
      </c>
      <c r="L53" s="90" t="n">
        <f aca="false">K53+J53</f>
        <v>518772</v>
      </c>
      <c r="M53" s="91" t="n">
        <v>291846.6</v>
      </c>
      <c r="N53" s="24" t="n">
        <v>1391838</v>
      </c>
      <c r="O53" s="32" t="n">
        <v>294</v>
      </c>
      <c r="P53" s="92" t="n">
        <f aca="false">M53/O53</f>
        <v>992.675510204082</v>
      </c>
      <c r="Q53" s="93" t="n">
        <f aca="false">'$'!C100</f>
        <v>6.335075</v>
      </c>
      <c r="R53" s="35" t="n">
        <f aca="false">SUM(C53:E53)/Q53</f>
        <v>49583.6024040757</v>
      </c>
      <c r="S53" s="94" t="n">
        <f aca="false">(C53/Q53)/M53</f>
        <v>0.0166261437233455</v>
      </c>
      <c r="T53" s="94" t="n">
        <f aca="false">D53/Q53/M53</f>
        <v>0.00417182364629444</v>
      </c>
      <c r="U53" s="36" t="n">
        <f aca="false">E53/Q53/M53</f>
        <v>0.149098143820539</v>
      </c>
      <c r="V53" s="36" t="n">
        <f aca="false">(SUM(C53:E53)/Q53)/M53</f>
        <v>0.169896111190179</v>
      </c>
      <c r="W53" s="37" t="n">
        <f aca="false">(N53/Q53)/M53</f>
        <v>0.752804645594175</v>
      </c>
      <c r="X53" s="38" t="n">
        <f aca="false">F53/M53</f>
        <v>0.0537538556214121</v>
      </c>
      <c r="Y53" s="38" t="n">
        <f aca="false">G53/M53</f>
        <v>0.0123386738101455</v>
      </c>
      <c r="Z53" s="39" t="n">
        <f aca="false">H53/M53</f>
        <v>2.07277919290477</v>
      </c>
      <c r="AA53" s="40" t="n">
        <f aca="false">C53/F53</f>
        <v>1.95944767553041</v>
      </c>
      <c r="AB53" s="40" t="n">
        <f aca="false">D53/G53</f>
        <v>2.14194945848375</v>
      </c>
      <c r="AC53" s="40" t="n">
        <f aca="false">E53/H53</f>
        <v>0.45569153081869</v>
      </c>
      <c r="AD53" s="40"/>
    </row>
    <row r="54" customFormat="false" ht="18.75" hidden="false" customHeight="true" outlineLevel="0" collapsed="false">
      <c r="A54" s="18" t="n">
        <v>2020</v>
      </c>
      <c r="B54" s="18" t="n">
        <v>4</v>
      </c>
      <c r="C54" s="24" t="n">
        <v>14034.33</v>
      </c>
      <c r="D54" s="24" t="n">
        <f aca="false">111.44+6558.47</f>
        <v>6669.91</v>
      </c>
      <c r="E54" s="25" t="n">
        <v>225978.59</v>
      </c>
      <c r="F54" s="26" t="n">
        <f aca="false">6522.46+610.04</f>
        <v>7132.5</v>
      </c>
      <c r="G54" s="26" t="n">
        <f aca="false">3052+10</f>
        <v>3062</v>
      </c>
      <c r="H54" s="88" t="n">
        <v>362895.12</v>
      </c>
      <c r="I54" s="88"/>
      <c r="J54" s="89" t="n">
        <v>125763</v>
      </c>
      <c r="K54" s="89" t="n">
        <v>174094</v>
      </c>
      <c r="L54" s="90" t="n">
        <f aca="false">K54+J54</f>
        <v>299857</v>
      </c>
      <c r="M54" s="91" t="n">
        <v>115559.2</v>
      </c>
      <c r="N54" s="24" t="n">
        <v>1011053</v>
      </c>
      <c r="O54" s="32" t="n">
        <v>270</v>
      </c>
      <c r="P54" s="92" t="n">
        <f aca="false">M54/O54</f>
        <v>427.997037037037</v>
      </c>
      <c r="Q54" s="93" t="n">
        <f aca="false">'$'!C101</f>
        <v>6.839434</v>
      </c>
      <c r="R54" s="35" t="n">
        <f aca="false">SUM(C54:E54)/Q54</f>
        <v>36067.7257796478</v>
      </c>
      <c r="S54" s="94" t="n">
        <f aca="false">(C54/Q54)/M54</f>
        <v>0.0177568936899659</v>
      </c>
      <c r="T54" s="94" t="n">
        <f aca="false">D54/Q54/M54</f>
        <v>0.00843908350392507</v>
      </c>
      <c r="U54" s="36" t="n">
        <f aca="false">E54/Q54/M54</f>
        <v>0.285918729204629</v>
      </c>
      <c r="V54" s="36" t="n">
        <f aca="false">(SUM(C54:E54)/Q54)/M54</f>
        <v>0.31211470639852</v>
      </c>
      <c r="W54" s="37" t="n">
        <f aca="false">(N54/Q54)/M54</f>
        <v>1.27923175783391</v>
      </c>
      <c r="X54" s="38" t="n">
        <f aca="false">F54/M54</f>
        <v>0.0617216110876503</v>
      </c>
      <c r="Y54" s="38" t="n">
        <f aca="false">G54/M54</f>
        <v>0.0264972412408532</v>
      </c>
      <c r="Z54" s="39" t="n">
        <f aca="false">H54/M54</f>
        <v>3.1403394969851</v>
      </c>
      <c r="AA54" s="40" t="n">
        <f aca="false">C54/F54</f>
        <v>1.96765930599369</v>
      </c>
      <c r="AB54" s="40" t="n">
        <f aca="false">D54/G54</f>
        <v>2.17828543435663</v>
      </c>
      <c r="AC54" s="44" t="n">
        <f aca="false">E54/H54</f>
        <v>0.622710467972124</v>
      </c>
      <c r="AD54" s="44"/>
    </row>
    <row r="55" customFormat="false" ht="18.75" hidden="false" customHeight="true" outlineLevel="0" collapsed="false">
      <c r="A55" s="18" t="n">
        <v>2020</v>
      </c>
      <c r="B55" s="18" t="n">
        <v>5</v>
      </c>
      <c r="C55" s="24" t="n">
        <v>10337.78</v>
      </c>
      <c r="D55" s="24" t="n">
        <f aca="false">156.63+5327.64</f>
        <v>5484.27</v>
      </c>
      <c r="E55" s="25" t="n">
        <v>217161.23</v>
      </c>
      <c r="F55" s="26" t="n">
        <f aca="false">4970.55+304.8</f>
        <v>5275.35</v>
      </c>
      <c r="G55" s="26" t="n">
        <f aca="false">14+2407</f>
        <v>2421</v>
      </c>
      <c r="H55" s="88" t="n">
        <v>380313.36</v>
      </c>
      <c r="I55" s="88"/>
      <c r="J55" s="89" t="n">
        <v>198420</v>
      </c>
      <c r="K55" s="89" t="n">
        <v>174508</v>
      </c>
      <c r="L55" s="90" t="n">
        <f aca="false">K55+J55</f>
        <v>372928</v>
      </c>
      <c r="M55" s="91" t="n">
        <v>206689.2</v>
      </c>
      <c r="N55" s="24" t="n">
        <v>1046743</v>
      </c>
      <c r="O55" s="32" t="n">
        <v>268</v>
      </c>
      <c r="P55" s="92" t="n">
        <f aca="false">M55/O55</f>
        <v>771.228358208955</v>
      </c>
      <c r="Q55" s="93" t="n">
        <f aca="false">'$'!C102</f>
        <v>6.931656</v>
      </c>
      <c r="R55" s="35" t="n">
        <f aca="false">SUM(C55:E55)/Q55</f>
        <v>33611.4890871676</v>
      </c>
      <c r="S55" s="94" t="n">
        <f aca="false">(C55/Q55)/M55</f>
        <v>0.00721560082681101</v>
      </c>
      <c r="T55" s="94" t="n">
        <f aca="false">D55/Q55/M55</f>
        <v>0.00382793047892824</v>
      </c>
      <c r="U55" s="36" t="n">
        <f aca="false">E55/Q55/M55</f>
        <v>0.151574975549808</v>
      </c>
      <c r="V55" s="36" t="n">
        <f aca="false">(SUM(C55:E55)/Q55)/M55</f>
        <v>0.162618506855547</v>
      </c>
      <c r="W55" s="37" t="n">
        <f aca="false">(N55/Q55)/M55</f>
        <v>0.7306094399628</v>
      </c>
      <c r="X55" s="38" t="n">
        <f aca="false">F55/M55</f>
        <v>0.0255231042550844</v>
      </c>
      <c r="Y55" s="38" t="n">
        <f aca="false">G55/M55</f>
        <v>0.011713239008134</v>
      </c>
      <c r="Z55" s="39" t="n">
        <f aca="false">H55/M55</f>
        <v>1.84002531336906</v>
      </c>
      <c r="AA55" s="40" t="n">
        <f aca="false">C55/F55</f>
        <v>1.9596386969585</v>
      </c>
      <c r="AB55" s="40" t="n">
        <f aca="false">D55/G55</f>
        <v>2.26529120198265</v>
      </c>
      <c r="AC55" s="40" t="n">
        <f aca="false">E55/H55</f>
        <v>0.571006051430852</v>
      </c>
      <c r="AD55" s="40"/>
    </row>
    <row r="56" customFormat="false" ht="18.75" hidden="false" customHeight="true" outlineLevel="0" collapsed="false">
      <c r="A56" s="18" t="n">
        <v>2020</v>
      </c>
      <c r="B56" s="18" t="n">
        <v>6</v>
      </c>
      <c r="C56" s="24" t="n">
        <v>9551.8</v>
      </c>
      <c r="D56" s="24" t="n">
        <f aca="false">185.04+7972.22</f>
        <v>8157.26</v>
      </c>
      <c r="E56" s="25" t="n">
        <v>283140.63</v>
      </c>
      <c r="F56" s="26" t="n">
        <f aca="false">4641.44+232.38</f>
        <v>4873.82</v>
      </c>
      <c r="G56" s="26" t="n">
        <f aca="false">16+3173</f>
        <v>3189</v>
      </c>
      <c r="H56" s="88" t="n">
        <v>505073.52</v>
      </c>
      <c r="I56" s="88"/>
      <c r="J56" s="89" t="n">
        <v>297155</v>
      </c>
      <c r="K56" s="89" t="n">
        <v>157535</v>
      </c>
      <c r="L56" s="90" t="n">
        <f aca="false">K56+J56</f>
        <v>454690</v>
      </c>
      <c r="M56" s="91" t="n">
        <v>263372.8</v>
      </c>
      <c r="N56" s="24" t="n">
        <v>1159386</v>
      </c>
      <c r="O56" s="32" t="n">
        <v>265</v>
      </c>
      <c r="P56" s="92" t="n">
        <f aca="false">M56/O56</f>
        <v>993.859622641509</v>
      </c>
      <c r="Q56" s="93" t="n">
        <f aca="false">'$'!C103</f>
        <v>6.816762</v>
      </c>
      <c r="R56" s="35" t="n">
        <f aca="false">SUM(C56:E56)/Q56</f>
        <v>44133.8116249328</v>
      </c>
      <c r="S56" s="94" t="n">
        <f aca="false">(C56/Q56)/M56</f>
        <v>0.00532030056722319</v>
      </c>
      <c r="T56" s="94" t="n">
        <f aca="false">D56/Q56/M56</f>
        <v>0.00454354938388441</v>
      </c>
      <c r="U56" s="36" t="n">
        <f aca="false">E56/Q56/M56</f>
        <v>0.157707788520795</v>
      </c>
      <c r="V56" s="36" t="n">
        <f aca="false">(SUM(C56:E56)/Q56)/M56</f>
        <v>0.167571638471903</v>
      </c>
      <c r="W56" s="37" t="n">
        <f aca="false">(N56/Q56)/M56</f>
        <v>0.645771686324109</v>
      </c>
      <c r="X56" s="38" t="n">
        <f aca="false">F56/M56</f>
        <v>0.018505403747084</v>
      </c>
      <c r="Y56" s="38" t="n">
        <f aca="false">G56/M56</f>
        <v>0.012108311868196</v>
      </c>
      <c r="Z56" s="39" t="n">
        <f aca="false">H56/M56</f>
        <v>1.91771329461509</v>
      </c>
      <c r="AA56" s="40" t="n">
        <f aca="false">C56/F56</f>
        <v>1.95981796619489</v>
      </c>
      <c r="AB56" s="44" t="n">
        <f aca="false">D56/G56</f>
        <v>2.55793665725933</v>
      </c>
      <c r="AC56" s="40" t="n">
        <f aca="false">E56/H56</f>
        <v>0.56059290140572</v>
      </c>
      <c r="AD56" s="40"/>
    </row>
    <row r="57" customFormat="false" ht="18.75" hidden="false" customHeight="true" outlineLevel="0" collapsed="false">
      <c r="A57" s="18" t="n">
        <v>2020</v>
      </c>
      <c r="B57" s="18" t="n">
        <v>7</v>
      </c>
      <c r="C57" s="24" t="n">
        <v>12144.48</v>
      </c>
      <c r="D57" s="24" t="n">
        <f aca="false">7313.12+285.83</f>
        <v>7598.95</v>
      </c>
      <c r="E57" s="25" t="n">
        <v>299633.33</v>
      </c>
      <c r="F57" s="26" t="n">
        <f aca="false">6596.79+221.68</f>
        <v>6818.47</v>
      </c>
      <c r="G57" s="26" t="n">
        <f aca="false">3052+25</f>
        <v>3077</v>
      </c>
      <c r="H57" s="88" t="n">
        <v>616868.28</v>
      </c>
      <c r="I57" s="88"/>
      <c r="J57" s="89" t="n">
        <v>330467</v>
      </c>
      <c r="K57" s="89" t="n">
        <v>264816</v>
      </c>
      <c r="L57" s="90" t="n">
        <f aca="false">K57+J57</f>
        <v>595283</v>
      </c>
      <c r="M57" s="91" t="n">
        <v>357552.1</v>
      </c>
      <c r="N57" s="24" t="n">
        <v>1065113</v>
      </c>
      <c r="O57" s="32" t="n">
        <v>276</v>
      </c>
      <c r="P57" s="92" t="n">
        <f aca="false">M57/O57</f>
        <v>1295.47862318841</v>
      </c>
      <c r="Q57" s="93" t="n">
        <f aca="false">'$'!C104</f>
        <v>6.867708</v>
      </c>
      <c r="R57" s="35" t="n">
        <f aca="false">SUM(C57:E57)/Q57</f>
        <v>46504.1262674534</v>
      </c>
      <c r="S57" s="94" t="n">
        <f aca="false">(C57/Q57)/M57</f>
        <v>0.00494570000229722</v>
      </c>
      <c r="T57" s="94" t="n">
        <f aca="false">D57/Q57/M57</f>
        <v>0.00309458511459169</v>
      </c>
      <c r="U57" s="36" t="n">
        <f aca="false">E57/Q57/M57</f>
        <v>0.122022232394415</v>
      </c>
      <c r="V57" s="36" t="n">
        <f aca="false">(SUM(C57:E57)/Q57)/M57</f>
        <v>0.130062517511304</v>
      </c>
      <c r="W57" s="37" t="n">
        <f aca="false">(N57/Q57)/M57</f>
        <v>0.433755036571907</v>
      </c>
      <c r="X57" s="38" t="n">
        <f aca="false">F57/M57</f>
        <v>0.019069864223983</v>
      </c>
      <c r="Y57" s="38" t="n">
        <f aca="false">G57/M57</f>
        <v>0.00860573885595973</v>
      </c>
      <c r="Z57" s="39" t="n">
        <f aca="false">H57/M57</f>
        <v>1.7252542496604</v>
      </c>
      <c r="AA57" s="40" t="n">
        <f aca="false">C57/F57</f>
        <v>1.781115118201</v>
      </c>
      <c r="AB57" s="40" t="n">
        <f aca="false">D57/G57</f>
        <v>2.46959701007475</v>
      </c>
      <c r="AC57" s="40" t="n">
        <f aca="false">E57/H57</f>
        <v>0.48573308065054</v>
      </c>
      <c r="AD57" s="40"/>
    </row>
    <row r="58" customFormat="false" ht="18.75" hidden="false" customHeight="true" outlineLevel="0" collapsed="false">
      <c r="A58" s="18" t="n">
        <v>2020</v>
      </c>
      <c r="B58" s="18" t="n">
        <v>8</v>
      </c>
      <c r="C58" s="24" t="n">
        <v>17054.61</v>
      </c>
      <c r="D58" s="24" t="n">
        <f aca="false">9317.06+304.42</f>
        <v>9621.48</v>
      </c>
      <c r="E58" s="25" t="n">
        <v>344939.16</v>
      </c>
      <c r="F58" s="26" t="n">
        <f aca="false">9468.92+137.43</f>
        <v>9606.35</v>
      </c>
      <c r="G58" s="26" t="n">
        <f aca="false">3609.9+26</f>
        <v>3635.9</v>
      </c>
      <c r="H58" s="88" t="n">
        <v>667963.8</v>
      </c>
      <c r="I58" s="88"/>
      <c r="J58" s="89" t="n">
        <v>597926</v>
      </c>
      <c r="K58" s="89" t="n">
        <v>162237</v>
      </c>
      <c r="L58" s="90" t="n">
        <f aca="false">K58+J58</f>
        <v>760163</v>
      </c>
      <c r="M58" s="91" t="n">
        <v>488282.8</v>
      </c>
      <c r="N58" s="24" t="n">
        <v>1611568</v>
      </c>
      <c r="O58" s="32" t="n">
        <v>282</v>
      </c>
      <c r="P58" s="92" t="n">
        <f aca="false">M58/O58</f>
        <v>1731.49929078014</v>
      </c>
      <c r="Q58" s="93" t="n">
        <f aca="false">'$'!C105</f>
        <v>7.26562</v>
      </c>
      <c r="R58" s="35" t="n">
        <f aca="false">SUM(C58:E58)/Q58</f>
        <v>51147.0803592811</v>
      </c>
      <c r="S58" s="94" t="n">
        <f aca="false">(C58/Q58)/M58</f>
        <v>0.00480726082638682</v>
      </c>
      <c r="T58" s="94" t="n">
        <f aca="false">D58/Q58/M58</f>
        <v>0.00271205051864946</v>
      </c>
      <c r="U58" s="36" t="n">
        <f aca="false">E58/Q58/M58</f>
        <v>0.0972295767159012</v>
      </c>
      <c r="V58" s="36" t="n">
        <f aca="false">(SUM(C58:E58)/Q58)/M58</f>
        <v>0.104748888060937</v>
      </c>
      <c r="W58" s="37" t="n">
        <f aca="false">(N58/Q58)/M58</f>
        <v>0.454260033824201</v>
      </c>
      <c r="X58" s="38" t="n">
        <f aca="false">F58/M58</f>
        <v>0.0196737423476723</v>
      </c>
      <c r="Y58" s="38" t="n">
        <f aca="false">G58/M58</f>
        <v>0.00744629956246667</v>
      </c>
      <c r="Z58" s="39" t="n">
        <f aca="false">H58/M58</f>
        <v>1.36798551986677</v>
      </c>
      <c r="AA58" s="40" t="n">
        <f aca="false">C58/F58</f>
        <v>1.77534755656415</v>
      </c>
      <c r="AB58" s="44" t="n">
        <f aca="false">D58/G58</f>
        <v>2.64624439616051</v>
      </c>
      <c r="AC58" s="40" t="n">
        <f aca="false">E58/H58</f>
        <v>0.516403972790142</v>
      </c>
      <c r="AD58" s="40"/>
    </row>
    <row r="59" customFormat="false" ht="18.75" hidden="false" customHeight="true" outlineLevel="0" collapsed="false">
      <c r="A59" s="18" t="n">
        <v>2020</v>
      </c>
      <c r="B59" s="18" t="n">
        <v>9</v>
      </c>
      <c r="C59" s="24" t="n">
        <v>17245.47</v>
      </c>
      <c r="D59" s="24" t="n">
        <f aca="false">8261.29+341.14</f>
        <v>8602.43</v>
      </c>
      <c r="E59" s="25" t="n">
        <v>315666.5</v>
      </c>
      <c r="F59" s="26" t="n">
        <f aca="false">9498.56+214.6</f>
        <v>9713.16</v>
      </c>
      <c r="G59" s="26" t="n">
        <f aca="false">3500+29</f>
        <v>3529</v>
      </c>
      <c r="H59" s="88" t="n">
        <v>627308.64</v>
      </c>
      <c r="I59" s="88"/>
      <c r="J59" s="89" t="n">
        <v>753508</v>
      </c>
      <c r="K59" s="89" t="n">
        <v>76822</v>
      </c>
      <c r="L59" s="90" t="n">
        <f aca="false">K59+J59</f>
        <v>830330</v>
      </c>
      <c r="M59" s="91" t="n">
        <v>566583.3</v>
      </c>
      <c r="N59" s="24" t="n">
        <v>1654453</v>
      </c>
      <c r="O59" s="32" t="n">
        <v>306</v>
      </c>
      <c r="P59" s="92" t="n">
        <f aca="false">M59/O59</f>
        <v>1851.57941176471</v>
      </c>
      <c r="Q59" s="93" t="n">
        <f aca="false">'$'!C106</f>
        <v>7.537593</v>
      </c>
      <c r="R59" s="35" t="n">
        <f aca="false">SUM(C59:E59)/Q59</f>
        <v>45308.1507584716</v>
      </c>
      <c r="S59" s="94" t="n">
        <f aca="false">(C59/Q59)/M59</f>
        <v>0.00403811405974056</v>
      </c>
      <c r="T59" s="94" t="n">
        <f aca="false">D59/Q59/M59</f>
        <v>0.00201430251138032</v>
      </c>
      <c r="U59" s="36" t="n">
        <f aca="false">E59/Q59/M59</f>
        <v>0.073914908195549</v>
      </c>
      <c r="V59" s="36" t="n">
        <f aca="false">(SUM(C59:E59)/Q59)/M59</f>
        <v>0.0799673247666699</v>
      </c>
      <c r="W59" s="37" t="n">
        <f aca="false">(N59/Q59)/M59</f>
        <v>0.38739854120995</v>
      </c>
      <c r="X59" s="38" t="n">
        <f aca="false">F59/M59</f>
        <v>0.0171433926838295</v>
      </c>
      <c r="Y59" s="38" t="n">
        <f aca="false">G59/M59</f>
        <v>0.00622856339041408</v>
      </c>
      <c r="Z59" s="39" t="n">
        <f aca="false">H59/M59</f>
        <v>1.10717813250055</v>
      </c>
      <c r="AA59" s="40" t="n">
        <f aca="false">C59/F59</f>
        <v>1.775474716776</v>
      </c>
      <c r="AB59" s="40" t="n">
        <f aca="false">D59/G59</f>
        <v>2.43763955794843</v>
      </c>
      <c r="AC59" s="40" t="n">
        <f aca="false">E59/H59</f>
        <v>0.503207639544069</v>
      </c>
      <c r="AD59" s="40"/>
    </row>
    <row r="60" customFormat="false" ht="18.75" hidden="false" customHeight="true" outlineLevel="0" collapsed="false">
      <c r="A60" s="18" t="n">
        <v>2020</v>
      </c>
      <c r="B60" s="18" t="n">
        <v>10</v>
      </c>
      <c r="C60" s="24" t="n">
        <v>16330.87</v>
      </c>
      <c r="D60" s="24" t="n">
        <f aca="false">7563.15+320.62</f>
        <v>7883.77</v>
      </c>
      <c r="E60" s="25" t="n">
        <v>388036.14</v>
      </c>
      <c r="F60" s="26" t="n">
        <f aca="false">9140.55+56.52</f>
        <v>9197.07</v>
      </c>
      <c r="G60" s="26" t="n">
        <f aca="false">3120+27</f>
        <v>3147</v>
      </c>
      <c r="H60" s="88" t="n">
        <v>715758.12</v>
      </c>
      <c r="I60" s="88"/>
      <c r="J60" s="89" t="n">
        <v>801846</v>
      </c>
      <c r="K60" s="89" t="n">
        <v>45829</v>
      </c>
      <c r="L60" s="90" t="n">
        <f aca="false">K60+J60</f>
        <v>847675</v>
      </c>
      <c r="M60" s="97" t="n">
        <v>575992.5</v>
      </c>
      <c r="N60" s="24" t="n">
        <v>1778340</v>
      </c>
      <c r="O60" s="32" t="n">
        <v>322</v>
      </c>
      <c r="P60" s="92" t="n">
        <f aca="false">M60/O60</f>
        <v>1788.79658385093</v>
      </c>
      <c r="Q60" s="93" t="n">
        <f aca="false">'$'!C107</f>
        <v>7.930235</v>
      </c>
      <c r="R60" s="35" t="n">
        <f aca="false">SUM(C60:E60)/Q60</f>
        <v>51984.6864563282</v>
      </c>
      <c r="S60" s="94" t="n">
        <f aca="false">(C60/Q60)/M60</f>
        <v>0.00357525017042398</v>
      </c>
      <c r="T60" s="94" t="n">
        <f aca="false">D60/Q60/M60</f>
        <v>0.00172596132576424</v>
      </c>
      <c r="U60" s="36" t="n">
        <f aca="false">E60/Q60/M60</f>
        <v>0.0849511554292982</v>
      </c>
      <c r="V60" s="36" t="n">
        <f aca="false">(SUM(C60:E60)/Q60)/M60</f>
        <v>0.0902523669254864</v>
      </c>
      <c r="W60" s="37" t="n">
        <f aca="false">(N60/Q60)/M60</f>
        <v>0.389324658641688</v>
      </c>
      <c r="X60" s="98" t="n">
        <f aca="false">F60/M60</f>
        <v>0.0159673433247829</v>
      </c>
      <c r="Y60" s="38" t="n">
        <f aca="false">G60/M60</f>
        <v>0.00546361280745843</v>
      </c>
      <c r="Z60" s="39" t="n">
        <f aca="false">H60/M60</f>
        <v>1.24265180536205</v>
      </c>
      <c r="AA60" s="40" t="n">
        <f aca="false">C60/F60</f>
        <v>1.77566007434977</v>
      </c>
      <c r="AB60" s="40" t="n">
        <f aca="false">D60/G60</f>
        <v>2.50517000317763</v>
      </c>
      <c r="AC60" s="40" t="n">
        <f aca="false">E60/H60</f>
        <v>0.542133060257843</v>
      </c>
      <c r="AD60" s="40"/>
    </row>
    <row r="61" customFormat="false" ht="18.75" hidden="false" customHeight="true" outlineLevel="0" collapsed="false">
      <c r="A61" s="18" t="n">
        <v>2020</v>
      </c>
      <c r="B61" s="18" t="n">
        <v>11</v>
      </c>
      <c r="C61" s="24" t="n">
        <v>18851.29</v>
      </c>
      <c r="D61" s="24" t="n">
        <f aca="false">7190.89+261.5</f>
        <v>7452.39</v>
      </c>
      <c r="E61" s="25" t="n">
        <v>356354.06</v>
      </c>
      <c r="F61" s="26" t="n">
        <f aca="false">10202.72+412.55</f>
        <v>10615.27</v>
      </c>
      <c r="G61" s="26" t="n">
        <f aca="false">3074+22</f>
        <v>3096</v>
      </c>
      <c r="H61" s="88" t="n">
        <v>717060.96</v>
      </c>
      <c r="I61" s="88"/>
      <c r="J61" s="89" t="n">
        <v>824699</v>
      </c>
      <c r="K61" s="89" t="n">
        <v>33661</v>
      </c>
      <c r="L61" s="90" t="n">
        <f aca="false">K61+J61</f>
        <v>858360</v>
      </c>
      <c r="M61" s="91" t="n">
        <v>405126.3</v>
      </c>
      <c r="N61" s="24" t="n">
        <v>1570343</v>
      </c>
      <c r="O61" s="32" t="n">
        <v>372</v>
      </c>
      <c r="P61" s="92" t="n">
        <f aca="false">M61/O61</f>
        <v>1089.04919354839</v>
      </c>
      <c r="Q61" s="93" t="n">
        <f aca="false">'$'!C108</f>
        <v>7.983238</v>
      </c>
      <c r="R61" s="35" t="n">
        <f aca="false">SUM(C61:E61)/Q61</f>
        <v>47932.6483815214</v>
      </c>
      <c r="S61" s="94" t="n">
        <f aca="false">(C61/Q61)/M61</f>
        <v>0.00582869808059468</v>
      </c>
      <c r="T61" s="94" t="n">
        <f aca="false">D61/Q61/M61</f>
        <v>0.00230423123769477</v>
      </c>
      <c r="U61" s="36" t="n">
        <f aca="false">E61/Q61/M61</f>
        <v>0.110182392055616</v>
      </c>
      <c r="V61" s="36" t="n">
        <f aca="false">(SUM(C61:E61)/Q61)/M61</f>
        <v>0.118315321373906</v>
      </c>
      <c r="W61" s="37" t="n">
        <f aca="false">(N61/Q61)/M61</f>
        <v>0.485539993813436</v>
      </c>
      <c r="X61" s="38" t="n">
        <f aca="false">F61/M61</f>
        <v>0.0262023719516605</v>
      </c>
      <c r="Y61" s="38" t="n">
        <f aca="false">G61/M61</f>
        <v>0.00764206125349058</v>
      </c>
      <c r="Z61" s="52" t="n">
        <f aca="false">H61/M61</f>
        <v>1.76996892080322</v>
      </c>
      <c r="AA61" s="40" t="n">
        <f aca="false">C61/F61</f>
        <v>1.77586533361846</v>
      </c>
      <c r="AB61" s="40" t="n">
        <f aca="false">D61/G61</f>
        <v>2.40710271317829</v>
      </c>
      <c r="AC61" s="40" t="n">
        <f aca="false">E61/H61</f>
        <v>0.496964804777546</v>
      </c>
      <c r="AD61" s="40"/>
    </row>
    <row r="62" customFormat="false" ht="18.75" hidden="false" customHeight="true" outlineLevel="0" collapsed="false">
      <c r="A62" s="18" t="n">
        <v>2020</v>
      </c>
      <c r="B62" s="18" t="n">
        <v>12</v>
      </c>
      <c r="C62" s="24" t="n">
        <v>17754.3</v>
      </c>
      <c r="D62" s="24" t="n">
        <f aca="false">8377.84+293.55</f>
        <v>8671.39</v>
      </c>
      <c r="E62" s="25" t="n">
        <v>373037.11</v>
      </c>
      <c r="F62" s="26" t="n">
        <f aca="false">9755.28+239.63</f>
        <v>9994.91</v>
      </c>
      <c r="G62" s="26" t="n">
        <f aca="false">3473+24</f>
        <v>3497</v>
      </c>
      <c r="H62" s="88" t="n">
        <v>756027.72</v>
      </c>
      <c r="I62" s="88"/>
      <c r="J62" s="89" t="n">
        <v>875189</v>
      </c>
      <c r="K62" s="89" t="n">
        <v>13607</v>
      </c>
      <c r="L62" s="99" t="n">
        <f aca="false">K62+J62</f>
        <v>888796</v>
      </c>
      <c r="M62" s="91" t="n">
        <v>567946.1</v>
      </c>
      <c r="N62" s="24" t="n">
        <v>1721395</v>
      </c>
      <c r="O62" s="32" t="n">
        <v>368</v>
      </c>
      <c r="P62" s="92" t="n">
        <f aca="false">M62/O62</f>
        <v>1543.33179347826</v>
      </c>
      <c r="Q62" s="93" t="n">
        <f aca="false">'$'!C109</f>
        <v>7.718763</v>
      </c>
      <c r="R62" s="35" t="n">
        <f aca="false">SUM(C62:E62)/Q62</f>
        <v>51752.1784254809</v>
      </c>
      <c r="S62" s="94" t="n">
        <f aca="false">(C62/Q62)/M62</f>
        <v>0.0040499412757418</v>
      </c>
      <c r="T62" s="94" t="n">
        <f aca="false">D62/Q62/M62</f>
        <v>0.00197803463268361</v>
      </c>
      <c r="U62" s="36" t="n">
        <f aca="false">E62/Q62/M62</f>
        <v>0.0850936612072813</v>
      </c>
      <c r="V62" s="36" t="n">
        <f aca="false">(SUM(C62:E62)/Q62)/M62</f>
        <v>0.0911216371157067</v>
      </c>
      <c r="W62" s="37" t="n">
        <f aca="false">(N62/Q62)/M62</f>
        <v>0.39266817967228</v>
      </c>
      <c r="X62" s="38" t="n">
        <f aca="false">F62/M62</f>
        <v>0.0175983425187707</v>
      </c>
      <c r="Y62" s="38" t="n">
        <f aca="false">G62/M62</f>
        <v>0.00615727443149975</v>
      </c>
      <c r="Z62" s="39" t="n">
        <f aca="false">H62/M62</f>
        <v>1.33116103799287</v>
      </c>
      <c r="AA62" s="40" t="n">
        <f aca="false">C62/F62</f>
        <v>1.77633415408443</v>
      </c>
      <c r="AB62" s="40" t="n">
        <f aca="false">D62/G62</f>
        <v>2.47966542750929</v>
      </c>
      <c r="AC62" s="40" t="n">
        <f aca="false">E62/H62</f>
        <v>0.493417238722411</v>
      </c>
      <c r="AD62" s="40"/>
    </row>
    <row r="63" customFormat="false" ht="18.75" hidden="false" customHeight="true" outlineLevel="0" collapsed="false">
      <c r="A63" s="18" t="n">
        <v>2021</v>
      </c>
      <c r="B63" s="18" t="n">
        <v>1</v>
      </c>
      <c r="C63" s="24" t="n">
        <v>17133.36</v>
      </c>
      <c r="D63" s="24" t="n">
        <f aca="false">8697.35+252.56</f>
        <v>8949.91</v>
      </c>
      <c r="E63" s="25" t="n">
        <v>380073.65</v>
      </c>
      <c r="F63" s="26" t="n">
        <v>9661.91</v>
      </c>
      <c r="G63" s="26" t="n">
        <f aca="false">3040+20</f>
        <v>3060</v>
      </c>
      <c r="H63" s="88" t="n">
        <v>738717.84</v>
      </c>
      <c r="I63" s="88"/>
      <c r="J63" s="89" t="n">
        <v>810187</v>
      </c>
      <c r="K63" s="89" t="n">
        <v>289</v>
      </c>
      <c r="L63" s="90" t="n">
        <f aca="false">K63+J63</f>
        <v>810476</v>
      </c>
      <c r="M63" s="91" t="n">
        <v>534226.9</v>
      </c>
      <c r="N63" s="24" t="n">
        <v>2243372</v>
      </c>
      <c r="O63" s="32" t="n">
        <v>375</v>
      </c>
      <c r="P63" s="92" t="n">
        <f aca="false">M63/O63</f>
        <v>1424.60506666667</v>
      </c>
      <c r="Q63" s="93" t="n">
        <f aca="false">'$'!C110</f>
        <v>7.403641</v>
      </c>
      <c r="R63" s="35" t="n">
        <f aca="false">SUM(C63:E63)/Q63</f>
        <v>54859.0781211569</v>
      </c>
      <c r="S63" s="94" t="n">
        <f aca="false">(C63/Q63)/M63</f>
        <v>0.00433183031344155</v>
      </c>
      <c r="T63" s="94" t="n">
        <f aca="false">D63/Q63/M63</f>
        <v>0.00226280726259027</v>
      </c>
      <c r="U63" s="36" t="n">
        <f aca="false">E63/Q63/M63</f>
        <v>0.0960940853638967</v>
      </c>
      <c r="V63" s="36" t="n">
        <f aca="false">(SUM(C63:E63)/Q63)/M63</f>
        <v>0.102688722939928</v>
      </c>
      <c r="W63" s="37" t="n">
        <f aca="false">(N63/Q63)/M63</f>
        <v>0.56719212308187</v>
      </c>
      <c r="X63" s="38" t="n">
        <f aca="false">F63/M63</f>
        <v>0.0180857796565467</v>
      </c>
      <c r="Y63" s="38" t="n">
        <f aca="false">G63/M63</f>
        <v>0.00572790325608838</v>
      </c>
      <c r="Z63" s="39" t="n">
        <f aca="false">H63/M63</f>
        <v>1.38277918989104</v>
      </c>
      <c r="AA63" s="40" t="n">
        <f aca="false">C63/F63</f>
        <v>1.77328913227302</v>
      </c>
      <c r="AB63" s="40" t="n">
        <f aca="false">D63/G63</f>
        <v>2.92480718954248</v>
      </c>
      <c r="AC63" s="40" t="n">
        <f aca="false">E63/H63</f>
        <v>0.514504496060363</v>
      </c>
      <c r="AD63" s="40"/>
    </row>
    <row r="64" customFormat="false" ht="18.75" hidden="false" customHeight="true" outlineLevel="0" collapsed="false">
      <c r="A64" s="18" t="n">
        <v>2021</v>
      </c>
      <c r="B64" s="18" t="n">
        <v>2</v>
      </c>
      <c r="C64" s="24" t="n">
        <v>13506.94</v>
      </c>
      <c r="D64" s="24" t="n">
        <f aca="false">8078.32+126.45</f>
        <v>8204.77</v>
      </c>
      <c r="E64" s="25" t="n">
        <v>338638.69</v>
      </c>
      <c r="F64" s="26" t="n">
        <v>7542.37</v>
      </c>
      <c r="G64" s="26" t="n">
        <f aca="false">2926+10</f>
        <v>2936</v>
      </c>
      <c r="H64" s="88" t="n">
        <v>635589.36</v>
      </c>
      <c r="I64" s="88"/>
      <c r="J64" s="89" t="n">
        <v>716202</v>
      </c>
      <c r="K64" s="89" t="n">
        <v>0</v>
      </c>
      <c r="L64" s="90" t="n">
        <f aca="false">K64+J64</f>
        <v>716202</v>
      </c>
      <c r="M64" s="91" t="n">
        <v>370301.9</v>
      </c>
      <c r="N64" s="24" t="n">
        <v>1975487</v>
      </c>
      <c r="O64" s="32" t="n">
        <v>374</v>
      </c>
      <c r="P64" s="92" t="n">
        <f aca="false">M64/O64</f>
        <v>990.112032085561</v>
      </c>
      <c r="Q64" s="93" t="n">
        <f aca="false">'$'!C111</f>
        <v>7.099851</v>
      </c>
      <c r="R64" s="35" t="n">
        <f aca="false">SUM(C64:E64)/Q64</f>
        <v>50754.6425974292</v>
      </c>
      <c r="S64" s="94" t="n">
        <f aca="false">(C64/Q64)/M64</f>
        <v>0.00513749953656965</v>
      </c>
      <c r="T64" s="94" t="n">
        <f aca="false">D64/Q64/M64</f>
        <v>0.0031207662188964</v>
      </c>
      <c r="U64" s="36" t="n">
        <f aca="false">E64/Q64/M64</f>
        <v>0.128804608071077</v>
      </c>
      <c r="V64" s="36" t="n">
        <f aca="false">(SUM(C64:E64)/Q64)/M64</f>
        <v>0.137062873826543</v>
      </c>
      <c r="W64" s="37" t="n">
        <f aca="false">(N64/Q64)/M64</f>
        <v>0.751396211651148</v>
      </c>
      <c r="X64" s="38" t="n">
        <f aca="false">F64/M64</f>
        <v>0.0203681644625642</v>
      </c>
      <c r="Y64" s="38" t="n">
        <f aca="false">G64/M64</f>
        <v>0.00792866577244135</v>
      </c>
      <c r="Z64" s="39" t="n">
        <f aca="false">H64/M64</f>
        <v>1.71640858445501</v>
      </c>
      <c r="AA64" s="40" t="n">
        <f aca="false">C64/F64</f>
        <v>1.79080845940997</v>
      </c>
      <c r="AB64" s="40" t="n">
        <f aca="false">D64/G64</f>
        <v>2.79454019073569</v>
      </c>
      <c r="AC64" s="40" t="n">
        <f aca="false">E64/H64</f>
        <v>0.532794774915678</v>
      </c>
      <c r="AD64" s="40"/>
    </row>
    <row r="65" customFormat="false" ht="18.75" hidden="false" customHeight="true" outlineLevel="0" collapsed="false">
      <c r="A65" s="18" t="n">
        <v>2021</v>
      </c>
      <c r="B65" s="18" t="n">
        <v>3</v>
      </c>
      <c r="C65" s="24" t="n">
        <v>20029.33</v>
      </c>
      <c r="D65" s="24" t="n">
        <f aca="false">5996.52+206.12</f>
        <v>6202.64</v>
      </c>
      <c r="E65" s="25" t="n">
        <v>432981.22</v>
      </c>
      <c r="F65" s="26" t="n">
        <v>11074.47</v>
      </c>
      <c r="G65" s="26" t="n">
        <f aca="false">1934+16</f>
        <v>1950</v>
      </c>
      <c r="H65" s="88" t="n">
        <v>747260.64</v>
      </c>
      <c r="I65" s="88"/>
      <c r="J65" s="89" t="n">
        <v>400682</v>
      </c>
      <c r="K65" s="89" t="n">
        <v>364089</v>
      </c>
      <c r="L65" s="90" t="n">
        <f aca="false">K65+J65</f>
        <v>764771</v>
      </c>
      <c r="M65" s="91" t="n">
        <v>427179</v>
      </c>
      <c r="N65" s="24" t="n">
        <v>2154108</v>
      </c>
      <c r="O65" s="32" t="n">
        <v>371</v>
      </c>
      <c r="P65" s="92" t="n">
        <f aca="false">M65/O65</f>
        <v>1151.42587601078</v>
      </c>
      <c r="Q65" s="93" t="n">
        <f aca="false">'$'!C112</f>
        <v>7.64142</v>
      </c>
      <c r="R65" s="35" t="n">
        <f aca="false">SUM(C65:E65)/Q65</f>
        <v>60095.26894216</v>
      </c>
      <c r="S65" s="94" t="n">
        <f aca="false">(C65/Q65)/M65</f>
        <v>0.00613595910549786</v>
      </c>
      <c r="T65" s="94" t="n">
        <f aca="false">D65/Q65/M65</f>
        <v>0.00190017066902015</v>
      </c>
      <c r="U65" s="36" t="n">
        <f aca="false">E65/Q65/M65</f>
        <v>0.132643231669186</v>
      </c>
      <c r="V65" s="36" t="n">
        <f aca="false">(SUM(C65:E65)/Q65)/M65</f>
        <v>0.140679361443704</v>
      </c>
      <c r="W65" s="37" t="n">
        <f aca="false">(N65/Q65)/M65</f>
        <v>0.65990817450338</v>
      </c>
      <c r="X65" s="38" t="n">
        <f aca="false">F65/M65</f>
        <v>0.0259246592177986</v>
      </c>
      <c r="Y65" s="38" t="n">
        <f aca="false">G65/M65</f>
        <v>0.00456483113636204</v>
      </c>
      <c r="Z65" s="39" t="n">
        <f aca="false">H65/M65</f>
        <v>1.74929160843581</v>
      </c>
      <c r="AA65" s="40" t="n">
        <f aca="false">C65/F65</f>
        <v>1.80860393319048</v>
      </c>
      <c r="AB65" s="44" t="n">
        <f aca="false">D65/G65</f>
        <v>3.18084102564103</v>
      </c>
      <c r="AC65" s="40" t="n">
        <f aca="false">E65/H65</f>
        <v>0.579424630206671</v>
      </c>
      <c r="AD65" s="40"/>
    </row>
    <row r="66" customFormat="false" ht="18.75" hidden="false" customHeight="true" outlineLevel="0" collapsed="false">
      <c r="A66" s="18" t="n">
        <v>2021</v>
      </c>
      <c r="B66" s="18" t="n">
        <v>4</v>
      </c>
      <c r="C66" s="24" t="n">
        <v>17806.64</v>
      </c>
      <c r="D66" s="24" t="n">
        <f aca="false">7117.87+116.5</f>
        <v>7234.37</v>
      </c>
      <c r="E66" s="25" t="n">
        <v>369060.12</v>
      </c>
      <c r="F66" s="26" t="n">
        <v>9588.08</v>
      </c>
      <c r="G66" s="26" t="n">
        <f aca="false">2481+9</f>
        <v>2490</v>
      </c>
      <c r="H66" s="88" t="n">
        <v>634311.72</v>
      </c>
      <c r="I66" s="88"/>
      <c r="J66" s="89" t="n">
        <v>318976</v>
      </c>
      <c r="K66" s="89" t="n">
        <v>430335</v>
      </c>
      <c r="L66" s="90" t="n">
        <f aca="false">K66+J66</f>
        <v>749311</v>
      </c>
      <c r="M66" s="91" t="n">
        <v>368481.9</v>
      </c>
      <c r="N66" s="24" t="n">
        <v>2073478</v>
      </c>
      <c r="O66" s="32" t="n">
        <v>374</v>
      </c>
      <c r="P66" s="92" t="n">
        <f aca="false">M66/O66</f>
        <v>985.245721925134</v>
      </c>
      <c r="Q66" s="93" t="n">
        <f aca="false">'$'!C113</f>
        <v>8.183046</v>
      </c>
      <c r="R66" s="35" t="n">
        <f aca="false">SUM(C66:E66)/Q66</f>
        <v>48160.6885748901</v>
      </c>
      <c r="S66" s="94" t="n">
        <f aca="false">(C66/Q66)/M66</f>
        <v>0.00590542048322522</v>
      </c>
      <c r="T66" s="94" t="n">
        <f aca="false">D66/Q66/M66</f>
        <v>0.00239921718983649</v>
      </c>
      <c r="U66" s="36" t="n">
        <f aca="false">E66/Q66/M66</f>
        <v>0.122395645230631</v>
      </c>
      <c r="V66" s="36" t="n">
        <f aca="false">(SUM(C66:E66)/Q66)/M66</f>
        <v>0.130700282903692</v>
      </c>
      <c r="W66" s="37" t="n">
        <f aca="false">(N66/Q66)/M66</f>
        <v>0.687651317301684</v>
      </c>
      <c r="X66" s="38" t="n">
        <f aca="false">F66/M66</f>
        <v>0.0260204911014625</v>
      </c>
      <c r="Y66" s="38" t="n">
        <f aca="false">G66/M66</f>
        <v>0.0067574553865468</v>
      </c>
      <c r="Z66" s="39" t="n">
        <f aca="false">H66/M66</f>
        <v>1.72141893536697</v>
      </c>
      <c r="AA66" s="40" t="n">
        <f aca="false">C66/F66</f>
        <v>1.85716431235451</v>
      </c>
      <c r="AB66" s="40" t="n">
        <f aca="false">D66/G66</f>
        <v>2.90536947791165</v>
      </c>
      <c r="AC66" s="40" t="n">
        <f aca="false">E66/H66</f>
        <v>0.581827685605431</v>
      </c>
      <c r="AD66" s="40"/>
    </row>
    <row r="67" customFormat="false" ht="18.75" hidden="false" customHeight="true" outlineLevel="0" collapsed="false">
      <c r="A67" s="18" t="n">
        <v>2021</v>
      </c>
      <c r="B67" s="18" t="n">
        <v>5</v>
      </c>
      <c r="C67" s="24" t="n">
        <v>17026.89</v>
      </c>
      <c r="D67" s="24" t="n">
        <f aca="false">6567.79+393.79</f>
        <v>6961.58</v>
      </c>
      <c r="E67" s="25" t="n">
        <v>405593.68</v>
      </c>
      <c r="F67" s="26" t="n">
        <v>9231.63</v>
      </c>
      <c r="G67" s="26" t="n">
        <f aca="false">2175+30</f>
        <v>2205</v>
      </c>
      <c r="H67" s="88" t="n">
        <v>601302.24</v>
      </c>
      <c r="I67" s="88"/>
      <c r="J67" s="89" t="n">
        <v>263514</v>
      </c>
      <c r="K67" s="89" t="n">
        <v>408901</v>
      </c>
      <c r="L67" s="90" t="n">
        <f aca="false">K67+J67</f>
        <v>672415</v>
      </c>
      <c r="M67" s="91" t="n">
        <v>312747.8</v>
      </c>
      <c r="N67" s="24" t="n">
        <v>2235877</v>
      </c>
      <c r="O67" s="32" t="n">
        <v>368</v>
      </c>
      <c r="P67" s="92" t="n">
        <f aca="false">M67/O67</f>
        <v>849.858152173913</v>
      </c>
      <c r="Q67" s="93" t="n">
        <f aca="false">'$'!C114</f>
        <v>8.384721</v>
      </c>
      <c r="R67" s="35" t="n">
        <f aca="false">SUM(C67:E67)/Q67</f>
        <v>51233.9229892086</v>
      </c>
      <c r="S67" s="94" t="n">
        <f aca="false">(C67/Q67)/M67</f>
        <v>0.00649310537300799</v>
      </c>
      <c r="T67" s="94" t="n">
        <f aca="false">D67/Q67/M67</f>
        <v>0.00265475800352413</v>
      </c>
      <c r="U67" s="36" t="n">
        <f aca="false">E67/Q67/M67</f>
        <v>0.154670788550703</v>
      </c>
      <c r="V67" s="36" t="n">
        <f aca="false">(SUM(C67:E67)/Q67)/M67</f>
        <v>0.163818651927235</v>
      </c>
      <c r="W67" s="37" t="n">
        <f aca="false">(N67/Q67)/M67</f>
        <v>0.852638676944819</v>
      </c>
      <c r="X67" s="38" t="n">
        <f aca="false">F67/M67</f>
        <v>0.0295178095577331</v>
      </c>
      <c r="Y67" s="38" t="n">
        <f aca="false">G67/M67</f>
        <v>0.00705040930743558</v>
      </c>
      <c r="Z67" s="39" t="n">
        <f aca="false">H67/M67</f>
        <v>1.92264258933236</v>
      </c>
      <c r="AA67" s="40" t="n">
        <f aca="false">C67/F67</f>
        <v>1.84440775897648</v>
      </c>
      <c r="AB67" s="40" t="n">
        <f aca="false">D67/G67</f>
        <v>3.157179138322</v>
      </c>
      <c r="AC67" s="40" t="n">
        <f aca="false">E67/H67</f>
        <v>0.674525476572314</v>
      </c>
      <c r="AD67" s="40"/>
    </row>
    <row r="68" customFormat="false" ht="18.75" hidden="false" customHeight="true" outlineLevel="0" collapsed="false">
      <c r="A68" s="18" t="n">
        <v>2021</v>
      </c>
      <c r="B68" s="18" t="n">
        <v>6</v>
      </c>
      <c r="C68" s="24" t="n">
        <v>14492.24</v>
      </c>
      <c r="D68" s="24" t="n">
        <f aca="false">6599.45+319.32</f>
        <v>6918.77</v>
      </c>
      <c r="E68" s="25" t="n">
        <v>392610.66</v>
      </c>
      <c r="F68" s="26" t="n">
        <v>7780.04</v>
      </c>
      <c r="G68" s="26" t="n">
        <f aca="false">2205+24</f>
        <v>2229</v>
      </c>
      <c r="H68" s="88" t="n">
        <v>583624.44</v>
      </c>
      <c r="I68" s="88"/>
      <c r="J68" s="89" t="n">
        <v>245479</v>
      </c>
      <c r="K68" s="89" t="n">
        <v>438748</v>
      </c>
      <c r="L68" s="90" t="n">
        <f aca="false">K68+J68</f>
        <v>684227</v>
      </c>
      <c r="M68" s="91" t="n">
        <v>288386.6</v>
      </c>
      <c r="N68" s="24" t="n">
        <v>1921974</v>
      </c>
      <c r="O68" s="32" t="n">
        <v>364</v>
      </c>
      <c r="P68" s="92" t="n">
        <f aca="false">M68/O68</f>
        <v>792.270879120879</v>
      </c>
      <c r="Q68" s="93" t="n">
        <f aca="false">'$'!C115</f>
        <v>8.631709</v>
      </c>
      <c r="R68" s="35" t="n">
        <f aca="false">SUM(C68:E68)/Q68</f>
        <v>47965.2024877113</v>
      </c>
      <c r="S68" s="94" t="n">
        <f aca="false">(C68/Q68)/M68</f>
        <v>0.0058218853700955</v>
      </c>
      <c r="T68" s="94" t="n">
        <f aca="false">D68/Q68/M68</f>
        <v>0.00277943822639258</v>
      </c>
      <c r="U68" s="36" t="n">
        <f aca="false">E68/Q68/M68</f>
        <v>0.157721253415451</v>
      </c>
      <c r="V68" s="36" t="n">
        <f aca="false">(SUM(C68:E68)/Q68)/M68</f>
        <v>0.166322577011939</v>
      </c>
      <c r="W68" s="37" t="n">
        <f aca="false">(N68/Q68)/M68</f>
        <v>0.772103712904556</v>
      </c>
      <c r="X68" s="38" t="n">
        <f aca="false">F68/M68</f>
        <v>0.0269778138096569</v>
      </c>
      <c r="Y68" s="38" t="n">
        <f aca="false">G68/M68</f>
        <v>0.00772920794516805</v>
      </c>
      <c r="Z68" s="39" t="n">
        <f aca="false">H68/M68</f>
        <v>2.0237571371208</v>
      </c>
      <c r="AA68" s="40" t="n">
        <f aca="false">C68/F68</f>
        <v>1.86274620696038</v>
      </c>
      <c r="AB68" s="40" t="n">
        <f aca="false">D68/G68</f>
        <v>3.10397936294302</v>
      </c>
      <c r="AC68" s="40" t="n">
        <f aca="false">E68/H68</f>
        <v>0.672711135949002</v>
      </c>
      <c r="AD68" s="40"/>
    </row>
    <row r="69" customFormat="false" ht="18.75" hidden="false" customHeight="true" outlineLevel="0" collapsed="false">
      <c r="A69" s="18" t="n">
        <v>2021</v>
      </c>
      <c r="B69" s="18" t="n">
        <v>7</v>
      </c>
      <c r="C69" s="24" t="n">
        <v>12918.09</v>
      </c>
      <c r="D69" s="24" t="n">
        <f aca="false">7111.05+308.87</f>
        <v>7419.92</v>
      </c>
      <c r="E69" s="25" t="n">
        <v>405083.59</v>
      </c>
      <c r="F69" s="26" t="n">
        <v>5805.45</v>
      </c>
      <c r="G69" s="26" t="n">
        <f aca="false">2414+23</f>
        <v>2437</v>
      </c>
      <c r="H69" s="88" t="n">
        <v>521607.24</v>
      </c>
      <c r="I69" s="88"/>
      <c r="J69" s="89" t="n">
        <v>258394</v>
      </c>
      <c r="K69" s="89" t="n">
        <v>330979</v>
      </c>
      <c r="L69" s="90" t="n">
        <f aca="false">K69+J69</f>
        <v>589373</v>
      </c>
      <c r="M69" s="91" t="n">
        <v>286930.3</v>
      </c>
      <c r="N69" s="24" t="n">
        <v>2033828</v>
      </c>
      <c r="O69" s="32" t="n">
        <v>351</v>
      </c>
      <c r="P69" s="92" t="n">
        <f aca="false">M69/O69</f>
        <v>817.465242165242</v>
      </c>
      <c r="Q69" s="93" t="n">
        <f aca="false">'$'!C116</f>
        <v>8.605101</v>
      </c>
      <c r="R69" s="35" t="n">
        <f aca="false">SUM(C69:E69)/Q69</f>
        <v>49438.3040942808</v>
      </c>
      <c r="S69" s="94" t="n">
        <f aca="false">(C69/Q69)/M69</f>
        <v>0.00523197814785049</v>
      </c>
      <c r="T69" s="94" t="n">
        <f aca="false">D69/Q69/M69</f>
        <v>0.0030051547325339</v>
      </c>
      <c r="U69" s="36" t="n">
        <f aca="false">E69/Q69/M69</f>
        <v>0.164063610869163</v>
      </c>
      <c r="V69" s="36" t="n">
        <f aca="false">(SUM(C69:E69)/Q69)/M69</f>
        <v>0.172300743749548</v>
      </c>
      <c r="W69" s="37" t="n">
        <f aca="false">(N69/Q69)/M69</f>
        <v>0.823724223355502</v>
      </c>
      <c r="X69" s="38" t="n">
        <f aca="false">F69/M69</f>
        <v>0.0202329624999521</v>
      </c>
      <c r="Y69" s="38" t="n">
        <f aca="false">G69/M69</f>
        <v>0.00849335186977465</v>
      </c>
      <c r="Z69" s="39" t="n">
        <f aca="false">H69/M69</f>
        <v>1.81788831643085</v>
      </c>
      <c r="AA69" s="40" t="n">
        <f aca="false">C69/F69</f>
        <v>2.22516600780301</v>
      </c>
      <c r="AB69" s="40" t="n">
        <f aca="false">D69/G69</f>
        <v>3.0446942962659</v>
      </c>
      <c r="AC69" s="40" t="n">
        <f aca="false">E69/H69</f>
        <v>0.776606532532025</v>
      </c>
      <c r="AD69" s="40"/>
    </row>
    <row r="70" customFormat="false" ht="18.75" hidden="false" customHeight="true" outlineLevel="0" collapsed="false">
      <c r="A70" s="18" t="n">
        <v>2021</v>
      </c>
      <c r="B70" s="18" t="n">
        <v>8</v>
      </c>
      <c r="C70" s="24" t="n">
        <v>15404.5</v>
      </c>
      <c r="D70" s="24" t="n">
        <f aca="false">7592.23+178.44</f>
        <v>7770.67</v>
      </c>
      <c r="E70" s="25" t="n">
        <v>436099.83</v>
      </c>
      <c r="F70" s="26" t="n">
        <v>6921.36</v>
      </c>
      <c r="G70" s="26" t="n">
        <f aca="false">2555+13</f>
        <v>2568</v>
      </c>
      <c r="H70" s="88" t="n">
        <v>529608.24</v>
      </c>
      <c r="I70" s="88"/>
      <c r="J70" s="89" t="n">
        <v>299277</v>
      </c>
      <c r="K70" s="89" t="n">
        <v>260626</v>
      </c>
      <c r="L70" s="90" t="n">
        <f aca="false">K70+J70</f>
        <v>559903</v>
      </c>
      <c r="M70" s="91" t="n">
        <v>314870.4</v>
      </c>
      <c r="N70" s="24" t="n">
        <v>2080371</v>
      </c>
      <c r="O70" s="32" t="n">
        <v>324</v>
      </c>
      <c r="P70" s="92" t="n">
        <f aca="false">M70/O70</f>
        <v>971.822222222222</v>
      </c>
      <c r="Q70" s="93" t="n">
        <f aca="false">'$'!C117</f>
        <v>8.484798</v>
      </c>
      <c r="R70" s="35" t="n">
        <f aca="false">SUM(C70:E70)/Q70</f>
        <v>54129.1613542243</v>
      </c>
      <c r="S70" s="94" t="n">
        <f aca="false">(C70/Q70)/M70</f>
        <v>0.00576599502402499</v>
      </c>
      <c r="T70" s="94" t="n">
        <f aca="false">D70/Q70/M70</f>
        <v>0.00290860752074655</v>
      </c>
      <c r="U70" s="36" t="n">
        <f aca="false">E70/Q70/M70</f>
        <v>0.163234733341435</v>
      </c>
      <c r="V70" s="36" t="n">
        <f aca="false">(SUM(C70:E70)/Q70)/M70</f>
        <v>0.171909335886207</v>
      </c>
      <c r="W70" s="37" t="n">
        <f aca="false">(N70/Q70)/M70</f>
        <v>0.77869511078749</v>
      </c>
      <c r="X70" s="38" t="n">
        <f aca="false">F70/M70</f>
        <v>0.0219816152931492</v>
      </c>
      <c r="Y70" s="38" t="n">
        <f aca="false">G70/M70</f>
        <v>0.00815573645537974</v>
      </c>
      <c r="Z70" s="39" t="n">
        <f aca="false">H70/M70</f>
        <v>1.68198801792738</v>
      </c>
      <c r="AA70" s="40" t="n">
        <f aca="false">C70/F70</f>
        <v>2.22564640475282</v>
      </c>
      <c r="AB70" s="40" t="n">
        <f aca="false">D70/G70</f>
        <v>3.02596183800623</v>
      </c>
      <c r="AC70" s="40" t="n">
        <f aca="false">E70/H70</f>
        <v>0.823438528826515</v>
      </c>
      <c r="AD70" s="40"/>
    </row>
    <row r="71" customFormat="false" ht="18.75" hidden="false" customHeight="true" outlineLevel="0" collapsed="false">
      <c r="A71" s="18" t="n">
        <v>2021</v>
      </c>
      <c r="B71" s="18" t="n">
        <v>9</v>
      </c>
      <c r="C71" s="24" t="n">
        <v>19015.3</v>
      </c>
      <c r="D71" s="24" t="n">
        <f aca="false">7885.56+237.87</f>
        <v>8123.43</v>
      </c>
      <c r="E71" s="25" t="n">
        <v>383488.9</v>
      </c>
      <c r="F71" s="26" t="n">
        <v>7450.9</v>
      </c>
      <c r="G71" s="26" t="n">
        <f aca="false">2629+17</f>
        <v>2646</v>
      </c>
      <c r="H71" s="88" t="n">
        <v>522935.28</v>
      </c>
      <c r="I71" s="88"/>
      <c r="J71" s="89" t="n">
        <v>312785</v>
      </c>
      <c r="K71" s="89" t="n">
        <v>300556</v>
      </c>
      <c r="L71" s="90" t="n">
        <f aca="false">K71+J71</f>
        <v>613341</v>
      </c>
      <c r="M71" s="91" t="n">
        <v>343181.8</v>
      </c>
      <c r="N71" s="24" t="n">
        <v>1777242</v>
      </c>
      <c r="O71" s="32" t="n">
        <v>311</v>
      </c>
      <c r="P71" s="92" t="n">
        <f aca="false">M71/O71</f>
        <v>1103.47845659164</v>
      </c>
      <c r="Q71" s="93" t="n">
        <f aca="false">'$'!C118</f>
        <v>8.554109</v>
      </c>
      <c r="R71" s="35" t="n">
        <f aca="false">SUM(C71:E71)/Q71</f>
        <v>48003.5536138247</v>
      </c>
      <c r="S71" s="94" t="n">
        <f aca="false">(C71/Q71)/M71</f>
        <v>0.0064774512608642</v>
      </c>
      <c r="T71" s="94" t="n">
        <f aca="false">D71/Q71/M71</f>
        <v>0.00276719914469096</v>
      </c>
      <c r="U71" s="36" t="n">
        <f aca="false">E71/Q71/M71</f>
        <v>0.13063326157528</v>
      </c>
      <c r="V71" s="36" t="n">
        <f aca="false">(SUM(C71:E71)/Q71)/M71</f>
        <v>0.139877911980835</v>
      </c>
      <c r="W71" s="37" t="n">
        <f aca="false">(N71/Q71)/M71</f>
        <v>0.60540714234121</v>
      </c>
      <c r="X71" s="38" t="n">
        <f aca="false">F71/M71</f>
        <v>0.0217112329383435</v>
      </c>
      <c r="Y71" s="38" t="n">
        <f aca="false">G71/M71</f>
        <v>0.00771019908398406</v>
      </c>
      <c r="Z71" s="39" t="n">
        <f aca="false">H71/M71</f>
        <v>1.52378500258464</v>
      </c>
      <c r="AA71" s="40" t="n">
        <f aca="false">C71/F71</f>
        <v>2.55208095666295</v>
      </c>
      <c r="AB71" s="40" t="n">
        <f aca="false">D71/G71</f>
        <v>3.07007936507937</v>
      </c>
      <c r="AC71" s="40" t="n">
        <f aca="false">E71/H71</f>
        <v>0.733339123724833</v>
      </c>
      <c r="AD71" s="40"/>
    </row>
    <row r="72" customFormat="false" ht="18.75" hidden="false" customHeight="true" outlineLevel="0" collapsed="false">
      <c r="A72" s="18" t="n">
        <v>2021</v>
      </c>
      <c r="B72" s="18" t="n">
        <v>10</v>
      </c>
      <c r="C72" s="24" t="n">
        <v>17671.23</v>
      </c>
      <c r="D72" s="24" t="n">
        <f aca="false">7742.29+198.05</f>
        <v>7940.34</v>
      </c>
      <c r="E72" s="25" t="n">
        <v>510149.98</v>
      </c>
      <c r="F72" s="26" t="n">
        <v>6036.81</v>
      </c>
      <c r="G72" s="26" t="n">
        <f aca="false">2552+14</f>
        <v>2566</v>
      </c>
      <c r="H72" s="88" t="n">
        <v>545824.44</v>
      </c>
      <c r="I72" s="88"/>
      <c r="J72" s="89" t="n">
        <v>286577</v>
      </c>
      <c r="K72" s="89" t="n">
        <v>300070</v>
      </c>
      <c r="L72" s="90" t="n">
        <f aca="false">K72+J72</f>
        <v>586647</v>
      </c>
      <c r="M72" s="91" t="n">
        <v>336029.6</v>
      </c>
      <c r="N72" s="24" t="n">
        <v>1973154</v>
      </c>
      <c r="O72" s="32" t="n">
        <v>324</v>
      </c>
      <c r="P72" s="92" t="n">
        <f aca="false">M72/O72</f>
        <v>1037.12839506173</v>
      </c>
      <c r="Q72" s="93" t="n">
        <f aca="false">'$'!C119</f>
        <v>9.219938</v>
      </c>
      <c r="R72" s="35" t="n">
        <f aca="false">SUM(C72:E72)/Q72</f>
        <v>58109.0187374362</v>
      </c>
      <c r="S72" s="94" t="n">
        <f aca="false">(C72/Q72)/M72</f>
        <v>0.00570376000885901</v>
      </c>
      <c r="T72" s="94" t="n">
        <f aca="false">D72/Q72/M72</f>
        <v>0.00256291122625553</v>
      </c>
      <c r="U72" s="36" t="n">
        <f aca="false">E72/Q72/M72</f>
        <v>0.164661602754546</v>
      </c>
      <c r="V72" s="36" t="n">
        <f aca="false">(SUM(C72:E72)/Q72)/M72</f>
        <v>0.172928273989661</v>
      </c>
      <c r="W72" s="37" t="n">
        <f aca="false">(N72/Q72)/M72</f>
        <v>0.63687682614737</v>
      </c>
      <c r="X72" s="38" t="n">
        <f aca="false">F72/M72</f>
        <v>0.0179651137875949</v>
      </c>
      <c r="Y72" s="38" t="n">
        <f aca="false">G72/M72</f>
        <v>0.0076362320462245</v>
      </c>
      <c r="Z72" s="39" t="n">
        <f aca="false">H72/M72</f>
        <v>1.62433440387394</v>
      </c>
      <c r="AA72" s="40" t="n">
        <f aca="false">C72/F72</f>
        <v>2.92724634368151</v>
      </c>
      <c r="AB72" s="40" t="n">
        <f aca="false">D72/G72</f>
        <v>3.09444271239283</v>
      </c>
      <c r="AC72" s="40" t="n">
        <f aca="false">E72/H72</f>
        <v>0.93464114578673</v>
      </c>
      <c r="AD72" s="40"/>
    </row>
    <row r="73" customFormat="false" ht="18.75" hidden="false" customHeight="true" outlineLevel="0" collapsed="false">
      <c r="A73" s="18" t="n">
        <v>2021</v>
      </c>
      <c r="B73" s="18" t="n">
        <v>11</v>
      </c>
      <c r="C73" s="24" t="n">
        <v>22387.89</v>
      </c>
      <c r="D73" s="24" t="n">
        <f aca="false">6884.3+286.01</f>
        <v>7170.31</v>
      </c>
      <c r="E73" s="25" t="n">
        <v>529093.18</v>
      </c>
      <c r="F73" s="26" t="n">
        <v>5184.04</v>
      </c>
      <c r="G73" s="26" t="n">
        <f aca="false">2145+17</f>
        <v>2162</v>
      </c>
      <c r="H73" s="88" t="n">
        <v>492430.68</v>
      </c>
      <c r="I73" s="88"/>
      <c r="J73" s="89" t="n">
        <v>261256</v>
      </c>
      <c r="K73" s="89" t="n">
        <v>360539</v>
      </c>
      <c r="L73" s="90" t="n">
        <f aca="false">K73+J73</f>
        <v>621795</v>
      </c>
      <c r="M73" s="91" t="n">
        <v>280215.2</v>
      </c>
      <c r="N73" s="24" t="n">
        <v>2047338</v>
      </c>
      <c r="O73" s="32" t="n">
        <v>349</v>
      </c>
      <c r="P73" s="92" t="n">
        <f aca="false">M73/O73</f>
        <v>802.90888252149</v>
      </c>
      <c r="Q73" s="93" t="n">
        <f aca="false">'$'!C120</f>
        <v>10.680956</v>
      </c>
      <c r="R73" s="35" t="n">
        <f aca="false">SUM(C73:E73)/Q73</f>
        <v>52303.4997990817</v>
      </c>
      <c r="S73" s="94" t="n">
        <f aca="false">(C73/Q73)/M73</f>
        <v>0.00748016794758557</v>
      </c>
      <c r="T73" s="94" t="n">
        <f aca="false">D73/Q73/M73</f>
        <v>0.00239572032184597</v>
      </c>
      <c r="U73" s="36" t="n">
        <f aca="false">E73/Q73/M73</f>
        <v>0.176778867786206</v>
      </c>
      <c r="V73" s="36" t="n">
        <f aca="false">(SUM(C73:E73)/Q73)/M73</f>
        <v>0.186654756055637</v>
      </c>
      <c r="W73" s="37" t="n">
        <f aca="false">(N73/Q73)/M73</f>
        <v>0.684049818248792</v>
      </c>
      <c r="X73" s="38" t="n">
        <f aca="false">F73/M73</f>
        <v>0.018500209838724</v>
      </c>
      <c r="Y73" s="38" t="n">
        <f aca="false">G73/M73</f>
        <v>0.00771549865960162</v>
      </c>
      <c r="Z73" s="39" t="n">
        <f aca="false">H73/M73</f>
        <v>1.75733036609006</v>
      </c>
      <c r="AA73" s="40" t="n">
        <f aca="false">C73/F73</f>
        <v>4.31861829769832</v>
      </c>
      <c r="AB73" s="40" t="n">
        <f aca="false">D73/G73</f>
        <v>3.31651711378353</v>
      </c>
      <c r="AC73" s="40" t="n">
        <f aca="false">E73/H73</f>
        <v>1.07445210359355</v>
      </c>
      <c r="AD73" s="40"/>
    </row>
    <row r="74" customFormat="false" ht="18.75" hidden="false" customHeight="true" outlineLevel="0" collapsed="false">
      <c r="A74" s="18" t="n">
        <v>2021</v>
      </c>
      <c r="B74" s="18" t="n">
        <v>12</v>
      </c>
      <c r="C74" s="24" t="n">
        <v>3263.02</v>
      </c>
      <c r="D74" s="24" t="n">
        <f aca="false">6002.55+230.14</f>
        <v>6232.69</v>
      </c>
      <c r="E74" s="25" t="n">
        <v>688091.57</v>
      </c>
      <c r="F74" s="26" t="n">
        <v>630.87</v>
      </c>
      <c r="G74" s="26" t="n">
        <f aca="false">1894+12</f>
        <v>1906</v>
      </c>
      <c r="H74" s="88" t="n">
        <v>531911.52</v>
      </c>
      <c r="I74" s="88"/>
      <c r="J74" s="89" t="n">
        <v>213294</v>
      </c>
      <c r="K74" s="89" t="n">
        <v>411091</v>
      </c>
      <c r="L74" s="90" t="n">
        <f aca="false">K74+J74</f>
        <v>624385</v>
      </c>
      <c r="M74" s="91" t="n">
        <v>258649</v>
      </c>
      <c r="N74" s="24" t="n">
        <v>1467938</v>
      </c>
      <c r="O74" s="32" t="n">
        <v>275</v>
      </c>
      <c r="P74" s="92" t="n">
        <f aca="false">M74/O74</f>
        <v>940.541818181818</v>
      </c>
      <c r="Q74" s="93" t="n">
        <f aca="false">'$'!C121</f>
        <v>13.466856</v>
      </c>
      <c r="R74" s="35" t="n">
        <f aca="false">SUM(C74:E74)/Q74</f>
        <v>51800.3073620153</v>
      </c>
      <c r="S74" s="94" t="n">
        <f aca="false">(C74/Q74)/M74</f>
        <v>0.000936791013116808</v>
      </c>
      <c r="T74" s="94" t="n">
        <f aca="false">D74/Q74/M74</f>
        <v>0.00178936322166061</v>
      </c>
      <c r="U74" s="36" t="n">
        <f aca="false">E74/Q74/M74</f>
        <v>0.197546444391219</v>
      </c>
      <c r="V74" s="36" t="n">
        <f aca="false">(SUM(C74:E74)/Q74)/M74</f>
        <v>0.200272598625996</v>
      </c>
      <c r="W74" s="37" t="n">
        <f aca="false">(N74/Q74)/M74</f>
        <v>0.421435089644765</v>
      </c>
      <c r="X74" s="38" t="n">
        <f aca="false">F74/M74</f>
        <v>0.00243909700018171</v>
      </c>
      <c r="Y74" s="38" t="n">
        <f aca="false">G74/M74</f>
        <v>0.00736906000023197</v>
      </c>
      <c r="Z74" s="39" t="n">
        <f aca="false">H74/M74</f>
        <v>2.05649942586285</v>
      </c>
      <c r="AA74" s="40" t="n">
        <f aca="false">C74/F74</f>
        <v>5.1722541886601</v>
      </c>
      <c r="AB74" s="40" t="n">
        <f aca="false">D74/G74</f>
        <v>3.27003672612802</v>
      </c>
      <c r="AC74" s="40" t="n">
        <f aca="false">E74/H74</f>
        <v>1.29362035625775</v>
      </c>
      <c r="AD74" s="40"/>
    </row>
    <row r="75" customFormat="false" ht="18.75" hidden="false" customHeight="true" outlineLevel="0" collapsed="false">
      <c r="A75" s="18" t="n">
        <v>2022</v>
      </c>
      <c r="B75" s="18" t="n">
        <v>1</v>
      </c>
      <c r="C75" s="24"/>
      <c r="D75" s="24" t="n">
        <f aca="false">6002.55</f>
        <v>6002.55</v>
      </c>
      <c r="E75" s="25" t="n">
        <v>840395.23</v>
      </c>
      <c r="F75" s="26"/>
      <c r="G75" s="26" t="n">
        <f aca="false">1606</f>
        <v>1606</v>
      </c>
      <c r="H75" s="88" t="n">
        <v>532539</v>
      </c>
      <c r="I75" s="88"/>
      <c r="J75" s="89" t="n">
        <v>241894</v>
      </c>
      <c r="K75" s="89" t="n">
        <v>296253</v>
      </c>
      <c r="L75" s="90" t="n">
        <f aca="false">K75+J75</f>
        <v>538147</v>
      </c>
      <c r="M75" s="91" t="n">
        <v>280721.4</v>
      </c>
      <c r="N75" s="24" t="n">
        <v>2234931</v>
      </c>
      <c r="O75" s="32" t="n">
        <v>288</v>
      </c>
      <c r="P75" s="92" t="n">
        <f aca="false">M75/O75</f>
        <v>974.727083333334</v>
      </c>
      <c r="Q75" s="93" t="n">
        <f aca="false">'$'!C122</f>
        <v>13.535066</v>
      </c>
      <c r="R75" s="35" t="n">
        <f aca="false">SUM(C75:E75)/Q75</f>
        <v>62533.7017196665</v>
      </c>
      <c r="S75" s="94" t="n">
        <f aca="false">(C75/Q75)/M75</f>
        <v>0</v>
      </c>
      <c r="T75" s="94" t="n">
        <f aca="false">D75/Q75/M75</f>
        <v>0.00157979191687222</v>
      </c>
      <c r="U75" s="36" t="n">
        <f aca="false">E75/Q75/M75</f>
        <v>0.221180929993415</v>
      </c>
      <c r="V75" s="36" t="n">
        <f aca="false">(SUM(C75:E75)/Q75)/M75</f>
        <v>0.222760721910287</v>
      </c>
      <c r="W75" s="37" t="n">
        <f aca="false">(N75/Q75)/M75</f>
        <v>0.588204334585661</v>
      </c>
      <c r="X75" s="38"/>
      <c r="Y75" s="38" t="n">
        <f aca="false">G75/M75</f>
        <v>0.00572097460328995</v>
      </c>
      <c r="Z75" s="39" t="n">
        <f aca="false">H75/M75</f>
        <v>1.89703741859367</v>
      </c>
      <c r="AA75" s="40"/>
      <c r="AB75" s="40" t="n">
        <f aca="false">D75/G75</f>
        <v>3.73757783312578</v>
      </c>
      <c r="AC75" s="40" t="n">
        <f aca="false">E75/H75</f>
        <v>1.57809142616785</v>
      </c>
      <c r="AD75" s="40"/>
    </row>
    <row r="76" customFormat="false" ht="18.75" hidden="false" customHeight="true" outlineLevel="0" collapsed="false">
      <c r="A76" s="18" t="n">
        <v>2022</v>
      </c>
      <c r="B76" s="18" t="n">
        <v>2</v>
      </c>
      <c r="C76" s="24"/>
      <c r="D76" s="24" t="n">
        <f aca="false">10093.34</f>
        <v>10093.34</v>
      </c>
      <c r="E76" s="25" t="n">
        <v>946629.57</v>
      </c>
      <c r="F76" s="26"/>
      <c r="G76" s="26" t="n">
        <f aca="false">1956</f>
        <v>1956</v>
      </c>
      <c r="H76" s="88" t="n">
        <v>528219.72</v>
      </c>
      <c r="I76" s="88"/>
      <c r="J76" s="89" t="n">
        <v>242427</v>
      </c>
      <c r="K76" s="89" t="n">
        <v>284762</v>
      </c>
      <c r="L76" s="90" t="n">
        <f aca="false">K76+J76</f>
        <v>527189</v>
      </c>
      <c r="M76" s="91" t="n">
        <v>268405.1</v>
      </c>
      <c r="N76" s="24" t="n">
        <v>2001075</v>
      </c>
      <c r="O76" s="32" t="n">
        <v>286</v>
      </c>
      <c r="P76" s="92" t="n">
        <f aca="false">M76/O76</f>
        <v>938.479370629371</v>
      </c>
      <c r="Q76" s="93" t="n">
        <f aca="false">'$'!C123</f>
        <v>13.629202</v>
      </c>
      <c r="R76" s="35" t="n">
        <f aca="false">SUM(C76:E76)/Q76</f>
        <v>70196.5463568593</v>
      </c>
      <c r="S76" s="94" t="n">
        <f aca="false">(C76/Q76)/M76</f>
        <v>0</v>
      </c>
      <c r="T76" s="94" t="n">
        <f aca="false">D76/Q76/M76</f>
        <v>0.00275913983261603</v>
      </c>
      <c r="U76" s="36" t="n">
        <f aca="false">E76/Q76/M76</f>
        <v>0.258772948629411</v>
      </c>
      <c r="V76" s="36" t="n">
        <f aca="false">(SUM(C76:E76)/Q76)/M76</f>
        <v>0.261532088462027</v>
      </c>
      <c r="W76" s="37" t="n">
        <f aca="false">(N76/Q76)/M76</f>
        <v>0.547018701495454</v>
      </c>
      <c r="X76" s="38"/>
      <c r="Y76" s="38" t="n">
        <f aca="false">G76/M76</f>
        <v>0.0072874919291772</v>
      </c>
      <c r="Z76" s="39" t="n">
        <f aca="false">H76/M76</f>
        <v>1.96799434884061</v>
      </c>
      <c r="AA76" s="40"/>
      <c r="AB76" s="44" t="n">
        <f aca="false">D76/G76</f>
        <v>5.16019427402863</v>
      </c>
      <c r="AC76" s="40" t="n">
        <f aca="false">E76/H76</f>
        <v>1.79211327059126</v>
      </c>
      <c r="AD76" s="40"/>
    </row>
    <row r="77" customFormat="false" ht="18.75" hidden="false" customHeight="true" outlineLevel="0" collapsed="false">
      <c r="A77" s="18" t="n">
        <v>2022</v>
      </c>
      <c r="B77" s="18" t="n">
        <v>3</v>
      </c>
      <c r="C77" s="24"/>
      <c r="D77" s="24" t="n">
        <v>10907.9</v>
      </c>
      <c r="E77" s="25" t="n">
        <v>1175492.39</v>
      </c>
      <c r="F77" s="26"/>
      <c r="G77" s="26" t="n">
        <f aca="false">2143</f>
        <v>2143</v>
      </c>
      <c r="H77" s="88" t="n">
        <v>568554.84</v>
      </c>
      <c r="I77" s="88"/>
      <c r="J77" s="89" t="n">
        <v>233956</v>
      </c>
      <c r="K77" s="89" t="n">
        <v>442043</v>
      </c>
      <c r="L77" s="90" t="n">
        <f aca="false">K77+J77</f>
        <v>675999</v>
      </c>
      <c r="M77" s="91" t="n">
        <v>249688.3</v>
      </c>
      <c r="N77" s="24" t="n">
        <v>2422787</v>
      </c>
      <c r="O77" s="32" t="n">
        <v>292</v>
      </c>
      <c r="P77" s="92" t="n">
        <f aca="false">M77/O77</f>
        <v>855.096917808219</v>
      </c>
      <c r="Q77" s="93" t="n">
        <f aca="false">'$'!C124</f>
        <v>14.600894</v>
      </c>
      <c r="R77" s="35" t="n">
        <f aca="false">SUM(C77:E77)/Q77</f>
        <v>81255.3183387264</v>
      </c>
      <c r="S77" s="94" t="n">
        <f aca="false">(C77/Q77)/M77</f>
        <v>0</v>
      </c>
      <c r="T77" s="94" t="n">
        <f aca="false">D77/Q77/M77</f>
        <v>0.00299201321434973</v>
      </c>
      <c r="U77" s="36" t="n">
        <f aca="false">E77/Q77/M77</f>
        <v>0.322435002543803</v>
      </c>
      <c r="V77" s="36" t="n">
        <f aca="false">(SUM(C77:E77)/Q77)/M77</f>
        <v>0.325427015758153</v>
      </c>
      <c r="W77" s="37" t="n">
        <f aca="false">(N77/Q77)/M77</f>
        <v>0.66456519765993</v>
      </c>
      <c r="X77" s="38"/>
      <c r="Y77" s="38" t="n">
        <f aca="false">G77/M77</f>
        <v>0.00858270091149645</v>
      </c>
      <c r="Z77" s="39" t="n">
        <f aca="false">H77/M77</f>
        <v>2.27705839640864</v>
      </c>
      <c r="AA77" s="40"/>
      <c r="AB77" s="40" t="n">
        <f aca="false">D77/G77</f>
        <v>5.09001399906673</v>
      </c>
      <c r="AC77" s="40" t="n">
        <f aca="false">E77/H77</f>
        <v>2.06750924853617</v>
      </c>
      <c r="AD77" s="40"/>
    </row>
    <row r="78" customFormat="false" ht="18.75" hidden="false" customHeight="true" outlineLevel="0" collapsed="false">
      <c r="A78" s="18" t="n">
        <v>2022</v>
      </c>
      <c r="B78" s="18" t="n">
        <v>4</v>
      </c>
      <c r="C78" s="24"/>
      <c r="D78" s="24" t="n">
        <f aca="false">9111.8</f>
        <v>9111.8</v>
      </c>
      <c r="E78" s="25" t="n">
        <v>1174351.61</v>
      </c>
      <c r="F78" s="26"/>
      <c r="G78" s="26" t="n">
        <f aca="false">1583</f>
        <v>1583</v>
      </c>
      <c r="H78" s="88" t="n">
        <v>509082.84</v>
      </c>
      <c r="I78" s="88"/>
      <c r="J78" s="89" t="n">
        <v>230932</v>
      </c>
      <c r="K78" s="89" t="n">
        <v>302790</v>
      </c>
      <c r="L78" s="90" t="n">
        <f aca="false">K78+J78</f>
        <v>533722</v>
      </c>
      <c r="M78" s="91" t="n">
        <v>256222.8</v>
      </c>
      <c r="N78" s="24" t="n">
        <v>1665510</v>
      </c>
      <c r="O78" s="32" t="n">
        <v>275</v>
      </c>
      <c r="P78" s="92" t="n">
        <f aca="false">M78/O78</f>
        <v>931.719272727273</v>
      </c>
      <c r="Q78" s="93" t="n">
        <f aca="false">'$'!C125</f>
        <v>14.709928</v>
      </c>
      <c r="R78" s="35" t="n">
        <f aca="false">SUM(C78:E78)/Q78</f>
        <v>80453.3788336694</v>
      </c>
      <c r="S78" s="94" t="n">
        <f aca="false">(C78/Q78)/M78</f>
        <v>0</v>
      </c>
      <c r="T78" s="94" t="n">
        <f aca="false">D78/Q78/M78</f>
        <v>0.00241755219200373</v>
      </c>
      <c r="U78" s="36" t="n">
        <f aca="false">E78/Q78/M78</f>
        <v>0.311580182723349</v>
      </c>
      <c r="V78" s="36" t="n">
        <f aca="false">(SUM(C78:E78)/Q78)/M78</f>
        <v>0.313997734915352</v>
      </c>
      <c r="W78" s="37" t="n">
        <f aca="false">(N78/Q78)/M78</f>
        <v>0.4418948343142</v>
      </c>
      <c r="X78" s="38"/>
      <c r="Y78" s="38" t="n">
        <f aca="false">G78/M78</f>
        <v>0.00617821677071674</v>
      </c>
      <c r="Z78" s="39" t="n">
        <f aca="false">H78/M78</f>
        <v>1.98687564104365</v>
      </c>
      <c r="AA78" s="40"/>
      <c r="AB78" s="44" t="n">
        <f aca="false">D78/G78</f>
        <v>5.75603284902085</v>
      </c>
      <c r="AC78" s="40" t="n">
        <f aca="false">E78/H78</f>
        <v>2.30679865383009</v>
      </c>
      <c r="AD78" s="40"/>
    </row>
    <row r="79" customFormat="false" ht="18.75" hidden="false" customHeight="true" outlineLevel="0" collapsed="false">
      <c r="A79" s="18" t="n">
        <v>2022</v>
      </c>
      <c r="B79" s="18" t="n">
        <v>5</v>
      </c>
      <c r="C79" s="24"/>
      <c r="D79" s="24" t="n">
        <f aca="false">12492.97+482.05</f>
        <v>12975.02</v>
      </c>
      <c r="E79" s="25" t="n">
        <v>1066095.31</v>
      </c>
      <c r="F79" s="26"/>
      <c r="G79" s="26" t="n">
        <f aca="false">1058+11</f>
        <v>1069</v>
      </c>
      <c r="H79" s="88" t="n">
        <v>450371.88</v>
      </c>
      <c r="I79" s="88"/>
      <c r="J79" s="89" t="n">
        <v>181890</v>
      </c>
      <c r="K79" s="89" t="n">
        <v>203788</v>
      </c>
      <c r="L79" s="90" t="n">
        <f aca="false">K79+J79</f>
        <v>385678</v>
      </c>
      <c r="M79" s="91" t="n">
        <v>176788.668</v>
      </c>
      <c r="N79" s="24" t="n">
        <v>2023816</v>
      </c>
      <c r="O79" s="32" t="n">
        <v>249</v>
      </c>
      <c r="P79" s="92" t="n">
        <f aca="false">M79/O79</f>
        <v>709.99465060241</v>
      </c>
      <c r="Q79" s="93" t="n">
        <f aca="false">'$'!C126</f>
        <v>15.570749</v>
      </c>
      <c r="R79" s="35" t="n">
        <f aca="false">SUM(C79:E79)/Q79</f>
        <v>69301.1190405805</v>
      </c>
      <c r="S79" s="94" t="n">
        <f aca="false">(C79/Q79)/M79</f>
        <v>0</v>
      </c>
      <c r="T79" s="94" t="n">
        <f aca="false">D79/Q79/M79</f>
        <v>0.00471350647851346</v>
      </c>
      <c r="U79" s="36" t="n">
        <f aca="false">E79/Q79/M79</f>
        <v>0.387286273963186</v>
      </c>
      <c r="V79" s="36" t="n">
        <f aca="false">(SUM(C79:E79)/Q79)/M79</f>
        <v>0.3919997804417</v>
      </c>
      <c r="W79" s="37" t="n">
        <f aca="false">(N79/Q79)/M79</f>
        <v>0.735202706995381</v>
      </c>
      <c r="X79" s="38"/>
      <c r="Y79" s="38" t="n">
        <f aca="false">G79/M79</f>
        <v>0.0060467676582076</v>
      </c>
      <c r="Z79" s="39" t="n">
        <f aca="false">H79/M79</f>
        <v>2.54751554550996</v>
      </c>
      <c r="AA79" s="40"/>
      <c r="AB79" s="44" t="n">
        <f aca="false">D79/G79</f>
        <v>12.1375304022451</v>
      </c>
      <c r="AC79" s="40" t="n">
        <f aca="false">E79/H79</f>
        <v>2.36714448069005</v>
      </c>
      <c r="AD79" s="40"/>
    </row>
    <row r="80" customFormat="false" ht="18.75" hidden="false" customHeight="true" outlineLevel="0" collapsed="false">
      <c r="A80" s="18" t="n">
        <v>2022</v>
      </c>
      <c r="B80" s="18" t="n">
        <v>6</v>
      </c>
      <c r="C80" s="24"/>
      <c r="D80" s="24" t="n">
        <f aca="false">10989.38+535.02</f>
        <v>11524.4</v>
      </c>
      <c r="E80" s="25" t="n">
        <v>1402057.73</v>
      </c>
      <c r="F80" s="26"/>
      <c r="G80" s="26" t="n">
        <f aca="false">1200+17</f>
        <v>1217</v>
      </c>
      <c r="H80" s="88" t="n">
        <v>479979.36</v>
      </c>
      <c r="I80" s="88"/>
      <c r="J80" s="89" t="n">
        <v>192351</v>
      </c>
      <c r="K80" s="89" t="n">
        <v>266830</v>
      </c>
      <c r="L80" s="90" t="n">
        <f aca="false">K80+J80</f>
        <v>459181</v>
      </c>
      <c r="M80" s="91" t="n">
        <v>192351.1</v>
      </c>
      <c r="N80" s="24" t="n">
        <v>1752569</v>
      </c>
      <c r="O80" s="32" t="n">
        <v>259</v>
      </c>
      <c r="P80" s="92" t="n">
        <f aca="false">M80/O80</f>
        <v>742.66833976834</v>
      </c>
      <c r="Q80" s="93" t="n">
        <f aca="false">'$'!C127</f>
        <v>16.965875</v>
      </c>
      <c r="R80" s="35" t="n">
        <f aca="false">SUM(C80:E80)/Q80</f>
        <v>83319.1409225872</v>
      </c>
      <c r="S80" s="94" t="n">
        <f aca="false">(C80/Q80)/M80</f>
        <v>0</v>
      </c>
      <c r="T80" s="94" t="n">
        <f aca="false">D80/Q80/M80</f>
        <v>0.00353140385374778</v>
      </c>
      <c r="U80" s="36" t="n">
        <f aca="false">E80/Q80/M80</f>
        <v>0.429630355671346</v>
      </c>
      <c r="V80" s="36" t="n">
        <f aca="false">(SUM(C80:E80)/Q80)/M80</f>
        <v>0.433161759525094</v>
      </c>
      <c r="W80" s="37" t="n">
        <f aca="false">(N80/Q80)/M80</f>
        <v>0.537036975509257</v>
      </c>
      <c r="X80" s="38"/>
      <c r="Y80" s="38" t="n">
        <f aca="false">G80/M80</f>
        <v>0.00632697187590817</v>
      </c>
      <c r="Z80" s="39" t="n">
        <f aca="false">H80/M80</f>
        <v>2.49532942624191</v>
      </c>
      <c r="AA80" s="40"/>
      <c r="AB80" s="40" t="n">
        <f aca="false">D80/G80</f>
        <v>9.46951520131471</v>
      </c>
      <c r="AC80" s="44" t="n">
        <f aca="false">E80/H80</f>
        <v>2.92107921057272</v>
      </c>
      <c r="AD80" s="44"/>
    </row>
    <row r="81" customFormat="false" ht="18.75" hidden="false" customHeight="true" outlineLevel="0" collapsed="false">
      <c r="A81" s="18" t="n">
        <v>2022</v>
      </c>
      <c r="B81" s="18" t="n">
        <v>7</v>
      </c>
      <c r="C81" s="24"/>
      <c r="D81" s="24" t="n">
        <f aca="false">11582.63+254.66</f>
        <v>11837.29</v>
      </c>
      <c r="E81" s="25" t="n">
        <v>1386242.06</v>
      </c>
      <c r="F81" s="26"/>
      <c r="G81" s="26" t="n">
        <f aca="false">1338+9</f>
        <v>1347</v>
      </c>
      <c r="H81" s="88" t="n">
        <v>463622.04</v>
      </c>
      <c r="I81" s="88"/>
      <c r="J81" s="89" t="n">
        <v>167973</v>
      </c>
      <c r="K81" s="89" t="n">
        <v>222984</v>
      </c>
      <c r="L81" s="90" t="n">
        <f aca="false">K81+J81</f>
        <v>390957</v>
      </c>
      <c r="M81" s="91" t="n">
        <v>167973.145</v>
      </c>
      <c r="N81" s="24" t="n">
        <v>2724944</v>
      </c>
      <c r="O81" s="32" t="n">
        <v>234</v>
      </c>
      <c r="P81" s="92" t="n">
        <f aca="false">M81/O81</f>
        <v>717.833952991453</v>
      </c>
      <c r="Q81" s="93" t="n">
        <f aca="false">'$'!C128</f>
        <v>17.410362</v>
      </c>
      <c r="R81" s="35" t="n">
        <f aca="false">SUM(C81:E81)/Q81</f>
        <v>80301.566963398</v>
      </c>
      <c r="S81" s="94" t="n">
        <f aca="false">(C81/Q81)/M81</f>
        <v>0</v>
      </c>
      <c r="T81" s="94" t="n">
        <f aca="false">D81/Q81/M81</f>
        <v>0.00404766566306416</v>
      </c>
      <c r="U81" s="36" t="n">
        <f aca="false">E81/Q81/M81</f>
        <v>0.474014270745866</v>
      </c>
      <c r="V81" s="36" t="n">
        <f aca="false">(SUM(C81:E81)/Q81)/M81</f>
        <v>0.47806193640893</v>
      </c>
      <c r="W81" s="37" t="n">
        <f aca="false">(N81/Q81)/M81</f>
        <v>0.931772581610547</v>
      </c>
      <c r="X81" s="38"/>
      <c r="Y81" s="38" t="n">
        <f aca="false">G81/M81</f>
        <v>0.00801913901177477</v>
      </c>
      <c r="Z81" s="39" t="n">
        <f aca="false">H81/M81</f>
        <v>2.76009620466414</v>
      </c>
      <c r="AA81" s="40"/>
      <c r="AB81" s="40" t="n">
        <f aca="false">D81/G81</f>
        <v>8.78789161098738</v>
      </c>
      <c r="AC81" s="44" t="n">
        <f aca="false">E81/H81</f>
        <v>2.99002622912405</v>
      </c>
      <c r="AD81" s="44"/>
    </row>
    <row r="82" customFormat="false" ht="18.75" hidden="false" customHeight="true" outlineLevel="0" collapsed="false">
      <c r="A82" s="18" t="n">
        <v>2022</v>
      </c>
      <c r="B82" s="18" t="n">
        <v>8</v>
      </c>
      <c r="C82" s="24"/>
      <c r="D82" s="24" t="n">
        <f aca="false">13164.95+122.32</f>
        <v>13287.27</v>
      </c>
      <c r="E82" s="25" t="n">
        <v>1806304.49</v>
      </c>
      <c r="F82" s="26"/>
      <c r="G82" s="26" t="n">
        <f aca="false">1631+3</f>
        <v>1634</v>
      </c>
      <c r="H82" s="88" t="n">
        <v>478646.28</v>
      </c>
      <c r="I82" s="88"/>
      <c r="J82" s="89"/>
      <c r="K82" s="89"/>
      <c r="L82" s="90" t="n">
        <v>482736</v>
      </c>
      <c r="M82" s="91" t="n">
        <v>210020.296</v>
      </c>
      <c r="N82" s="24" t="n">
        <v>2556400</v>
      </c>
      <c r="O82" s="32" t="n">
        <v>233</v>
      </c>
      <c r="P82" s="92" t="n">
        <f aca="false">M82/O82</f>
        <v>901.374660944206</v>
      </c>
      <c r="Q82" s="93" t="n">
        <f aca="false">'$'!C129</f>
        <v>18.018529</v>
      </c>
      <c r="R82" s="35" t="n">
        <f aca="false">SUM(C82:E82)/Q82</f>
        <v>100984.478810673</v>
      </c>
      <c r="S82" s="94" t="n">
        <f aca="false">(C82/Q82)/M82</f>
        <v>0</v>
      </c>
      <c r="T82" s="94" t="n">
        <f aca="false">D82/Q82/M82</f>
        <v>0.00351119670864842</v>
      </c>
      <c r="U82" s="36" t="n">
        <f aca="false">E82/Q82/M82</f>
        <v>0.477320802550476</v>
      </c>
      <c r="V82" s="36" t="n">
        <f aca="false">(SUM(C82:E82)/Q82)/M82</f>
        <v>0.480831999259125</v>
      </c>
      <c r="W82" s="37" t="n">
        <f aca="false">(N82/Q82)/M82</f>
        <v>0.675535551395345</v>
      </c>
      <c r="X82" s="38"/>
      <c r="Y82" s="38" t="n">
        <f aca="false">G82/M82</f>
        <v>0.00778020044310384</v>
      </c>
      <c r="Z82" s="39" t="n">
        <f aca="false">H82/M82</f>
        <v>2.27904773546267</v>
      </c>
      <c r="AA82" s="40"/>
      <c r="AB82" s="40" t="n">
        <f aca="false">D82/G82</f>
        <v>8.13174418604651</v>
      </c>
      <c r="AC82" s="44" t="n">
        <f aca="false">E82/H82</f>
        <v>3.77377734973726</v>
      </c>
      <c r="AD82" s="44"/>
    </row>
    <row r="83" customFormat="false" ht="18.75" hidden="false" customHeight="true" outlineLevel="0" collapsed="false">
      <c r="A83" s="18" t="n">
        <v>2022</v>
      </c>
      <c r="B83" s="18" t="n">
        <v>9</v>
      </c>
      <c r="C83" s="24"/>
      <c r="D83" s="24" t="n">
        <f aca="false">13135.8+89.49</f>
        <v>13225.29</v>
      </c>
      <c r="E83" s="25" t="n">
        <v>2048311.55</v>
      </c>
      <c r="F83" s="26"/>
      <c r="G83" s="26" t="n">
        <f aca="false">1561+3</f>
        <v>1564</v>
      </c>
      <c r="H83" s="88" t="n">
        <v>436675.68</v>
      </c>
      <c r="I83" s="88"/>
      <c r="J83" s="89"/>
      <c r="K83" s="89"/>
      <c r="L83" s="90" t="n">
        <v>457164</v>
      </c>
      <c r="M83" s="91" t="n">
        <v>184770</v>
      </c>
      <c r="N83" s="24" t="n">
        <v>2355362</v>
      </c>
      <c r="O83" s="32" t="n">
        <v>235</v>
      </c>
      <c r="P83" s="92" t="n">
        <f aca="false">M83/O83</f>
        <v>786.255319148936</v>
      </c>
      <c r="Q83" s="93" t="n">
        <f aca="false">'$'!C130</f>
        <v>18.301932</v>
      </c>
      <c r="R83" s="35" t="n">
        <f aca="false">SUM(C83:E83)/Q83</f>
        <v>112640.394467644</v>
      </c>
      <c r="S83" s="94" t="n">
        <f aca="false">(C83/Q83)/M83</f>
        <v>0</v>
      </c>
      <c r="T83" s="94" t="n">
        <f aca="false">D83/Q83/M83</f>
        <v>0.00391090086705344</v>
      </c>
      <c r="U83" s="36" t="n">
        <f aca="false">E83/Q83/M83</f>
        <v>0.605714008304588</v>
      </c>
      <c r="V83" s="36" t="n">
        <f aca="false">(SUM(C83:E83)/Q83)/M83</f>
        <v>0.609624909171641</v>
      </c>
      <c r="W83" s="37" t="n">
        <f aca="false">(N83/Q83)/M83</f>
        <v>0.696513066104768</v>
      </c>
      <c r="X83" s="38"/>
      <c r="Y83" s="38" t="n">
        <f aca="false">G83/M83</f>
        <v>0.00846457758294095</v>
      </c>
      <c r="Z83" s="39" t="n">
        <f aca="false">H83/M83</f>
        <v>2.36334729663906</v>
      </c>
      <c r="AA83" s="40"/>
      <c r="AB83" s="40" t="n">
        <f aca="false">D83/G83</f>
        <v>8.45606777493606</v>
      </c>
      <c r="AC83" s="44" t="n">
        <f aca="false">E83/H83</f>
        <v>4.69069298752795</v>
      </c>
      <c r="AD83" s="44"/>
    </row>
    <row r="84" customFormat="false" ht="18.75" hidden="false" customHeight="true" outlineLevel="0" collapsed="false">
      <c r="A84" s="18" t="n">
        <v>2022</v>
      </c>
      <c r="B84" s="18" t="n">
        <v>10</v>
      </c>
      <c r="C84" s="24"/>
      <c r="D84" s="24" t="n">
        <f aca="false">14431.35+171.45</f>
        <v>14602.8</v>
      </c>
      <c r="E84" s="25" t="n">
        <v>1870599.02</v>
      </c>
      <c r="F84" s="26"/>
      <c r="G84" s="26" t="n">
        <f aca="false">1302+4</f>
        <v>1306</v>
      </c>
      <c r="H84" s="88" t="n">
        <v>436675.68</v>
      </c>
      <c r="I84" s="88"/>
      <c r="J84" s="89"/>
      <c r="K84" s="89"/>
      <c r="L84" s="90" t="n">
        <v>362856.46</v>
      </c>
      <c r="M84" s="91" t="n">
        <v>142012.41</v>
      </c>
      <c r="N84" s="24" t="n">
        <v>2721428</v>
      </c>
      <c r="O84" s="32" t="n">
        <v>243</v>
      </c>
      <c r="P84" s="92" t="n">
        <f aca="false">M84/O84</f>
        <v>584.413209876543</v>
      </c>
      <c r="Q84" s="93" t="n">
        <f aca="false">'$'!C131</f>
        <v>18.578678</v>
      </c>
      <c r="R84" s="35" t="n">
        <f aca="false">SUM(C84:E84)/Q84</f>
        <v>101471.257535116</v>
      </c>
      <c r="S84" s="94" t="n">
        <f aca="false">(C84/Q84)/M84</f>
        <v>0</v>
      </c>
      <c r="T84" s="94" t="n">
        <f aca="false">D84/Q84/M84</f>
        <v>0.00553471205876339</v>
      </c>
      <c r="U84" s="36" t="n">
        <f aca="false">E84/Q84/M84</f>
        <v>0.708989163249855</v>
      </c>
      <c r="V84" s="36" t="n">
        <f aca="false">(SUM(C84:E84)/Q84)/M84</f>
        <v>0.714523875308618</v>
      </c>
      <c r="W84" s="37" t="n">
        <f aca="false">(N84/Q84)/M84</f>
        <v>1.03146796290138</v>
      </c>
      <c r="X84" s="38"/>
      <c r="Y84" s="38" t="n">
        <f aca="false">G84/M84</f>
        <v>0.00919637938684373</v>
      </c>
      <c r="Z84" s="39" t="n">
        <f aca="false">H84/M84</f>
        <v>3.07491211507501</v>
      </c>
      <c r="AA84" s="40"/>
      <c r="AB84" s="44" t="n">
        <f aca="false">D84/G84</f>
        <v>11.1813169984686</v>
      </c>
      <c r="AC84" s="40" t="n">
        <f aca="false">E84/H84</f>
        <v>4.283726128279</v>
      </c>
      <c r="AD84" s="40"/>
    </row>
    <row r="85" customFormat="false" ht="18.75" hidden="false" customHeight="true" outlineLevel="0" collapsed="false">
      <c r="A85" s="18" t="n">
        <v>2022</v>
      </c>
      <c r="B85" s="18" t="n">
        <v>11</v>
      </c>
      <c r="C85" s="24"/>
      <c r="D85" s="24" t="n">
        <v>18246.84</v>
      </c>
      <c r="E85" s="25" t="n">
        <v>2119076.32</v>
      </c>
      <c r="F85" s="26"/>
      <c r="G85" s="26" t="n">
        <f aca="false">1781</f>
        <v>1781</v>
      </c>
      <c r="H85" s="88" t="n">
        <v>491193.36</v>
      </c>
      <c r="I85" s="88"/>
      <c r="J85" s="89"/>
      <c r="K85" s="89"/>
      <c r="L85" s="90" t="n">
        <v>429420</v>
      </c>
      <c r="M85" s="91" t="n">
        <v>204419</v>
      </c>
      <c r="N85" s="24" t="n">
        <v>2848939</v>
      </c>
      <c r="O85" s="32" t="n">
        <v>241</v>
      </c>
      <c r="P85" s="92" t="n">
        <f aca="false">M85/O85</f>
        <v>848.211618257261</v>
      </c>
      <c r="Q85" s="93" t="n">
        <f aca="false">'$'!C132</f>
        <v>18.598286</v>
      </c>
      <c r="R85" s="35" t="n">
        <f aca="false">SUM(C85:E85)/Q85</f>
        <v>114920.43729191</v>
      </c>
      <c r="S85" s="94" t="n">
        <f aca="false">(C85/Q85)/M85</f>
        <v>0</v>
      </c>
      <c r="T85" s="94" t="n">
        <f aca="false">D85/Q85/M85</f>
        <v>0.00479947222334285</v>
      </c>
      <c r="U85" s="36" t="n">
        <f aca="false">E85/Q85/M85</f>
        <v>0.557381329423811</v>
      </c>
      <c r="V85" s="36" t="n">
        <f aca="false">(SUM(C85:E85)/Q85)/M85</f>
        <v>0.562180801647154</v>
      </c>
      <c r="W85" s="37" t="n">
        <f aca="false">(N85/Q85)/M85</f>
        <v>0.749357346066395</v>
      </c>
      <c r="X85" s="38"/>
      <c r="Y85" s="38" t="n">
        <f aca="false">G85/M85</f>
        <v>0.00871249737059667</v>
      </c>
      <c r="Z85" s="39" t="n">
        <f aca="false">H85/M85</f>
        <v>2.40287527088969</v>
      </c>
      <c r="AA85" s="40"/>
      <c r="AB85" s="40" t="n">
        <f aca="false">D85/G85</f>
        <v>10.2452779337451</v>
      </c>
      <c r="AC85" s="40" t="n">
        <f aca="false">E85/H85</f>
        <v>4.31413877418864</v>
      </c>
      <c r="AD85" s="40"/>
    </row>
    <row r="86" customFormat="false" ht="18.75" hidden="false" customHeight="true" outlineLevel="0" collapsed="false">
      <c r="A86" s="18" t="n">
        <v>2022</v>
      </c>
      <c r="B86" s="18" t="n">
        <v>12</v>
      </c>
      <c r="C86" s="24"/>
      <c r="D86" s="24" t="n">
        <v>18708.63</v>
      </c>
      <c r="E86" s="25" t="n">
        <v>2335777.93</v>
      </c>
      <c r="F86" s="26"/>
      <c r="G86" s="26" t="n">
        <v>1822</v>
      </c>
      <c r="H86" s="88" t="n">
        <v>505716.12</v>
      </c>
      <c r="I86" s="88"/>
      <c r="J86" s="89"/>
      <c r="K86" s="89"/>
      <c r="L86" s="90" t="n">
        <v>460906</v>
      </c>
      <c r="M86" s="91" t="n">
        <v>230962</v>
      </c>
      <c r="N86" s="24" t="n">
        <v>2036598</v>
      </c>
      <c r="O86" s="32" t="n">
        <v>238</v>
      </c>
      <c r="P86" s="92" t="n">
        <f aca="false">M86/O86</f>
        <v>970.428571428571</v>
      </c>
      <c r="Q86" s="93" t="n">
        <f aca="false">'$'!C133</f>
        <v>18.653721</v>
      </c>
      <c r="R86" s="35" t="n">
        <f aca="false">SUM(C86:E86)/Q86</f>
        <v>126220.744911967</v>
      </c>
      <c r="S86" s="94" t="n">
        <f aca="false">(C86/Q86)/M86</f>
        <v>0</v>
      </c>
      <c r="T86" s="94" t="n">
        <f aca="false">D86/Q86/M86</f>
        <v>0.0043424615088505</v>
      </c>
      <c r="U86" s="36" t="n">
        <f aca="false">E86/Q86/M86</f>
        <v>0.54215759006659</v>
      </c>
      <c r="V86" s="36" t="n">
        <f aca="false">(SUM(C86:E86)/Q86)/M86</f>
        <v>0.54650005157544</v>
      </c>
      <c r="W86" s="37" t="n">
        <f aca="false">(N86/Q86)/M86</f>
        <v>0.472714914133313</v>
      </c>
      <c r="X86" s="38"/>
      <c r="Y86" s="38" t="n">
        <f aca="false">G86/M86</f>
        <v>0.00788874360284376</v>
      </c>
      <c r="Z86" s="39" t="n">
        <f aca="false">H86/M86</f>
        <v>2.18960746789515</v>
      </c>
      <c r="AA86" s="40"/>
      <c r="AB86" s="40" t="n">
        <f aca="false">D86/G86</f>
        <v>10.2681833150384</v>
      </c>
      <c r="AC86" s="40" t="n">
        <f aca="false">E86/H86</f>
        <v>4.61875316531338</v>
      </c>
      <c r="AD86" s="40"/>
    </row>
    <row r="87" customFormat="false" ht="18.75" hidden="false" customHeight="true" outlineLevel="0" collapsed="false">
      <c r="A87" s="18" t="n">
        <v>2023</v>
      </c>
      <c r="B87" s="18" t="n">
        <v>1</v>
      </c>
      <c r="C87" s="24"/>
      <c r="D87" s="24" t="n">
        <v>19903.56</v>
      </c>
      <c r="E87" s="25" t="n">
        <v>2135456.09</v>
      </c>
      <c r="F87" s="26"/>
      <c r="G87" s="26" t="n">
        <v>1458</v>
      </c>
      <c r="H87" s="88" t="n">
        <v>495384.12</v>
      </c>
      <c r="I87" s="88"/>
      <c r="J87" s="89"/>
      <c r="K87" s="89"/>
      <c r="L87" s="90" t="n">
        <v>413704.1876</v>
      </c>
      <c r="M87" s="91" t="n">
        <v>176147.561</v>
      </c>
      <c r="N87" s="24" t="n">
        <v>3980815</v>
      </c>
      <c r="O87" s="32" t="n">
        <v>245</v>
      </c>
      <c r="P87" s="92" t="n">
        <f aca="false">M87/O87</f>
        <v>718.969636734694</v>
      </c>
      <c r="Q87" s="93" t="n">
        <f aca="false">'$'!C134</f>
        <v>18.779415</v>
      </c>
      <c r="R87" s="35" t="n">
        <f aca="false">SUM(C87:E87)/Q87</f>
        <v>114772.459631996</v>
      </c>
      <c r="S87" s="94" t="n">
        <f aca="false">(C87/Q87)/M87</f>
        <v>0</v>
      </c>
      <c r="T87" s="94" t="n">
        <f aca="false">D87/Q87/M87</f>
        <v>0.00601688995774364</v>
      </c>
      <c r="U87" s="36" t="n">
        <f aca="false">E87/Q87/M87</f>
        <v>0.645553072069695</v>
      </c>
      <c r="V87" s="36" t="n">
        <f aca="false">(SUM(C87:E87)/Q87)/M87</f>
        <v>0.651569962027439</v>
      </c>
      <c r="W87" s="37" t="n">
        <f aca="false">(N87/Q87)/M87</f>
        <v>1.20340912867524</v>
      </c>
      <c r="X87" s="38"/>
      <c r="Y87" s="38" t="n">
        <f aca="false">G87/M87</f>
        <v>0.00827715122322926</v>
      </c>
      <c r="Z87" s="39" t="n">
        <f aca="false">H87/M87</f>
        <v>2.81232460550504</v>
      </c>
      <c r="AA87" s="40"/>
      <c r="AB87" s="44" t="n">
        <f aca="false">D87/G87</f>
        <v>13.6512757201646</v>
      </c>
      <c r="AC87" s="40" t="n">
        <f aca="false">E87/H87</f>
        <v>4.31070759797468</v>
      </c>
      <c r="AD87" s="40"/>
    </row>
    <row r="88" customFormat="false" ht="18.75" hidden="false" customHeight="true" outlineLevel="0" collapsed="false">
      <c r="A88" s="18" t="n">
        <v>2023</v>
      </c>
      <c r="B88" s="18" t="n">
        <v>2</v>
      </c>
      <c r="C88" s="24"/>
      <c r="D88" s="24" t="n">
        <v>20689.13</v>
      </c>
      <c r="E88" s="25" t="n">
        <v>1372919.47</v>
      </c>
      <c r="F88" s="26"/>
      <c r="G88" s="26" t="n">
        <v>1525</v>
      </c>
      <c r="H88" s="88" t="n">
        <v>370891.08</v>
      </c>
      <c r="I88" s="88"/>
      <c r="J88" s="89"/>
      <c r="K88" s="89"/>
      <c r="L88" s="90" t="n">
        <v>294474</v>
      </c>
      <c r="M88" s="91" t="n">
        <v>129812</v>
      </c>
      <c r="N88" s="24" t="n">
        <v>2748369</v>
      </c>
      <c r="O88" s="32" t="n">
        <v>242</v>
      </c>
      <c r="P88" s="92" t="n">
        <f aca="false">M88/O88</f>
        <v>536.413223140496</v>
      </c>
      <c r="Q88" s="93" t="n">
        <f aca="false">'$'!C135</f>
        <v>18.848094</v>
      </c>
      <c r="R88" s="35" t="n">
        <f aca="false">SUM(C88:E88)/Q88</f>
        <v>73938.9669852029</v>
      </c>
      <c r="S88" s="94" t="n">
        <f aca="false">(C88/Q88)/M88</f>
        <v>0</v>
      </c>
      <c r="T88" s="94" t="n">
        <f aca="false">D88/Q88/M88</f>
        <v>0.00845590214219866</v>
      </c>
      <c r="U88" s="36" t="n">
        <f aca="false">E88/Q88/M88</f>
        <v>0.561129089886295</v>
      </c>
      <c r="V88" s="36" t="n">
        <f aca="false">(SUM(C88:E88)/Q88)/M88</f>
        <v>0.569584992028494</v>
      </c>
      <c r="W88" s="37" t="n">
        <f aca="false">(N88/Q88)/M88</f>
        <v>1.12329224644305</v>
      </c>
      <c r="X88" s="38"/>
      <c r="Y88" s="38" t="n">
        <f aca="false">G88/M88</f>
        <v>0.0117477582966136</v>
      </c>
      <c r="Z88" s="39" t="n">
        <f aca="false">H88/M88</f>
        <v>2.85714017194096</v>
      </c>
      <c r="AA88" s="40"/>
      <c r="AB88" s="40" t="n">
        <f aca="false">D88/G88</f>
        <v>13.5666426229508</v>
      </c>
      <c r="AC88" s="40" t="n">
        <f aca="false">E88/H88</f>
        <v>3.70167832022275</v>
      </c>
      <c r="AD88" s="40"/>
    </row>
    <row r="89" customFormat="false" ht="18.75" hidden="false" customHeight="true" outlineLevel="0" collapsed="false">
      <c r="A89" s="18" t="n">
        <v>2023</v>
      </c>
      <c r="B89" s="18" t="n">
        <v>3</v>
      </c>
      <c r="C89" s="24"/>
      <c r="D89" s="24" t="n">
        <v>23134.78</v>
      </c>
      <c r="E89" s="25" t="n">
        <v>1440647.53</v>
      </c>
      <c r="F89" s="26"/>
      <c r="G89" s="26" t="n">
        <v>1804</v>
      </c>
      <c r="H89" s="88" t="n">
        <v>519351.84</v>
      </c>
      <c r="I89" s="88"/>
      <c r="J89" s="89"/>
      <c r="K89" s="89"/>
      <c r="L89" s="90" t="n">
        <v>452592</v>
      </c>
      <c r="M89" s="91" t="n">
        <v>207842</v>
      </c>
      <c r="N89" s="24" t="n">
        <v>4206609</v>
      </c>
      <c r="O89" s="32" t="n">
        <v>241</v>
      </c>
      <c r="P89" s="92" t="n">
        <f aca="false">M89/O89</f>
        <v>862.414937759336</v>
      </c>
      <c r="Q89" s="93" t="n">
        <f aca="false">'$'!C136</f>
        <v>18.992986</v>
      </c>
      <c r="R89" s="35" t="n">
        <f aca="false">SUM(C89:E89)/Q89</f>
        <v>77069.6250710657</v>
      </c>
      <c r="S89" s="94" t="n">
        <f aca="false">(C89/Q89)/M89</f>
        <v>0</v>
      </c>
      <c r="T89" s="94" t="n">
        <f aca="false">D89/Q89/M89</f>
        <v>0.00586055590319252</v>
      </c>
      <c r="U89" s="36" t="n">
        <f aca="false">E89/Q89/M89</f>
        <v>0.364948159712832</v>
      </c>
      <c r="V89" s="36" t="n">
        <f aca="false">(SUM(C89:E89)/Q89)/M89</f>
        <v>0.370808715616024</v>
      </c>
      <c r="W89" s="37" t="n">
        <f aca="false">(N89/Q89)/M89</f>
        <v>1.06562790773773</v>
      </c>
      <c r="X89" s="38"/>
      <c r="Y89" s="38" t="n">
        <f aca="false">G89/M89</f>
        <v>0.00867967013404413</v>
      </c>
      <c r="Z89" s="39" t="n">
        <f aca="false">H89/M89</f>
        <v>2.49878195937299</v>
      </c>
      <c r="AA89" s="40"/>
      <c r="AB89" s="40" t="n">
        <f aca="false">D89/G89</f>
        <v>12.8241574279379</v>
      </c>
      <c r="AC89" s="40" t="n">
        <f aca="false">E89/H89</f>
        <v>2.77393362079934</v>
      </c>
      <c r="AD89" s="40"/>
    </row>
    <row r="90" customFormat="false" ht="18.75" hidden="false" customHeight="true" outlineLevel="0" collapsed="false">
      <c r="A90" s="18" t="n">
        <v>2023</v>
      </c>
      <c r="B90" s="18" t="n">
        <v>4</v>
      </c>
      <c r="C90" s="24"/>
      <c r="D90" s="24" t="n">
        <v>20871.14</v>
      </c>
      <c r="E90" s="25" t="n">
        <v>1034813.05</v>
      </c>
      <c r="F90" s="26"/>
      <c r="G90" s="26" t="n">
        <v>1527</v>
      </c>
      <c r="H90" s="88" t="n">
        <v>402897.6</v>
      </c>
      <c r="I90" s="88"/>
      <c r="J90" s="89"/>
      <c r="K90" s="89"/>
      <c r="L90" s="90"/>
      <c r="M90" s="91" t="n">
        <f aca="false">141035.83+64196</f>
        <v>205231.83</v>
      </c>
      <c r="N90" s="24" t="n">
        <v>3772865</v>
      </c>
      <c r="O90" s="32" t="n">
        <v>236</v>
      </c>
      <c r="P90" s="92" t="n">
        <f aca="false">M90/O90</f>
        <v>869.626398305085</v>
      </c>
      <c r="Q90" s="93" t="n">
        <f aca="false">'$'!C137</f>
        <v>19.335863</v>
      </c>
      <c r="R90" s="35" t="n">
        <f aca="false">SUM(C90:E90)/Q90</f>
        <v>54597.2108925265</v>
      </c>
      <c r="S90" s="94" t="n">
        <f aca="false">(C90/Q90)/M90</f>
        <v>0</v>
      </c>
      <c r="T90" s="94" t="n">
        <f aca="false">D90/Q90/M90</f>
        <v>0.00525942048154469</v>
      </c>
      <c r="U90" s="36" t="n">
        <f aca="false">E90/Q90/M90</f>
        <v>0.260767593420375</v>
      </c>
      <c r="V90" s="36" t="n">
        <f aca="false">(SUM(C90:E90)/Q90)/M90</f>
        <v>0.26602701390192</v>
      </c>
      <c r="W90" s="37" t="n">
        <f aca="false">(N90/Q90)/M90</f>
        <v>0.950742674099408</v>
      </c>
      <c r="X90" s="38"/>
      <c r="Y90" s="38" t="n">
        <f aca="false">G90/M90</f>
        <v>0.00744036634083514</v>
      </c>
      <c r="Z90" s="39" t="n">
        <f aca="false">H90/M90</f>
        <v>1.96313408110233</v>
      </c>
      <c r="AA90" s="40"/>
      <c r="AB90" s="44" t="n">
        <f aca="false">D90/G90</f>
        <v>13.6680681074001</v>
      </c>
      <c r="AC90" s="40" t="n">
        <f aca="false">E90/H90</f>
        <v>2.56842694024487</v>
      </c>
      <c r="AD90" s="40"/>
    </row>
    <row r="91" customFormat="false" ht="18.75" hidden="false" customHeight="true" outlineLevel="0" collapsed="false">
      <c r="A91" s="18" t="n">
        <v>2023</v>
      </c>
      <c r="B91" s="18" t="n">
        <v>5</v>
      </c>
      <c r="C91" s="24"/>
      <c r="D91" s="24" t="n">
        <v>15821.42</v>
      </c>
      <c r="E91" s="25" t="n">
        <v>1178360.85</v>
      </c>
      <c r="F91" s="26"/>
      <c r="G91" s="26" t="n">
        <v>1086</v>
      </c>
      <c r="H91" s="88" t="n">
        <v>546810</v>
      </c>
      <c r="I91" s="88"/>
      <c r="J91" s="89"/>
      <c r="K91" s="89"/>
      <c r="L91" s="90"/>
      <c r="M91" s="91" t="n">
        <v>217959.14</v>
      </c>
      <c r="N91" s="24" t="n">
        <v>4260249</v>
      </c>
      <c r="O91" s="32" t="n">
        <v>232</v>
      </c>
      <c r="P91" s="92" t="n">
        <f aca="false">M91/O91</f>
        <v>939.479051724138</v>
      </c>
      <c r="Q91" s="93" t="n">
        <f aca="false">'$'!C138</f>
        <v>19.735976</v>
      </c>
      <c r="R91" s="35" t="n">
        <f aca="false">SUM(C91:E91)/Q91</f>
        <v>60507.8902609124</v>
      </c>
      <c r="S91" s="94" t="n">
        <f aca="false">(C91/Q91)/M91</f>
        <v>0</v>
      </c>
      <c r="T91" s="94" t="n">
        <f aca="false">D91/Q91/M91</f>
        <v>0.00367800034464933</v>
      </c>
      <c r="U91" s="36" t="n">
        <f aca="false">E91/Q91/M91</f>
        <v>0.273933162283871</v>
      </c>
      <c r="V91" s="36" t="n">
        <f aca="false">(SUM(C91:E91)/Q91)/M91</f>
        <v>0.27761116262852</v>
      </c>
      <c r="W91" s="37" t="n">
        <f aca="false">(N91/Q91)/M91</f>
        <v>0.990378694851155</v>
      </c>
      <c r="X91" s="38"/>
      <c r="Y91" s="38" t="n">
        <f aca="false">G91/M91</f>
        <v>0.00498258526804611</v>
      </c>
      <c r="Z91" s="39" t="n">
        <f aca="false">H91/M91</f>
        <v>2.50877297460432</v>
      </c>
      <c r="AA91" s="40"/>
      <c r="AB91" s="44" t="n">
        <f aca="false">D91/G91</f>
        <v>14.5685267034991</v>
      </c>
      <c r="AC91" s="40" t="n">
        <f aca="false">E91/H91</f>
        <v>2.15497311680474</v>
      </c>
      <c r="AD91" s="40"/>
    </row>
    <row r="92" customFormat="false" ht="18.75" hidden="false" customHeight="true" outlineLevel="0" collapsed="false">
      <c r="A92" s="18" t="n">
        <v>2023</v>
      </c>
      <c r="B92" s="18" t="n">
        <v>6</v>
      </c>
      <c r="C92" s="24"/>
      <c r="D92" s="24" t="n">
        <v>14343.56</v>
      </c>
      <c r="E92" s="25" t="n">
        <v>1008564.09</v>
      </c>
      <c r="F92" s="26"/>
      <c r="G92" s="26" t="n">
        <v>1112</v>
      </c>
      <c r="H92" s="88" t="n">
        <v>401267.16</v>
      </c>
      <c r="I92" s="88"/>
      <c r="J92" s="89"/>
      <c r="K92" s="89"/>
      <c r="L92" s="90"/>
      <c r="M92" s="91" t="n">
        <v>218785</v>
      </c>
      <c r="N92" s="24" t="n">
        <v>3253307</v>
      </c>
      <c r="O92" s="32" t="n">
        <v>228</v>
      </c>
      <c r="P92" s="92" t="n">
        <f aca="false">M92/O92</f>
        <v>959.583333333333</v>
      </c>
      <c r="Q92" s="93" t="n">
        <f aca="false">'$'!C139</f>
        <v>23.541627</v>
      </c>
      <c r="R92" s="35" t="n">
        <f aca="false">SUM(C92:E92)/Q92</f>
        <v>43451.0176378209</v>
      </c>
      <c r="S92" s="94" t="n">
        <f aca="false">(C92/Q92)/M92</f>
        <v>0</v>
      </c>
      <c r="T92" s="94" t="n">
        <f aca="false">D92/Q92/M92</f>
        <v>0.00278485723984743</v>
      </c>
      <c r="U92" s="36" t="n">
        <f aca="false">E92/Q92/M92</f>
        <v>0.195816590015773</v>
      </c>
      <c r="V92" s="36" t="n">
        <f aca="false">(SUM(C92:E92)/Q92)/M92</f>
        <v>0.19860144725562</v>
      </c>
      <c r="W92" s="37" t="n">
        <f aca="false">(N92/Q92)/M92</f>
        <v>0.631642043704376</v>
      </c>
      <c r="X92" s="38"/>
      <c r="Y92" s="38" t="n">
        <f aca="false">G92/M92</f>
        <v>0.0050826153529721</v>
      </c>
      <c r="Z92" s="39" t="n">
        <f aca="false">H92/M92</f>
        <v>1.83407070868661</v>
      </c>
      <c r="AA92" s="40"/>
      <c r="AB92" s="40" t="n">
        <f aca="false">D92/G92</f>
        <v>12.8988848920863</v>
      </c>
      <c r="AC92" s="40" t="n">
        <f aca="false">E92/H92</f>
        <v>2.5134478734816</v>
      </c>
      <c r="AD92" s="40"/>
    </row>
    <row r="93" customFormat="false" ht="18.75" hidden="false" customHeight="true" outlineLevel="0" collapsed="false">
      <c r="A93" s="18" t="n">
        <v>2023</v>
      </c>
      <c r="B93" s="18" t="n">
        <v>7</v>
      </c>
      <c r="C93" s="24"/>
      <c r="D93" s="24" t="n">
        <v>14410.56</v>
      </c>
      <c r="E93" s="25" t="n">
        <v>1224770.28</v>
      </c>
      <c r="F93" s="26"/>
      <c r="G93" s="26" t="n">
        <v>1036</v>
      </c>
      <c r="H93" s="88" t="n">
        <v>512168</v>
      </c>
      <c r="I93" s="88" t="n">
        <v>91613</v>
      </c>
      <c r="J93" s="89"/>
      <c r="K93" s="89"/>
      <c r="L93" s="90"/>
      <c r="M93" s="91" t="n">
        <v>212230</v>
      </c>
      <c r="N93" s="24" t="n">
        <v>4708550</v>
      </c>
      <c r="O93" s="32" t="n">
        <v>225</v>
      </c>
      <c r="P93" s="92" t="n">
        <f aca="false">M93/O93</f>
        <v>943.244444444444</v>
      </c>
      <c r="Q93" s="93" t="n">
        <f aca="false">'$'!C140</f>
        <v>26.43329</v>
      </c>
      <c r="R93" s="35" t="n">
        <f aca="false">SUM(C93:E93)/Q93</f>
        <v>46879.5537748044</v>
      </c>
      <c r="S93" s="94" t="n">
        <f aca="false">(C93/Q93)/M93</f>
        <v>0</v>
      </c>
      <c r="T93" s="94" t="n">
        <f aca="false">D93/Q93/M93</f>
        <v>0.00256875605712703</v>
      </c>
      <c r="U93" s="36" t="n">
        <f aca="false">E93/Q93/M93</f>
        <v>0.218321569414316</v>
      </c>
      <c r="V93" s="36" t="n">
        <f aca="false">(SUM(C93:E93)/Q93)/M93</f>
        <v>0.220890325471443</v>
      </c>
      <c r="W93" s="37" t="n">
        <f aca="false">(N93/Q93)/M93</f>
        <v>0.839323130592113</v>
      </c>
      <c r="X93" s="38"/>
      <c r="Y93" s="38" t="n">
        <f aca="false">G93/M93</f>
        <v>0.00488149648965745</v>
      </c>
      <c r="Z93" s="39" t="n">
        <f aca="false">H93/M93</f>
        <v>2.41326862366301</v>
      </c>
      <c r="AA93" s="40"/>
      <c r="AB93" s="40" t="n">
        <f aca="false">D93/G93</f>
        <v>13.9098069498069</v>
      </c>
      <c r="AC93" s="40" t="n">
        <f aca="false">E93/H93</f>
        <v>2.39134479311476</v>
      </c>
      <c r="AD93" s="40" t="n">
        <f aca="false">E93/(H93-I93)</f>
        <v>2.91227135570853</v>
      </c>
    </row>
    <row r="94" customFormat="false" ht="18.75" hidden="false" customHeight="true" outlineLevel="0" collapsed="false">
      <c r="A94" s="18" t="n">
        <v>2023</v>
      </c>
      <c r="B94" s="18" t="n">
        <v>8</v>
      </c>
      <c r="C94" s="24"/>
      <c r="D94" s="24" t="n">
        <v>14410.31</v>
      </c>
      <c r="E94" s="25" t="n">
        <v>1200767.34</v>
      </c>
      <c r="F94" s="26"/>
      <c r="G94" s="26" t="n">
        <v>1078</v>
      </c>
      <c r="H94" s="88" t="n">
        <v>660295</v>
      </c>
      <c r="I94" s="88" t="n">
        <v>272175</v>
      </c>
      <c r="J94" s="89"/>
      <c r="K94" s="89"/>
      <c r="L94" s="90"/>
      <c r="M94" s="91" t="n">
        <v>237518</v>
      </c>
      <c r="N94" s="24" t="n">
        <v>4479553</v>
      </c>
      <c r="O94" s="32" t="n">
        <v>226</v>
      </c>
      <c r="P94" s="92" t="n">
        <f aca="false">M94/O94</f>
        <v>1050.96460176991</v>
      </c>
      <c r="Q94" s="93" t="n">
        <f aca="false">'$'!C141</f>
        <v>26.916173</v>
      </c>
      <c r="R94" s="35" t="n">
        <f aca="false">SUM(C94:E94)/Q94</f>
        <v>45146.7469019463</v>
      </c>
      <c r="S94" s="94" t="n">
        <f aca="false">(C94/Q94)/M94</f>
        <v>0</v>
      </c>
      <c r="T94" s="94" t="n">
        <f aca="false">D94/Q94/M94</f>
        <v>0.0022540496859141</v>
      </c>
      <c r="U94" s="36" t="n">
        <f aca="false">E94/Q94/M94</f>
        <v>0.187823110369098</v>
      </c>
      <c r="V94" s="36" t="n">
        <f aca="false">(SUM(C94:E94)/Q94)/M94</f>
        <v>0.190077160055012</v>
      </c>
      <c r="W94" s="37" t="n">
        <f aca="false">(N94/Q94)/M94</f>
        <v>0.700688259495151</v>
      </c>
      <c r="X94" s="38"/>
      <c r="Y94" s="38" t="n">
        <f aca="false">G94/M94</f>
        <v>0.00453860339005886</v>
      </c>
      <c r="Z94" s="39" t="n">
        <f aca="false">H94/M94</f>
        <v>2.77997878055558</v>
      </c>
      <c r="AA94" s="40"/>
      <c r="AB94" s="40" t="n">
        <f aca="false">D94/G94</f>
        <v>13.3676345083488</v>
      </c>
      <c r="AC94" s="40" t="n">
        <f aca="false">E94/H94</f>
        <v>1.81853162601564</v>
      </c>
      <c r="AD94" s="40" t="n">
        <f aca="false">E94/(H94-I94)</f>
        <v>3.09380433886427</v>
      </c>
    </row>
    <row r="95" customFormat="false" ht="18.75" hidden="false" customHeight="true" outlineLevel="0" collapsed="false">
      <c r="A95" s="18" t="n">
        <v>2023</v>
      </c>
      <c r="B95" s="18" t="n">
        <v>9</v>
      </c>
      <c r="C95" s="24"/>
      <c r="D95" s="24" t="n">
        <v>28817.79</v>
      </c>
      <c r="E95" s="25" t="n">
        <v>654425.18</v>
      </c>
      <c r="F95" s="26"/>
      <c r="G95" s="26" t="n">
        <v>2755</v>
      </c>
      <c r="H95" s="88" t="n">
        <v>498343.98</v>
      </c>
      <c r="I95" s="88" t="n">
        <v>284461</v>
      </c>
      <c r="J95" s="89"/>
      <c r="K95" s="89"/>
      <c r="L95" s="90"/>
      <c r="M95" s="91" t="n">
        <v>269480.31</v>
      </c>
      <c r="N95" s="24" t="n">
        <v>4182801</v>
      </c>
      <c r="O95" s="32" t="n">
        <v>231</v>
      </c>
      <c r="P95" s="92" t="n">
        <f aca="false">M95/O95</f>
        <v>1166.58142857143</v>
      </c>
      <c r="Q95" s="93" t="n">
        <f aca="false">'$'!C142</f>
        <v>26.984571</v>
      </c>
      <c r="R95" s="35" t="n">
        <f aca="false">SUM(C95:E95)/Q95</f>
        <v>25319.7640236712</v>
      </c>
      <c r="S95" s="94" t="n">
        <f aca="false">(C95/Q95)/M95</f>
        <v>0</v>
      </c>
      <c r="T95" s="94" t="n">
        <f aca="false">D95/Q95/M95</f>
        <v>0.00396294564730092</v>
      </c>
      <c r="U95" s="36" t="n">
        <f aca="false">E95/Q95/M95</f>
        <v>0.089994805936372</v>
      </c>
      <c r="V95" s="36" t="n">
        <f aca="false">(SUM(C95:E95)/Q95)/M95</f>
        <v>0.0939577515836729</v>
      </c>
      <c r="W95" s="37" t="n">
        <f aca="false">(N95/Q95)/M95</f>
        <v>0.575207641407475</v>
      </c>
      <c r="X95" s="38"/>
      <c r="Y95" s="38" t="n">
        <f aca="false">G95/M95</f>
        <v>0.0102233814411153</v>
      </c>
      <c r="Z95" s="39" t="n">
        <f aca="false">H95/M95</f>
        <v>1.84927789343867</v>
      </c>
      <c r="AA95" s="40"/>
      <c r="AB95" s="40" t="n">
        <f aca="false">D95/G95</f>
        <v>10.4601778584392</v>
      </c>
      <c r="AC95" s="40" t="n">
        <f aca="false">E95/H95</f>
        <v>1.31319973003386</v>
      </c>
      <c r="AD95" s="40" t="n">
        <f aca="false">E95/(H95-I95)</f>
        <v>3.0597347203597</v>
      </c>
    </row>
    <row r="96" customFormat="false" ht="18.75" hidden="false" customHeight="true" outlineLevel="0" collapsed="false">
      <c r="A96" s="18" t="n">
        <v>2023</v>
      </c>
      <c r="B96" s="18" t="n">
        <v>10</v>
      </c>
      <c r="C96" s="24"/>
      <c r="D96" s="24" t="n">
        <v>16401.36</v>
      </c>
      <c r="E96" s="25" t="n">
        <v>816378.89</v>
      </c>
      <c r="F96" s="26"/>
      <c r="G96" s="26" t="n">
        <v>1316</v>
      </c>
      <c r="H96" s="88" t="n">
        <v>513765</v>
      </c>
      <c r="I96" s="88" t="n">
        <v>272155</v>
      </c>
      <c r="J96" s="89"/>
      <c r="K96" s="89"/>
      <c r="L96" s="90"/>
      <c r="M96" s="91" t="n">
        <v>303797</v>
      </c>
      <c r="N96" s="24" t="n">
        <v>4730673</v>
      </c>
      <c r="O96" s="32" t="n">
        <v>238</v>
      </c>
      <c r="P96" s="92" t="n">
        <f aca="false">M96/O96</f>
        <v>1276.45798319328</v>
      </c>
      <c r="Q96" s="93" t="n">
        <f aca="false">'$'!C143</f>
        <v>27.86033</v>
      </c>
      <c r="R96" s="35" t="n">
        <f aca="false">SUM(C96:E96)/Q96</f>
        <v>29891.255774788</v>
      </c>
      <c r="S96" s="94" t="n">
        <f aca="false">(C96/Q96)/M96</f>
        <v>0</v>
      </c>
      <c r="T96" s="94" t="n">
        <f aca="false">D96/Q96/M96</f>
        <v>0.00193780523171604</v>
      </c>
      <c r="U96" s="36" t="n">
        <f aca="false">E96/Q96/M96</f>
        <v>0.0964543967149392</v>
      </c>
      <c r="V96" s="36" t="n">
        <f aca="false">(SUM(C96:E96)/Q96)/M96</f>
        <v>0.0983922019466552</v>
      </c>
      <c r="W96" s="37" t="n">
        <f aca="false">(N96/Q96)/M96</f>
        <v>0.558924558020666</v>
      </c>
      <c r="X96" s="38"/>
      <c r="Y96" s="38" t="n">
        <f aca="false">G96/M96</f>
        <v>0.00433184001158669</v>
      </c>
      <c r="Z96" s="39" t="n">
        <f aca="false">H96/M96</f>
        <v>1.691145732183</v>
      </c>
      <c r="AA96" s="40"/>
      <c r="AB96" s="40" t="n">
        <f aca="false">D96/G96</f>
        <v>12.4630395136778</v>
      </c>
      <c r="AC96" s="40" t="n">
        <f aca="false">E96/H96</f>
        <v>1.58901227214777</v>
      </c>
      <c r="AD96" s="40" t="n">
        <f aca="false">E96/(H96-I96)</f>
        <v>3.37891184139729</v>
      </c>
    </row>
    <row r="97" customFormat="false" ht="18.75" hidden="false" customHeight="true" outlineLevel="0" collapsed="false">
      <c r="A97" s="18" t="n">
        <v>2023</v>
      </c>
      <c r="B97" s="18" t="n">
        <v>11</v>
      </c>
      <c r="C97" s="24"/>
      <c r="D97" s="24" t="n">
        <v>16981.33</v>
      </c>
      <c r="E97" s="25" t="n">
        <v>1047765.35</v>
      </c>
      <c r="F97" s="26"/>
      <c r="G97" s="26" t="n">
        <v>1367</v>
      </c>
      <c r="H97" s="88" t="n">
        <v>528146</v>
      </c>
      <c r="I97" s="88" t="n">
        <v>180421</v>
      </c>
      <c r="J97" s="89"/>
      <c r="K97" s="89"/>
      <c r="L97" s="90"/>
      <c r="M97" s="91" t="n">
        <f aca="false">99084+83790+34585+78599+525</f>
        <v>296583</v>
      </c>
      <c r="N97" s="24" t="n">
        <v>5284392</v>
      </c>
      <c r="O97" s="32" t="n">
        <v>253</v>
      </c>
      <c r="P97" s="92" t="n">
        <f aca="false">M97/O97</f>
        <v>1172.26482213439</v>
      </c>
      <c r="Q97" s="93" t="n">
        <f aca="false">'$'!C144</f>
        <v>28.646301</v>
      </c>
      <c r="R97" s="35" t="n">
        <f aca="false">SUM(C97:E97)/Q97</f>
        <v>37168.7318373147</v>
      </c>
      <c r="S97" s="94" t="n">
        <f aca="false">(C97/Q97)/M97</f>
        <v>0</v>
      </c>
      <c r="T97" s="94" t="n">
        <f aca="false">D97/Q97/M97</f>
        <v>0.001998742729336</v>
      </c>
      <c r="U97" s="36" t="n">
        <f aca="false">E97/Q97/M97</f>
        <v>0.123324461356248</v>
      </c>
      <c r="V97" s="36" t="n">
        <f aca="false">(SUM(C97:E97)/Q97)/M97</f>
        <v>0.125323204085584</v>
      </c>
      <c r="W97" s="37" t="n">
        <f aca="false">(N97/Q97)/M97</f>
        <v>0.621985444541819</v>
      </c>
      <c r="X97" s="38"/>
      <c r="Y97" s="38" t="n">
        <f aca="false">G97/M97</f>
        <v>0.00460916505666205</v>
      </c>
      <c r="Z97" s="39" t="n">
        <f aca="false">H97/M97</f>
        <v>1.78076963278408</v>
      </c>
      <c r="AA97" s="40"/>
      <c r="AB97" s="40" t="n">
        <f aca="false">D97/G97</f>
        <v>12.4223335771763</v>
      </c>
      <c r="AC97" s="40" t="n">
        <f aca="false">E97/H97</f>
        <v>1.98385550586391</v>
      </c>
      <c r="AD97" s="40" t="n">
        <f aca="false">E97/(H97-I97)</f>
        <v>3.0132010928176</v>
      </c>
    </row>
    <row r="98" customFormat="false" ht="18.75" hidden="false" customHeight="true" outlineLevel="0" collapsed="false">
      <c r="A98" s="18" t="n">
        <v>2023</v>
      </c>
      <c r="B98" s="18" t="n">
        <v>12</v>
      </c>
      <c r="C98" s="24"/>
      <c r="D98" s="24" t="n">
        <v>20750.7</v>
      </c>
      <c r="E98" s="25" t="n">
        <v>1314155.17</v>
      </c>
      <c r="F98" s="26"/>
      <c r="G98" s="26" t="n">
        <v>1731</v>
      </c>
      <c r="H98" s="88" t="n">
        <v>561294</v>
      </c>
      <c r="I98" s="88" t="n">
        <v>141258</v>
      </c>
      <c r="J98" s="89"/>
      <c r="K98" s="89"/>
      <c r="L98" s="90"/>
      <c r="M98" s="91" t="n">
        <v>293624</v>
      </c>
      <c r="N98" s="24" t="n">
        <v>5060033</v>
      </c>
      <c r="O98" s="32" t="n">
        <v>251</v>
      </c>
      <c r="P98" s="92" t="n">
        <f aca="false">M98/O98</f>
        <v>1169.81673306773</v>
      </c>
      <c r="Q98" s="93" t="n">
        <f aca="false">'$'!C145</f>
        <v>29.088107</v>
      </c>
      <c r="R98" s="35" t="n">
        <f aca="false">SUM(C98:E98)/Q98</f>
        <v>45891.8096664042</v>
      </c>
      <c r="S98" s="94" t="n">
        <f aca="false">(C98/Q98)/M98</f>
        <v>0</v>
      </c>
      <c r="T98" s="94" t="n">
        <f aca="false">D98/Q98/M98</f>
        <v>0.00242954944426805</v>
      </c>
      <c r="U98" s="36" t="n">
        <f aca="false">E98/Q98/M98</f>
        <v>0.15386492807257</v>
      </c>
      <c r="V98" s="36" t="n">
        <f aca="false">(SUM(C98:E98)/Q98)/M98</f>
        <v>0.156294477516839</v>
      </c>
      <c r="W98" s="37" t="n">
        <f aca="false">(N98/Q98)/M98</f>
        <v>0.592442682084364</v>
      </c>
      <c r="X98" s="38"/>
      <c r="Y98" s="38" t="n">
        <f aca="false">G98/M98</f>
        <v>0.00589529466256164</v>
      </c>
      <c r="Z98" s="39" t="n">
        <f aca="false">H98/M98</f>
        <v>1.91160804293927</v>
      </c>
      <c r="AA98" s="40"/>
      <c r="AB98" s="40" t="n">
        <f aca="false">D98/G98</f>
        <v>11.9876949740035</v>
      </c>
      <c r="AC98" s="40" t="n">
        <f aca="false">E98/H98</f>
        <v>2.3412955955346</v>
      </c>
      <c r="AD98" s="40" t="n">
        <f aca="false">E98/(H98-I98)</f>
        <v>3.12867270900589</v>
      </c>
    </row>
    <row r="99" customFormat="false" ht="18.75" hidden="false" customHeight="true" outlineLevel="0" collapsed="false">
      <c r="A99" s="18" t="n">
        <v>2024</v>
      </c>
      <c r="B99" s="18" t="n">
        <v>1</v>
      </c>
      <c r="C99" s="24"/>
      <c r="D99" s="24" t="n">
        <v>22124.57</v>
      </c>
      <c r="E99" s="25" t="n">
        <v>1106468.59</v>
      </c>
      <c r="F99" s="26"/>
      <c r="G99" s="26" t="n">
        <f aca="false">1170</f>
        <v>1170</v>
      </c>
      <c r="H99" s="88" t="n">
        <v>515086</v>
      </c>
      <c r="I99" s="88" t="n">
        <v>143810</v>
      </c>
      <c r="J99" s="89"/>
      <c r="K99" s="89"/>
      <c r="L99" s="90"/>
      <c r="M99" s="91" t="n">
        <v>267878</v>
      </c>
      <c r="N99" s="24" t="n">
        <v>7175858</v>
      </c>
      <c r="O99" s="32" t="n">
        <v>248</v>
      </c>
      <c r="P99" s="92" t="n">
        <f aca="false">M99/O99</f>
        <v>1080.15322580645</v>
      </c>
      <c r="Q99" s="93" t="n">
        <f aca="false">'$'!C146</f>
        <v>30.065751</v>
      </c>
      <c r="R99" s="35" t="n">
        <f aca="false">SUM(C99:E99)/Q99</f>
        <v>37537.5010589291</v>
      </c>
      <c r="S99" s="94" t="n">
        <f aca="false">(C99/Q99)/M99</f>
        <v>0</v>
      </c>
      <c r="T99" s="94" t="n">
        <f aca="false">D99/Q99/M99</f>
        <v>0.00274704475220908</v>
      </c>
      <c r="U99" s="36" t="n">
        <f aca="false">E99/Q99/M99</f>
        <v>0.137382047815785</v>
      </c>
      <c r="V99" s="36" t="n">
        <f aca="false">(SUM(C99:E99)/Q99)/M99</f>
        <v>0.140129092567994</v>
      </c>
      <c r="W99" s="37" t="n">
        <f aca="false">(N99/Q99)/M99</f>
        <v>0.8909733866691</v>
      </c>
      <c r="X99" s="38"/>
      <c r="Y99" s="38" t="n">
        <f aca="false">G99/M99</f>
        <v>0.00436765990488207</v>
      </c>
      <c r="Z99" s="39" t="n">
        <f aca="false">H99/M99</f>
        <v>1.92283800834708</v>
      </c>
      <c r="AA99" s="40"/>
      <c r="AB99" s="40" t="n">
        <f aca="false">D99/G99</f>
        <v>18.9098888888889</v>
      </c>
      <c r="AC99" s="40" t="n">
        <f aca="false">E99/H99</f>
        <v>2.14812398317951</v>
      </c>
      <c r="AD99" s="40" t="n">
        <f aca="false">E99/(H99-I99)</f>
        <v>2.98017806160377</v>
      </c>
    </row>
    <row r="100" customFormat="false" ht="18.75" hidden="false" customHeight="true" outlineLevel="0" collapsed="false">
      <c r="A100" s="18" t="n">
        <v>2024</v>
      </c>
      <c r="B100" s="18" t="n">
        <v>2</v>
      </c>
      <c r="C100" s="24"/>
      <c r="D100" s="24" t="n">
        <f aca="false">26815.36+2354.4</f>
        <v>29169.76</v>
      </c>
      <c r="E100" s="25" t="n">
        <v>803376.18</v>
      </c>
      <c r="F100" s="26"/>
      <c r="G100" s="26" t="n">
        <f aca="false">1456</f>
        <v>1456</v>
      </c>
      <c r="H100" s="88" t="n">
        <v>479622</v>
      </c>
      <c r="I100" s="88" t="n">
        <v>231490</v>
      </c>
      <c r="J100" s="89"/>
      <c r="K100" s="89"/>
      <c r="L100" s="90"/>
      <c r="M100" s="91" t="n">
        <v>276768.66</v>
      </c>
      <c r="N100" s="24" t="n">
        <v>6900068</v>
      </c>
      <c r="O100" s="32" t="n">
        <v>255</v>
      </c>
      <c r="P100" s="92" t="n">
        <f aca="false">M100/O100</f>
        <v>1085.36729411765</v>
      </c>
      <c r="Q100" s="93" t="n">
        <f aca="false">'$'!C147</f>
        <v>30.78419</v>
      </c>
      <c r="R100" s="35" t="n">
        <f aca="false">SUM(C100:E100)/Q100</f>
        <v>27044.5946441989</v>
      </c>
      <c r="S100" s="94" t="n">
        <f aca="false">(C100/Q100)/M100</f>
        <v>0</v>
      </c>
      <c r="T100" s="94" t="n">
        <f aca="false">D100/Q100/M100</f>
        <v>0.00342364096320753</v>
      </c>
      <c r="U100" s="36" t="n">
        <f aca="false">E100/Q100/M100</f>
        <v>0.0942918830567406</v>
      </c>
      <c r="V100" s="36" t="n">
        <f aca="false">(SUM(C100:E100)/Q100)/M100</f>
        <v>0.0977155240199482</v>
      </c>
      <c r="W100" s="37" t="n">
        <f aca="false">(N100/Q100)/M100</f>
        <v>0.809857724359662</v>
      </c>
      <c r="X100" s="38"/>
      <c r="Y100" s="38" t="n">
        <f aca="false">G100/M100</f>
        <v>0.00526071123804263</v>
      </c>
      <c r="Z100" s="39" t="n">
        <f aca="false">H100/M100</f>
        <v>1.73293464657451</v>
      </c>
      <c r="AA100" s="40"/>
      <c r="AB100" s="40" t="n">
        <f aca="false">D100/G100</f>
        <v>20.0341758241758</v>
      </c>
      <c r="AC100" s="40" t="n">
        <f aca="false">E100/H100</f>
        <v>1.6750194528191</v>
      </c>
      <c r="AD100" s="40" t="n">
        <f aca="false">E100/(H100-I100)</f>
        <v>3.237696790418</v>
      </c>
    </row>
    <row r="101" customFormat="false" ht="18.75" hidden="false" customHeight="true" outlineLevel="0" collapsed="false">
      <c r="A101" s="18" t="n">
        <v>2024</v>
      </c>
      <c r="B101" s="18" t="n">
        <v>3</v>
      </c>
      <c r="C101" s="24"/>
      <c r="D101" s="24" t="n">
        <f aca="false">24673.73+67.07</f>
        <v>24740.8</v>
      </c>
      <c r="E101" s="25" t="n">
        <v>406641.19</v>
      </c>
      <c r="F101" s="26"/>
      <c r="G101" s="26" t="n">
        <f aca="false">1314+1</f>
        <v>1315</v>
      </c>
      <c r="H101" s="88" t="n">
        <v>429151</v>
      </c>
      <c r="I101" s="88" t="n">
        <v>323836</v>
      </c>
      <c r="J101" s="89"/>
      <c r="K101" s="89"/>
      <c r="L101" s="90"/>
      <c r="M101" s="91" t="n">
        <v>241895.14</v>
      </c>
      <c r="N101" s="24" t="n">
        <v>7721381</v>
      </c>
      <c r="O101" s="32" t="n">
        <v>245</v>
      </c>
      <c r="P101" s="92" t="n">
        <f aca="false">M101/O101</f>
        <v>987.327102040816</v>
      </c>
      <c r="Q101" s="93" t="n">
        <f aca="false">'$'!C148</f>
        <v>32.02692</v>
      </c>
      <c r="R101" s="35" t="n">
        <f aca="false">SUM(C101:E101)/Q101</f>
        <v>13469.3560916879</v>
      </c>
      <c r="S101" s="94" t="n">
        <f aca="false">(C101/Q101)/M101</f>
        <v>0</v>
      </c>
      <c r="T101" s="94" t="n">
        <f aca="false">D101/Q101/M101</f>
        <v>0.00319353309149598</v>
      </c>
      <c r="U101" s="36" t="n">
        <f aca="false">E101/Q101/M101</f>
        <v>0.0524890907581931</v>
      </c>
      <c r="V101" s="36" t="n">
        <f aca="false">(SUM(C101:E101)/Q101)/M101</f>
        <v>0.055682623849689</v>
      </c>
      <c r="W101" s="37" t="n">
        <f aca="false">(N101/Q101)/M101</f>
        <v>0.996672934405852</v>
      </c>
      <c r="X101" s="38"/>
      <c r="Y101" s="38" t="n">
        <f aca="false">G101/M101</f>
        <v>0.00543623985169772</v>
      </c>
      <c r="Z101" s="39" t="n">
        <f aca="false">H101/M101</f>
        <v>1.77411997611858</v>
      </c>
      <c r="AA101" s="40"/>
      <c r="AB101" s="40" t="n">
        <f aca="false">D101/G101</f>
        <v>18.8142965779468</v>
      </c>
      <c r="AC101" s="40" t="n">
        <f aca="false">E101/H101</f>
        <v>0.947548042530485</v>
      </c>
      <c r="AD101" s="40" t="n">
        <f aca="false">E101/(H101-I101)</f>
        <v>3.86118966908797</v>
      </c>
    </row>
    <row r="102" customFormat="false" ht="18.75" hidden="false" customHeight="true" outlineLevel="0" collapsed="false">
      <c r="A102" s="18" t="n">
        <v>2024</v>
      </c>
      <c r="B102" s="18" t="n">
        <v>4</v>
      </c>
      <c r="C102" s="24"/>
      <c r="D102" s="24" t="n">
        <v>21877.08</v>
      </c>
      <c r="E102" s="25" t="n">
        <v>57313.92</v>
      </c>
      <c r="F102" s="26"/>
      <c r="G102" s="26" t="n">
        <v>1115</v>
      </c>
      <c r="H102" s="88" t="n">
        <v>366622</v>
      </c>
      <c r="I102" s="88" t="n">
        <v>376039</v>
      </c>
      <c r="J102" s="89"/>
      <c r="K102" s="89"/>
      <c r="L102" s="90"/>
      <c r="M102" s="91" t="n">
        <v>167981</v>
      </c>
      <c r="N102" s="24" t="n">
        <v>8416509</v>
      </c>
      <c r="O102" s="32" t="n">
        <v>242</v>
      </c>
      <c r="P102" s="92" t="n">
        <f aca="false">M102/O102</f>
        <v>694.136363636364</v>
      </c>
      <c r="Q102" s="93" t="n">
        <f aca="false">'$'!C149</f>
        <v>32.366499</v>
      </c>
      <c r="R102" s="35" t="n">
        <f aca="false">SUM(C102:E102)/Q102</f>
        <v>2446.6965055442</v>
      </c>
      <c r="S102" s="94" t="n">
        <f aca="false">(C102/Q102)/M102</f>
        <v>0</v>
      </c>
      <c r="T102" s="94" t="n">
        <f aca="false">D102/Q102/M102</f>
        <v>0.0040237729540715</v>
      </c>
      <c r="U102" s="36" t="n">
        <f aca="false">E102/Q102/M102</f>
        <v>0.0105415439897746</v>
      </c>
      <c r="V102" s="36" t="n">
        <f aca="false">(SUM(C102:E102)/Q102)/M102</f>
        <v>0.0145653169438461</v>
      </c>
      <c r="W102" s="37" t="n">
        <f aca="false">(N102/Q102)/M102</f>
        <v>1.54801834988487</v>
      </c>
      <c r="X102" s="38"/>
      <c r="Y102" s="38" t="n">
        <f aca="false">G102/M102</f>
        <v>0.00663765544912818</v>
      </c>
      <c r="Z102" s="39" t="n">
        <f aca="false">H102/M102</f>
        <v>2.18252064221549</v>
      </c>
      <c r="AA102" s="40"/>
      <c r="AB102" s="40" t="n">
        <f aca="false">D102/G102</f>
        <v>19.6206995515695</v>
      </c>
      <c r="AC102" s="40" t="n">
        <f aca="false">E102/H102</f>
        <v>0.156329734713138</v>
      </c>
      <c r="AD102" s="40" t="s">
        <v>54</v>
      </c>
    </row>
    <row r="103" customFormat="false" ht="18.75" hidden="false" customHeight="true" outlineLevel="0" collapsed="false">
      <c r="A103" s="18" t="n">
        <v>2024</v>
      </c>
      <c r="B103" s="18" t="n">
        <v>5</v>
      </c>
      <c r="C103" s="24"/>
      <c r="D103" s="24" t="n">
        <v>20969.05</v>
      </c>
      <c r="E103" s="25" t="n">
        <v>245543.47</v>
      </c>
      <c r="F103" s="26"/>
      <c r="G103" s="26" t="n">
        <v>1058</v>
      </c>
      <c r="H103" s="88" t="n">
        <v>471956</v>
      </c>
      <c r="I103" s="88" t="n">
        <v>416365</v>
      </c>
      <c r="J103" s="89"/>
      <c r="K103" s="89"/>
      <c r="L103" s="90"/>
      <c r="M103" s="91" t="n">
        <v>238076</v>
      </c>
      <c r="N103" s="24" t="n">
        <v>7309662</v>
      </c>
      <c r="O103" s="32" t="n">
        <v>220</v>
      </c>
      <c r="P103" s="92" t="n">
        <f aca="false">M103/O103</f>
        <v>1082.16363636364</v>
      </c>
      <c r="Q103" s="93" t="n">
        <f aca="false">'$'!C150</f>
        <v>32.26418</v>
      </c>
      <c r="R103" s="35" t="n">
        <f aca="false">SUM(C103:E103)/Q103</f>
        <v>8260.32212813095</v>
      </c>
      <c r="S103" s="94" t="n">
        <f aca="false">(C103/Q103)/M103</f>
        <v>0</v>
      </c>
      <c r="T103" s="94" t="n">
        <f aca="false">D103/Q103/M103</f>
        <v>0.00272987339618834</v>
      </c>
      <c r="U103" s="36" t="n">
        <f aca="false">E103/Q103/M103</f>
        <v>0.0319662829913978</v>
      </c>
      <c r="V103" s="36" t="n">
        <f aca="false">(SUM(C103:E103)/Q103)/M103</f>
        <v>0.0346961563875861</v>
      </c>
      <c r="W103" s="37" t="n">
        <f aca="false">(N103/Q103)/M103</f>
        <v>0.951614490352631</v>
      </c>
      <c r="X103" s="38"/>
      <c r="Y103" s="38" t="n">
        <f aca="false">G103/M103</f>
        <v>0.00444395907189301</v>
      </c>
      <c r="Z103" s="39" t="n">
        <f aca="false">H103/M103</f>
        <v>1.98237537593038</v>
      </c>
      <c r="AA103" s="40"/>
      <c r="AB103" s="40" t="n">
        <f aca="false">D103/G103</f>
        <v>19.8195179584121</v>
      </c>
      <c r="AC103" s="40" t="n">
        <f aca="false">E103/H103</f>
        <v>0.520267715634508</v>
      </c>
      <c r="AD103" s="40" t="n">
        <f aca="false">E103/(H103-I103)</f>
        <v>4.41696443668939</v>
      </c>
    </row>
    <row r="104" customFormat="false" ht="18.75" hidden="false" customHeight="true" outlineLevel="0" collapsed="false">
      <c r="A104" s="18" t="n">
        <v>2024</v>
      </c>
      <c r="B104" s="18" t="n">
        <v>6</v>
      </c>
      <c r="C104" s="24"/>
      <c r="D104" s="24" t="n">
        <v>16873.16</v>
      </c>
      <c r="E104" s="25" t="n">
        <v>70459.12</v>
      </c>
      <c r="F104" s="26"/>
      <c r="G104" s="26" t="n">
        <v>741</v>
      </c>
      <c r="H104" s="88" t="n">
        <v>378632</v>
      </c>
      <c r="I104" s="88" t="n">
        <v>427379</v>
      </c>
      <c r="J104" s="89"/>
      <c r="K104" s="89"/>
      <c r="L104" s="90"/>
      <c r="M104" s="91" t="n">
        <v>160770.29</v>
      </c>
      <c r="N104" s="24" t="n">
        <v>6547967</v>
      </c>
      <c r="O104" s="32" t="n">
        <v>194</v>
      </c>
      <c r="P104" s="92" t="n">
        <f aca="false">M104/O104</f>
        <v>828.712835051547</v>
      </c>
      <c r="Q104" s="93" t="n">
        <f aca="false">'$'!C151</f>
        <v>32.591018</v>
      </c>
      <c r="R104" s="35" t="n">
        <f aca="false">SUM(C104:E104)/Q104</f>
        <v>2679.64259355139</v>
      </c>
      <c r="S104" s="94" t="n">
        <f aca="false">(C104/Q104)/M104</f>
        <v>0</v>
      </c>
      <c r="T104" s="94" t="n">
        <f aca="false">D104/Q104/M104</f>
        <v>0.00322027309421854</v>
      </c>
      <c r="U104" s="36" t="n">
        <f aca="false">E104/Q104/M104</f>
        <v>0.0134472504485417</v>
      </c>
      <c r="V104" s="36" t="n">
        <f aca="false">(SUM(C104:E104)/Q104)/M104</f>
        <v>0.0166675235427602</v>
      </c>
      <c r="W104" s="37" t="n">
        <f aca="false">(N104/Q104)/M104</f>
        <v>1.24969134127401</v>
      </c>
      <c r="X104" s="38"/>
      <c r="Y104" s="38" t="n">
        <f aca="false">G104/M104</f>
        <v>0.00460906054221834</v>
      </c>
      <c r="Z104" s="39" t="n">
        <f aca="false">H104/M104</f>
        <v>2.35511175603403</v>
      </c>
      <c r="AA104" s="40"/>
      <c r="AB104" s="40" t="n">
        <f aca="false">D104/G104</f>
        <v>22.7707962213225</v>
      </c>
      <c r="AC104" s="40" t="n">
        <f aca="false">E104/H104</f>
        <v>0.186088656003719</v>
      </c>
      <c r="AD104" s="40" t="s">
        <v>54</v>
      </c>
    </row>
    <row r="105" customFormat="false" ht="18.75" hidden="false" customHeight="true" outlineLevel="0" collapsed="false">
      <c r="A105" s="18" t="n">
        <v>2024</v>
      </c>
      <c r="B105" s="18" t="n">
        <v>7</v>
      </c>
      <c r="C105" s="24"/>
      <c r="D105" s="24" t="n">
        <v>22226.86</v>
      </c>
      <c r="E105" s="25" t="n">
        <v>58009</v>
      </c>
      <c r="F105" s="26"/>
      <c r="G105" s="26" t="n">
        <v>1130</v>
      </c>
      <c r="H105" s="88" t="n">
        <v>407323</v>
      </c>
      <c r="I105" s="88" t="n">
        <v>431440</v>
      </c>
      <c r="J105" s="89"/>
      <c r="K105" s="89"/>
      <c r="L105" s="90"/>
      <c r="M105" s="91" t="n">
        <v>210199</v>
      </c>
      <c r="N105" s="24" t="n">
        <v>7031463</v>
      </c>
      <c r="O105" s="32" t="n">
        <v>207</v>
      </c>
      <c r="P105" s="92" t="n">
        <f aca="false">M105/O105</f>
        <v>1015.45410628019</v>
      </c>
      <c r="Q105" s="93" t="n">
        <f aca="false">'$'!C152</f>
        <v>32.911131</v>
      </c>
      <c r="R105" s="35" t="n">
        <f aca="false">SUM(C105:E105)/Q105</f>
        <v>2437.95511008115</v>
      </c>
      <c r="S105" s="94" t="n">
        <f aca="false">(C105/Q105)/M105</f>
        <v>0</v>
      </c>
      <c r="T105" s="94" t="n">
        <f aca="false">D105/Q105/M105</f>
        <v>0.00321295513529571</v>
      </c>
      <c r="U105" s="36" t="n">
        <f aca="false">E105/Q105/M105</f>
        <v>0.00838536412445883</v>
      </c>
      <c r="V105" s="36" t="n">
        <f aca="false">(SUM(C105:E105)/Q105)/M105</f>
        <v>0.0115983192597545</v>
      </c>
      <c r="W105" s="37" t="n">
        <f aca="false">(N105/Q105)/M105</f>
        <v>1.01641775556654</v>
      </c>
      <c r="X105" s="38"/>
      <c r="Y105" s="38" t="n">
        <f aca="false">G105/M105</f>
        <v>0.00537585811540493</v>
      </c>
      <c r="Z105" s="39" t="n">
        <f aca="false">H105/M105</f>
        <v>1.93779703994786</v>
      </c>
      <c r="AA105" s="40"/>
      <c r="AB105" s="40" t="n">
        <f aca="false">D105/G105</f>
        <v>19.6697876106195</v>
      </c>
      <c r="AC105" s="40" t="n">
        <f aca="false">E105/H105</f>
        <v>0.142415233119662</v>
      </c>
      <c r="AD105" s="40" t="s">
        <v>54</v>
      </c>
    </row>
    <row r="106" customFormat="false" ht="18.75" hidden="false" customHeight="true" outlineLevel="0" collapsed="false">
      <c r="A106" s="18" t="n">
        <v>2024</v>
      </c>
      <c r="B106" s="18" t="n">
        <v>8</v>
      </c>
      <c r="C106" s="24"/>
      <c r="D106" s="24" t="n">
        <v>18918.71</v>
      </c>
      <c r="E106" s="25" t="n">
        <v>360899.78</v>
      </c>
      <c r="F106" s="26"/>
      <c r="G106" s="26" t="n">
        <v>903</v>
      </c>
      <c r="H106" s="88" t="n">
        <v>461519</v>
      </c>
      <c r="I106" s="88" t="n">
        <f aca="false">376305</f>
        <v>376305</v>
      </c>
      <c r="J106" s="89"/>
      <c r="K106" s="89"/>
      <c r="L106" s="90"/>
      <c r="M106" s="91" t="n">
        <v>243258</v>
      </c>
      <c r="N106" s="24" t="n">
        <v>6985488</v>
      </c>
      <c r="O106" s="32" t="n">
        <v>224</v>
      </c>
      <c r="P106" s="92" t="n">
        <f aca="false">M106/O106</f>
        <v>1085.97321428571</v>
      </c>
      <c r="Q106" s="93" t="n">
        <f aca="false">'$'!C153</f>
        <v>33.678</v>
      </c>
      <c r="R106" s="35" t="n">
        <f aca="false">SUM(C106:E106)/Q106</f>
        <v>11277.9407922086</v>
      </c>
      <c r="S106" s="94" t="n">
        <f aca="false">(C106/Q106)/M106</f>
        <v>0</v>
      </c>
      <c r="T106" s="94" t="n">
        <f aca="false">D106/Q106/M106</f>
        <v>0.00230928798351186</v>
      </c>
      <c r="U106" s="36" t="n">
        <f aca="false">E106/Q106/M106</f>
        <v>0.0440527670864491</v>
      </c>
      <c r="V106" s="36" t="n">
        <f aca="false">(SUM(C106:E106)/Q106)/M106</f>
        <v>0.046362055069961</v>
      </c>
      <c r="W106" s="37" t="n">
        <f aca="false">(N106/Q106)/M106</f>
        <v>0.852674600824598</v>
      </c>
      <c r="X106" s="38"/>
      <c r="Y106" s="38" t="n">
        <f aca="false">G106/M106</f>
        <v>0.00371210813210665</v>
      </c>
      <c r="Z106" s="39" t="n">
        <f aca="false">H106/M106</f>
        <v>1.89724078961432</v>
      </c>
      <c r="AA106" s="40"/>
      <c r="AB106" s="40" t="n">
        <f aca="false">D106/G106</f>
        <v>20.9509523809524</v>
      </c>
      <c r="AC106" s="40" t="n">
        <f aca="false">E106/H106</f>
        <v>0.781982496928621</v>
      </c>
      <c r="AD106" s="40" t="n">
        <f aca="false">E106/(H106-I106)</f>
        <v>4.23521698312484</v>
      </c>
    </row>
    <row r="107" customFormat="false" ht="18.75" hidden="false" customHeight="true" outlineLevel="0" collapsed="false">
      <c r="A107" s="18" t="n">
        <v>2024</v>
      </c>
      <c r="B107" s="18" t="n">
        <v>9</v>
      </c>
      <c r="C107" s="24"/>
      <c r="D107" s="24" t="n">
        <v>20398</v>
      </c>
      <c r="E107" s="25" t="n">
        <v>291327</v>
      </c>
      <c r="F107" s="26"/>
      <c r="G107" s="26" t="n">
        <v>1032</v>
      </c>
      <c r="H107" s="88" t="n">
        <v>404492</v>
      </c>
      <c r="I107" s="88" t="n">
        <v>334769</v>
      </c>
      <c r="J107" s="89"/>
      <c r="K107" s="89"/>
      <c r="L107" s="90"/>
      <c r="M107" s="91" t="n">
        <v>235838</v>
      </c>
      <c r="N107" s="24" t="n">
        <v>6760792</v>
      </c>
      <c r="O107" s="32" t="n">
        <v>227</v>
      </c>
      <c r="P107" s="92" t="n">
        <f aca="false">M107/O107</f>
        <v>1038.93392070485</v>
      </c>
      <c r="Q107" s="93" t="n">
        <f aca="false">'$'!C154</f>
        <v>34.062282</v>
      </c>
      <c r="R107" s="35" t="n">
        <f aca="false">SUM(C107:E107)/Q107</f>
        <v>9151.61820338402</v>
      </c>
      <c r="S107" s="94" t="n">
        <f aca="false">(C107/Q107)/M107</f>
        <v>0</v>
      </c>
      <c r="T107" s="94" t="n">
        <f aca="false">D107/Q107/M107</f>
        <v>0.00253921844476019</v>
      </c>
      <c r="U107" s="36" t="n">
        <f aca="false">E107/Q107/M107</f>
        <v>0.0362654619010027</v>
      </c>
      <c r="V107" s="36" t="n">
        <f aca="false">(SUM(C107:E107)/Q107)/M107</f>
        <v>0.0388046803457629</v>
      </c>
      <c r="W107" s="37" t="n">
        <f aca="false">(N107/Q107)/M107</f>
        <v>0.841608380605312</v>
      </c>
      <c r="X107" s="38"/>
      <c r="Y107" s="38" t="n">
        <f aca="false">G107/M107</f>
        <v>0.00437588514149543</v>
      </c>
      <c r="Z107" s="39" t="n">
        <f aca="false">H107/M107</f>
        <v>1.71512648512962</v>
      </c>
      <c r="AA107" s="40"/>
      <c r="AB107" s="40" t="n">
        <f aca="false">D107/G107</f>
        <v>19.765503875969</v>
      </c>
      <c r="AC107" s="40" t="n">
        <f aca="false">E107/H107</f>
        <v>0.720229324683801</v>
      </c>
      <c r="AD107" s="40" t="n">
        <f aca="false">E107/(H107-I107)</f>
        <v>4.17834860806334</v>
      </c>
    </row>
    <row r="108" customFormat="false" ht="18.75" hidden="false" customHeight="true" outlineLevel="0" collapsed="false">
      <c r="A108" s="18" t="n">
        <v>2024</v>
      </c>
      <c r="B108" s="18" t="n">
        <v>10</v>
      </c>
      <c r="C108" s="24"/>
      <c r="D108" s="24" t="n">
        <v>22540.58</v>
      </c>
      <c r="E108" s="25" t="n">
        <v>307607.34</v>
      </c>
      <c r="F108" s="26"/>
      <c r="G108" s="26" t="n">
        <v>1152</v>
      </c>
      <c r="H108" s="88" t="n">
        <v>373389</v>
      </c>
      <c r="I108" s="88" t="n">
        <v>299386</v>
      </c>
      <c r="J108" s="89"/>
      <c r="K108" s="89"/>
      <c r="L108" s="90"/>
      <c r="M108" s="91" t="n">
        <v>224519</v>
      </c>
      <c r="N108" s="24" t="n">
        <v>8197847</v>
      </c>
      <c r="O108" s="32" t="n">
        <v>242</v>
      </c>
      <c r="P108" s="92" t="n">
        <f aca="false">M108/O108</f>
        <v>927.764462809918</v>
      </c>
      <c r="Q108" s="93" t="n">
        <f aca="false">'$'!C155</f>
        <v>34.2626</v>
      </c>
      <c r="R108" s="35" t="n">
        <f aca="false">SUM(C108:E108)/Q108</f>
        <v>9635.81047556228</v>
      </c>
      <c r="S108" s="94" t="n">
        <f aca="false">(C108/Q108)/M108</f>
        <v>0</v>
      </c>
      <c r="T108" s="94" t="n">
        <f aca="false">D108/Q108/M108</f>
        <v>0.00293016226754245</v>
      </c>
      <c r="U108" s="36" t="n">
        <f aca="false">E108/Q108/M108</f>
        <v>0.0399874103012035</v>
      </c>
      <c r="V108" s="36" t="n">
        <f aca="false">(SUM(C108:E108)/Q108)/M108</f>
        <v>0.042917572568746</v>
      </c>
      <c r="W108" s="37" t="n">
        <f aca="false">(N108/Q108)/M108</f>
        <v>1.06567896453801</v>
      </c>
      <c r="X108" s="38"/>
      <c r="Y108" s="38" t="n">
        <f aca="false">G108/M108</f>
        <v>0.00513096887123139</v>
      </c>
      <c r="Z108" s="39" t="n">
        <f aca="false">H108/M108</f>
        <v>1.66306192348977</v>
      </c>
      <c r="AA108" s="40"/>
      <c r="AB108" s="40" t="n">
        <f aca="false">D108/G108</f>
        <v>19.5664756944444</v>
      </c>
      <c r="AC108" s="40" t="n">
        <f aca="false">E108/H108</f>
        <v>0.823825393892161</v>
      </c>
      <c r="AD108" s="40" t="n">
        <f aca="false">E108/(H108-I108)</f>
        <v>4.15668743159061</v>
      </c>
    </row>
    <row r="109" customFormat="false" ht="18.75" hidden="false" customHeight="true" outlineLevel="0" collapsed="false">
      <c r="A109" s="18" t="n">
        <v>2024</v>
      </c>
      <c r="B109" s="18" t="n">
        <v>11</v>
      </c>
      <c r="C109" s="24"/>
      <c r="D109" s="24" t="n">
        <v>26816</v>
      </c>
      <c r="E109" s="25" t="n">
        <v>975173</v>
      </c>
      <c r="F109" s="26"/>
      <c r="G109" s="26" t="n">
        <v>1454</v>
      </c>
      <c r="H109" s="88" t="n">
        <v>443642</v>
      </c>
      <c r="I109" s="88" t="n">
        <v>185130</v>
      </c>
      <c r="J109" s="89"/>
      <c r="K109" s="89"/>
      <c r="L109" s="90"/>
      <c r="M109" s="91" t="n">
        <v>270828</v>
      </c>
      <c r="N109" s="24" t="n">
        <v>8186110</v>
      </c>
      <c r="O109" s="32" t="n">
        <v>255</v>
      </c>
      <c r="P109" s="92" t="n">
        <f aca="false">M109/O109</f>
        <v>1062.07058823529</v>
      </c>
      <c r="Q109" s="93" t="n">
        <f aca="false">'$'!C156</f>
        <v>34.46339</v>
      </c>
      <c r="R109" s="35" t="n">
        <f aca="false">SUM(C109:E109)/Q109</f>
        <v>29074.0115815653</v>
      </c>
      <c r="S109" s="94" t="n">
        <f aca="false">(C109/Q109)/M109</f>
        <v>0</v>
      </c>
      <c r="T109" s="94" t="n">
        <f aca="false">D109/Q109/M109</f>
        <v>0.00287304507502792</v>
      </c>
      <c r="U109" s="36" t="n">
        <f aca="false">E109/Q109/M109</f>
        <v>0.104479265548561</v>
      </c>
      <c r="V109" s="36" t="n">
        <f aca="false">(SUM(C109:E109)/Q109)/M109</f>
        <v>0.107352310623589</v>
      </c>
      <c r="W109" s="37" t="n">
        <f aca="false">(N109/Q109)/M109</f>
        <v>0.877053364377119</v>
      </c>
      <c r="X109" s="38"/>
      <c r="Y109" s="38" t="n">
        <f aca="false">G109/M109</f>
        <v>0.00536872110712334</v>
      </c>
      <c r="Z109" s="39" t="n">
        <f aca="false">H109/M109</f>
        <v>1.63809502710207</v>
      </c>
      <c r="AA109" s="40"/>
      <c r="AB109" s="40" t="n">
        <f aca="false">D109/G109</f>
        <v>18.4429160935351</v>
      </c>
      <c r="AC109" s="40" t="n">
        <f aca="false">E109/H109</f>
        <v>2.19810793387461</v>
      </c>
      <c r="AD109" s="40" t="n">
        <f aca="false">E109/(H109-I109)</f>
        <v>3.77225428606796</v>
      </c>
    </row>
    <row r="110" customFormat="false" ht="18.75" hidden="false" customHeight="true" outlineLevel="0" collapsed="false">
      <c r="A110" s="18" t="n">
        <v>2024</v>
      </c>
      <c r="B110" s="18" t="n">
        <v>12</v>
      </c>
      <c r="C110" s="24"/>
      <c r="D110" s="24" t="n">
        <v>32176</v>
      </c>
      <c r="E110" s="25" t="n">
        <v>1079755</v>
      </c>
      <c r="F110" s="26"/>
      <c r="G110" s="26" t="n">
        <v>1938</v>
      </c>
      <c r="H110" s="88" t="n">
        <v>449603</v>
      </c>
      <c r="I110" s="88" t="n">
        <v>142478</v>
      </c>
      <c r="J110" s="89"/>
      <c r="K110" s="89"/>
      <c r="L110" s="90"/>
      <c r="M110" s="91" t="n">
        <v>309941</v>
      </c>
      <c r="N110" s="24" t="n">
        <v>7541426</v>
      </c>
      <c r="O110" s="32" t="n">
        <v>241</v>
      </c>
      <c r="P110" s="92" t="n">
        <f aca="false">M110/O110</f>
        <v>1286.0622406639</v>
      </c>
      <c r="Q110" s="93" t="n">
        <f aca="false">'$'!C157</f>
        <v>34.9875</v>
      </c>
      <c r="R110" s="35" t="n">
        <f aca="false">SUM(C110:E110)/Q110</f>
        <v>31780.8074312254</v>
      </c>
      <c r="S110" s="94" t="n">
        <f aca="false">(C110/Q110)/M110</f>
        <v>0</v>
      </c>
      <c r="T110" s="94" t="n">
        <f aca="false">D110/Q110/M110</f>
        <v>0.0029671541665874</v>
      </c>
      <c r="U110" s="36" t="n">
        <f aca="false">E110/Q110/M110</f>
        <v>0.0995710948266902</v>
      </c>
      <c r="V110" s="36" t="n">
        <f aca="false">(SUM(C110:E110)/Q110)/M110</f>
        <v>0.102538248993278</v>
      </c>
      <c r="W110" s="37" t="n">
        <f aca="false">(N110/Q110)/M110</f>
        <v>0.695442987876386</v>
      </c>
      <c r="X110" s="38"/>
      <c r="Y110" s="38" t="n">
        <f aca="false">G110/M110</f>
        <v>0.00625280295282005</v>
      </c>
      <c r="Z110" s="39" t="n">
        <f aca="false">H110/M110</f>
        <v>1.45060834158759</v>
      </c>
      <c r="AA110" s="40"/>
      <c r="AB110" s="40" t="n">
        <f aca="false">D110/G110</f>
        <v>16.6026831785346</v>
      </c>
      <c r="AC110" s="40" t="n">
        <f aca="false">E110/H110</f>
        <v>2.40157427775171</v>
      </c>
      <c r="AD110" s="40" t="n">
        <f aca="false">E110/(H110-I110)</f>
        <v>3.5156857956858</v>
      </c>
    </row>
    <row r="111" customFormat="false" ht="18.75" hidden="false" customHeight="true" outlineLevel="0" collapsed="false">
      <c r="A111" s="58" t="n">
        <v>2025</v>
      </c>
      <c r="B111" s="58" t="n">
        <v>1</v>
      </c>
      <c r="C111" s="59"/>
      <c r="D111" s="59" t="n">
        <v>52979</v>
      </c>
      <c r="E111" s="60" t="n">
        <v>1040682</v>
      </c>
      <c r="F111" s="61"/>
      <c r="G111" s="61" t="n">
        <v>1641</v>
      </c>
      <c r="H111" s="100" t="n">
        <v>481952</v>
      </c>
      <c r="I111" s="100" t="n">
        <v>202587</v>
      </c>
      <c r="J111" s="101"/>
      <c r="K111" s="101"/>
      <c r="L111" s="102"/>
      <c r="M111" s="103" t="n">
        <v>287404</v>
      </c>
      <c r="N111" s="59" t="n">
        <v>11585932</v>
      </c>
      <c r="O111" s="67" t="n">
        <v>263</v>
      </c>
      <c r="P111" s="104" t="n">
        <f aca="false">M111/O111</f>
        <v>1092.79087452471</v>
      </c>
      <c r="Q111" s="105" t="n">
        <f aca="false">'$'!C158</f>
        <v>35.5237</v>
      </c>
      <c r="R111" s="70" t="n">
        <f aca="false">SUM(C111:E111)/Q111</f>
        <v>30786.7986724356</v>
      </c>
      <c r="S111" s="106" t="n">
        <f aca="false">(C111/Q111)/M111</f>
        <v>0</v>
      </c>
      <c r="T111" s="106" t="n">
        <f aca="false">D111/Q111/M111</f>
        <v>0.00518910853642247</v>
      </c>
      <c r="U111" s="71" t="n">
        <f aca="false">E111/Q111/M111</f>
        <v>0.101931177445803</v>
      </c>
      <c r="V111" s="71" t="n">
        <f aca="false">(SUM(C111:E111)/Q111)/M111</f>
        <v>0.107120285982226</v>
      </c>
      <c r="W111" s="72" t="n">
        <f aca="false">(N111/Q111)/M111</f>
        <v>1.13480168828423</v>
      </c>
      <c r="X111" s="73"/>
      <c r="Y111" s="73" t="n">
        <f aca="false">G111/M111</f>
        <v>0.00570973264116018</v>
      </c>
      <c r="Z111" s="74" t="n">
        <f aca="false">H111/M111</f>
        <v>1.67691472630861</v>
      </c>
      <c r="AA111" s="44"/>
      <c r="AB111" s="44" t="n">
        <f aca="false">D111/G111</f>
        <v>32.2845825716027</v>
      </c>
      <c r="AC111" s="44" t="n">
        <f aca="false">E111/H111</f>
        <v>2.15930632096142</v>
      </c>
      <c r="AD111" s="44" t="n">
        <f aca="false">E111/(H111-I111)</f>
        <v>3.72516958101409</v>
      </c>
    </row>
    <row r="112" customFormat="false" ht="18.75" hidden="false" customHeight="true" outlineLevel="0" collapsed="false">
      <c r="A112" s="18" t="n">
        <v>2025</v>
      </c>
      <c r="B112" s="18" t="n">
        <v>2</v>
      </c>
      <c r="C112" s="24"/>
      <c r="D112" s="24" t="n">
        <v>46213</v>
      </c>
      <c r="E112" s="25" t="n">
        <v>746342</v>
      </c>
      <c r="F112" s="26"/>
      <c r="G112" s="26" t="n">
        <v>1254</v>
      </c>
      <c r="H112" s="88" t="n">
        <v>429773</v>
      </c>
      <c r="I112" s="88" t="n">
        <v>228287</v>
      </c>
      <c r="J112" s="89"/>
      <c r="K112" s="89"/>
      <c r="L112" s="90"/>
      <c r="M112" s="91" t="n">
        <v>240032</v>
      </c>
      <c r="N112" s="24" t="n">
        <v>10136329</v>
      </c>
      <c r="O112" s="32" t="n">
        <v>274</v>
      </c>
      <c r="P112" s="92" t="n">
        <f aca="false">M112/O112</f>
        <v>876.029197080292</v>
      </c>
      <c r="Q112" s="93" t="n">
        <f aca="false">'$'!C159</f>
        <v>36.169082</v>
      </c>
      <c r="R112" s="35" t="n">
        <f aca="false">SUM(C112:E112)/Q112</f>
        <v>21912.4997421831</v>
      </c>
      <c r="S112" s="94" t="n">
        <f aca="false">(C112/Q112)/M112</f>
        <v>0</v>
      </c>
      <c r="T112" s="94" t="n">
        <f aca="false">D112/Q112/M112</f>
        <v>0.00532301306957436</v>
      </c>
      <c r="U112" s="36" t="n">
        <f aca="false">E112/Q112/M112</f>
        <v>0.0859668972014858</v>
      </c>
      <c r="V112" s="36" t="n">
        <f aca="false">(SUM(C112:E112)/Q112)/M112</f>
        <v>0.0912899102710602</v>
      </c>
      <c r="W112" s="37" t="n">
        <f aca="false">(N112/Q112)/M112</f>
        <v>1.16754618277337</v>
      </c>
      <c r="X112" s="38"/>
      <c r="Y112" s="38" t="n">
        <f aca="false">G112/M112</f>
        <v>0.00522430342620984</v>
      </c>
      <c r="Z112" s="39" t="n">
        <f aca="false">H112/M112</f>
        <v>1.79048210238635</v>
      </c>
      <c r="AA112" s="40"/>
      <c r="AB112" s="40" t="n">
        <f aca="false">D112/G112</f>
        <v>36.8524720893142</v>
      </c>
      <c r="AC112" s="40" t="n">
        <f aca="false">E112/H112</f>
        <v>1.73659583082232</v>
      </c>
      <c r="AD112" s="40" t="n">
        <f aca="false">E112/(H112-I112)</f>
        <v>3.70418788402172</v>
      </c>
    </row>
    <row r="113" customFormat="false" ht="18.75" hidden="false" customHeight="true" outlineLevel="0" collapsed="false">
      <c r="A113" s="18" t="n">
        <v>2025</v>
      </c>
      <c r="B113" s="18" t="n">
        <v>3</v>
      </c>
      <c r="C113" s="24"/>
      <c r="D113" s="24" t="n">
        <v>43825</v>
      </c>
      <c r="E113" s="25" t="n">
        <v>544428</v>
      </c>
      <c r="F113" s="26"/>
      <c r="G113" s="26" t="n">
        <v>1157</v>
      </c>
      <c r="H113" s="88" t="n">
        <v>468099</v>
      </c>
      <c r="I113" s="88" t="n">
        <v>334356</v>
      </c>
      <c r="J113" s="89"/>
      <c r="K113" s="89"/>
      <c r="L113" s="90"/>
      <c r="M113" s="91" t="n">
        <v>259394</v>
      </c>
      <c r="N113" s="24" t="n">
        <v>7895142</v>
      </c>
      <c r="O113" s="32" t="n">
        <v>268</v>
      </c>
      <c r="P113" s="92" t="n">
        <f aca="false">M113/O113</f>
        <v>967.888059701493</v>
      </c>
      <c r="Q113" s="93" t="n">
        <f aca="false">'$'!C160</f>
        <v>37.092994</v>
      </c>
      <c r="R113" s="35" t="n">
        <f aca="false">SUM(C113:E113)/Q113</f>
        <v>15858.8708153351</v>
      </c>
      <c r="S113" s="94" t="n">
        <f aca="false">(C113/Q113)/M113</f>
        <v>0</v>
      </c>
      <c r="T113" s="94" t="n">
        <f aca="false">D113/Q113/M113</f>
        <v>0.00455480836130252</v>
      </c>
      <c r="U113" s="36" t="n">
        <f aca="false">E113/Q113/M113</f>
        <v>0.0565833475533875</v>
      </c>
      <c r="V113" s="36" t="n">
        <f aca="false">(SUM(C113:E113)/Q113)/M113</f>
        <v>0.06113815591469</v>
      </c>
      <c r="W113" s="37" t="n">
        <f aca="false">(N113/Q113)/M113</f>
        <v>0.820555819629679</v>
      </c>
      <c r="X113" s="38"/>
      <c r="Y113" s="38" t="n">
        <f aca="false">G113/M113</f>
        <v>0.00446039615411305</v>
      </c>
      <c r="Z113" s="39" t="n">
        <f aca="false">H113/M113</f>
        <v>1.8045868447227</v>
      </c>
      <c r="AA113" s="40"/>
      <c r="AB113" s="40" t="n">
        <f aca="false">D113/G113</f>
        <v>37.8781331028522</v>
      </c>
      <c r="AC113" s="40" t="n">
        <f aca="false">E113/H113</f>
        <v>1.16306166003345</v>
      </c>
      <c r="AD113" s="40" t="n">
        <f aca="false">E113/(H113-I113)</f>
        <v>4.07070276575223</v>
      </c>
    </row>
    <row r="114" customFormat="false" ht="18.75" hidden="false" customHeight="true" outlineLevel="0" collapsed="false">
      <c r="A114" s="18" t="n">
        <v>2025</v>
      </c>
      <c r="B114" s="18" t="n">
        <v>4</v>
      </c>
      <c r="C114" s="24"/>
      <c r="D114" s="24" t="n">
        <v>42711</v>
      </c>
      <c r="E114" s="25" t="n">
        <v>281089</v>
      </c>
      <c r="F114" s="26"/>
      <c r="G114" s="26" t="n">
        <v>1114</v>
      </c>
      <c r="H114" s="88" t="n">
        <v>432708</v>
      </c>
      <c r="I114" s="88" t="n">
        <v>375144</v>
      </c>
      <c r="J114" s="89"/>
      <c r="K114" s="89"/>
      <c r="L114" s="90"/>
      <c r="M114" s="91" t="n">
        <v>256233</v>
      </c>
      <c r="N114" s="24" t="n">
        <v>10744352</v>
      </c>
      <c r="O114" s="32" t="n">
        <v>265</v>
      </c>
      <c r="P114" s="92" t="n">
        <f aca="false">M114/O114</f>
        <v>966.916981132076</v>
      </c>
      <c r="Q114" s="93" t="n">
        <f aca="false">'$'!C161</f>
        <v>38.131488</v>
      </c>
      <c r="R114" s="35" t="n">
        <f aca="false">SUM(C114:E114)/Q114</f>
        <v>8491.66966681185</v>
      </c>
      <c r="S114" s="94" t="n">
        <f aca="false">(C114/Q114)/M114</f>
        <v>0</v>
      </c>
      <c r="T114" s="94" t="n">
        <f aca="false">D114/Q114/M114</f>
        <v>0.00437140379901539</v>
      </c>
      <c r="U114" s="36" t="n">
        <f aca="false">E114/Q114/M114</f>
        <v>0.0287690178750541</v>
      </c>
      <c r="V114" s="36" t="n">
        <f aca="false">(SUM(C114:E114)/Q114)/M114</f>
        <v>0.0331404216740695</v>
      </c>
      <c r="W114" s="37" t="n">
        <f aca="false">(N114/Q114)/M114</f>
        <v>1.09966755989695</v>
      </c>
      <c r="X114" s="38"/>
      <c r="Y114" s="38" t="n">
        <f aca="false">G114/M114</f>
        <v>0.00434760549968193</v>
      </c>
      <c r="Z114" s="39" t="n">
        <f aca="false">H114/M114</f>
        <v>1.68872861809369</v>
      </c>
      <c r="AA114" s="40"/>
      <c r="AB114" s="40" t="n">
        <f aca="false">D114/G114</f>
        <v>38.3402154398564</v>
      </c>
      <c r="AC114" s="40" t="n">
        <f aca="false">E114/H114</f>
        <v>0.649604352126607</v>
      </c>
      <c r="AD114" s="40" t="n">
        <f aca="false">E114/(H114-I114)</f>
        <v>4.88306927941074</v>
      </c>
    </row>
    <row r="115" customFormat="false" ht="18.75" hidden="false" customHeight="true" outlineLevel="0" collapsed="false">
      <c r="A115" s="18" t="n">
        <v>2025</v>
      </c>
      <c r="B115" s="18" t="n">
        <v>5</v>
      </c>
      <c r="C115" s="24"/>
      <c r="D115" s="24" t="n">
        <v>43830</v>
      </c>
      <c r="E115" s="25" t="n">
        <v>95516</v>
      </c>
      <c r="F115" s="26"/>
      <c r="G115" s="26" t="n">
        <v>1188</v>
      </c>
      <c r="H115" s="88" t="n">
        <v>457225</v>
      </c>
      <c r="I115" s="88" t="n">
        <v>446740</v>
      </c>
      <c r="J115" s="89"/>
      <c r="K115" s="89"/>
      <c r="L115" s="90"/>
      <c r="M115" s="91" t="n">
        <v>254858</v>
      </c>
      <c r="N115" s="24" t="n">
        <v>8738991</v>
      </c>
      <c r="O115" s="32" t="n">
        <v>260</v>
      </c>
      <c r="P115" s="92" t="n">
        <f aca="false">M115/O115</f>
        <v>980.223076923077</v>
      </c>
      <c r="Q115" s="93" t="n">
        <f aca="false">'$'!C162</f>
        <v>38.826157</v>
      </c>
      <c r="R115" s="35" t="n">
        <f aca="false">SUM(C115:E115)/Q115</f>
        <v>3588.97224878579</v>
      </c>
      <c r="S115" s="94" t="n">
        <f aca="false">(C115/Q115)/M115</f>
        <v>0</v>
      </c>
      <c r="T115" s="94" t="n">
        <f aca="false">D115/Q115/M115</f>
        <v>0.00442943969834091</v>
      </c>
      <c r="U115" s="36" t="n">
        <f aca="false">E115/Q115/M115</f>
        <v>0.00965280315370135</v>
      </c>
      <c r="V115" s="36" t="n">
        <f aca="false">(SUM(C115:E115)/Q115)/M115</f>
        <v>0.0140822428520423</v>
      </c>
      <c r="W115" s="37" t="n">
        <f aca="false">(N115/Q115)/M115</f>
        <v>0.883158422515261</v>
      </c>
      <c r="X115" s="38"/>
      <c r="Y115" s="38" t="n">
        <f aca="false">G115/M115</f>
        <v>0.0046614193001593</v>
      </c>
      <c r="Z115" s="39" t="n">
        <f aca="false">H115/M115</f>
        <v>1.79403824875028</v>
      </c>
      <c r="AA115" s="40"/>
      <c r="AB115" s="40" t="n">
        <f aca="false">D115/G115</f>
        <v>36.8939393939394</v>
      </c>
      <c r="AC115" s="40" t="n">
        <f aca="false">E115/H115</f>
        <v>0.20890371261414</v>
      </c>
      <c r="AD115" s="40" t="n">
        <f aca="false">E115/(H115-I115)</f>
        <v>9.10977587029089</v>
      </c>
    </row>
    <row r="116" customFormat="false" ht="18.75" hidden="false" customHeight="true" outlineLevel="0" collapsed="false">
      <c r="A116" s="18" t="n">
        <v>2025</v>
      </c>
      <c r="B116" s="18" t="n">
        <v>6</v>
      </c>
      <c r="C116" s="24"/>
      <c r="D116" s="24" t="n">
        <v>40561</v>
      </c>
      <c r="E116" s="25" t="n">
        <v>96948</v>
      </c>
      <c r="F116" s="26"/>
      <c r="G116" s="26" t="n">
        <v>994</v>
      </c>
      <c r="H116" s="88" t="n">
        <v>333481</v>
      </c>
      <c r="I116" s="88" t="n">
        <v>433734</v>
      </c>
      <c r="J116" s="89"/>
      <c r="K116" s="89"/>
      <c r="L116" s="90"/>
      <c r="M116" s="91" t="n">
        <v>193088</v>
      </c>
      <c r="N116" s="24" t="n">
        <v>9418084</v>
      </c>
      <c r="O116" s="32" t="n">
        <v>224</v>
      </c>
      <c r="P116" s="92" t="n">
        <f aca="false">M116/O116</f>
        <v>862</v>
      </c>
      <c r="Q116" s="93" t="n">
        <f aca="false">'$'!C163</f>
        <v>39.477254</v>
      </c>
      <c r="R116" s="35" t="n">
        <f aca="false">SUM(C116:E116)/Q116</f>
        <v>3483.24632711282</v>
      </c>
      <c r="S116" s="94" t="n">
        <f aca="false">(C116/Q116)/M116</f>
        <v>0</v>
      </c>
      <c r="T116" s="94" t="n">
        <f aca="false">D116/Q116/M116</f>
        <v>0.00532116141871362</v>
      </c>
      <c r="U116" s="36" t="n">
        <f aca="false">E116/Q116/M116</f>
        <v>0.0127185216641958</v>
      </c>
      <c r="V116" s="36" t="n">
        <f aca="false">(SUM(C116:E116)/Q116)/M116</f>
        <v>0.0180396830829095</v>
      </c>
      <c r="W116" s="37" t="n">
        <f aca="false">(N116/Q116)/M116</f>
        <v>1.235550041148</v>
      </c>
      <c r="X116" s="38"/>
      <c r="Y116" s="38" t="n">
        <f aca="false">G116/M116</f>
        <v>0.00514791183294664</v>
      </c>
      <c r="Z116" s="39" t="n">
        <f aca="false">H116/M116</f>
        <v>1.72709334603911</v>
      </c>
      <c r="AA116" s="40"/>
      <c r="AB116" s="40" t="n">
        <f aca="false">D116/G116</f>
        <v>40.8058350100604</v>
      </c>
      <c r="AC116" s="40" t="n">
        <f aca="false">E116/H116</f>
        <v>0.29071521316057</v>
      </c>
      <c r="AD116" s="40" t="n">
        <f aca="false">E116/(H116-I116)</f>
        <v>-0.967033405484125</v>
      </c>
    </row>
    <row r="117" customFormat="false" ht="18.75" hidden="false" customHeight="true" outlineLevel="0" collapsed="false">
      <c r="A117" s="18" t="n">
        <v>2025</v>
      </c>
      <c r="B117" s="18" t="n">
        <v>7</v>
      </c>
      <c r="C117" s="24"/>
      <c r="D117" s="24" t="n">
        <v>36240</v>
      </c>
      <c r="E117" s="25" t="n">
        <v>85276</v>
      </c>
      <c r="F117" s="26"/>
      <c r="G117" s="26" t="n">
        <v>836</v>
      </c>
      <c r="H117" s="88" t="n">
        <v>369203</v>
      </c>
      <c r="I117" s="88" t="n">
        <v>453293</v>
      </c>
      <c r="J117" s="89"/>
      <c r="K117" s="89"/>
      <c r="L117" s="90"/>
      <c r="M117" s="91" t="n">
        <v>179388</v>
      </c>
      <c r="N117" s="24" t="n">
        <v>9274364</v>
      </c>
      <c r="O117" s="32" t="n">
        <v>205</v>
      </c>
      <c r="P117" s="92" t="n">
        <f aca="false">M117/O117</f>
        <v>875.063414634146</v>
      </c>
      <c r="Q117" s="93" t="n">
        <f aca="false">'$'!C164</f>
        <v>40.244021</v>
      </c>
      <c r="R117" s="35" t="n">
        <f aca="false">SUM(C117:E117)/Q117</f>
        <v>3019.47958927862</v>
      </c>
      <c r="S117" s="94" t="n">
        <f aca="false">(C117/Q117)/M117</f>
        <v>0</v>
      </c>
      <c r="T117" s="94" t="n">
        <f aca="false">D117/Q117/M117</f>
        <v>0.00501988114011277</v>
      </c>
      <c r="U117" s="36" t="n">
        <f aca="false">E117/Q117/M117</f>
        <v>0.0118122346607135</v>
      </c>
      <c r="V117" s="36" t="n">
        <f aca="false">(SUM(C117:E117)/Q117)/M117</f>
        <v>0.0168321158008262</v>
      </c>
      <c r="W117" s="37" t="n">
        <f aca="false">(N117/Q117)/M117</f>
        <v>1.2846634914498</v>
      </c>
      <c r="X117" s="38"/>
      <c r="Y117" s="38" t="n">
        <f aca="false">G117/M117</f>
        <v>0.00466028942850135</v>
      </c>
      <c r="Z117" s="39" t="n">
        <f aca="false">H117/M117</f>
        <v>2.05812540415189</v>
      </c>
      <c r="AA117" s="40"/>
      <c r="AB117" s="40" t="n">
        <f aca="false">D117/G117</f>
        <v>43.3492822966507</v>
      </c>
      <c r="AC117" s="40" t="n">
        <f aca="false">E117/H117</f>
        <v>0.230973204443084</v>
      </c>
      <c r="AD117" s="40" t="n">
        <f aca="false">E117/(H117-I117)</f>
        <v>-1.01410393625877</v>
      </c>
    </row>
    <row r="118" customFormat="false" ht="18.75" hidden="false" customHeight="true" outlineLevel="0" collapsed="false">
      <c r="A118" s="18" t="n">
        <v>2025</v>
      </c>
      <c r="B118" s="18" t="n">
        <v>8</v>
      </c>
      <c r="C118" s="24"/>
      <c r="D118" s="24" t="n">
        <v>36180</v>
      </c>
      <c r="E118" s="25" t="n">
        <v>45223</v>
      </c>
      <c r="F118" s="26"/>
      <c r="G118" s="26" t="n">
        <v>815</v>
      </c>
      <c r="H118" s="88" t="n">
        <v>357381</v>
      </c>
      <c r="I118" s="88" t="n">
        <v>373401</v>
      </c>
      <c r="J118" s="89"/>
      <c r="K118" s="89"/>
      <c r="L118" s="90"/>
      <c r="M118" s="91" t="n">
        <v>172005</v>
      </c>
      <c r="N118" s="24" t="n">
        <v>8063744</v>
      </c>
      <c r="O118" s="32" t="n">
        <v>199</v>
      </c>
      <c r="P118" s="92" t="n">
        <f aca="false">M118/O118</f>
        <v>864.346733668342</v>
      </c>
      <c r="Q118" s="93" t="n">
        <f aca="false">'$'!C165</f>
        <v>40.85612</v>
      </c>
      <c r="R118" s="35" t="n">
        <f aca="false">SUM(C118:E118)/Q118</f>
        <v>1992.43099932152</v>
      </c>
      <c r="S118" s="94" t="n">
        <f aca="false">(C118/Q118)/M118</f>
        <v>0</v>
      </c>
      <c r="T118" s="94" t="n">
        <f aca="false">D118/Q118/M118</f>
        <v>0.00514837734457588</v>
      </c>
      <c r="U118" s="36" t="n">
        <f aca="false">E118/Q118/M118</f>
        <v>0.00643518708274613</v>
      </c>
      <c r="V118" s="36" t="n">
        <f aca="false">(SUM(C118:E118)/Q118)/M118</f>
        <v>0.011583564427322</v>
      </c>
      <c r="W118" s="37" t="n">
        <f aca="false">(N118/Q118)/M118</f>
        <v>1.14746260149419</v>
      </c>
      <c r="X118" s="38"/>
      <c r="Y118" s="38" t="n">
        <f aca="false">G118/M118</f>
        <v>0.00473823435365251</v>
      </c>
      <c r="Z118" s="39" t="n">
        <f aca="false">H118/M118</f>
        <v>2.07773611232232</v>
      </c>
      <c r="AA118" s="40"/>
      <c r="AB118" s="40" t="n">
        <f aca="false">D118/G118</f>
        <v>44.3926380368098</v>
      </c>
      <c r="AC118" s="40" t="n">
        <f aca="false">E118/H118</f>
        <v>0.126540023112589</v>
      </c>
      <c r="AD118" s="40" t="n">
        <f aca="false">E118/(H118-I118)</f>
        <v>-2.8229088639201</v>
      </c>
    </row>
    <row r="119" customFormat="false" ht="18.75" hidden="false" customHeight="true" outlineLevel="0" collapsed="false">
      <c r="A119" s="18" t="n">
        <v>2025</v>
      </c>
      <c r="B119" s="18" t="n">
        <v>9</v>
      </c>
      <c r="C119" s="24"/>
      <c r="D119" s="24" t="n">
        <v>32025</v>
      </c>
      <c r="E119" s="25" t="n">
        <v>343886</v>
      </c>
      <c r="F119" s="26"/>
      <c r="G119" s="26" t="n">
        <v>667</v>
      </c>
      <c r="H119" s="88" t="n">
        <v>382056</v>
      </c>
      <c r="I119" s="88" t="n">
        <v>309369</v>
      </c>
      <c r="J119" s="89"/>
      <c r="K119" s="89"/>
      <c r="L119" s="90"/>
      <c r="M119" s="91" t="n">
        <v>198871</v>
      </c>
      <c r="N119" s="24" t="n">
        <v>7750808</v>
      </c>
      <c r="O119" s="32" t="n">
        <v>206</v>
      </c>
      <c r="P119" s="92" t="n">
        <f aca="false">M119/O119</f>
        <v>965.393203883495</v>
      </c>
      <c r="Q119" s="93" t="n">
        <f aca="false">'$'!C166</f>
        <v>41.347521</v>
      </c>
      <c r="R119" s="35" t="n">
        <f aca="false">SUM(C119:E119)/Q119</f>
        <v>9091.50031026044</v>
      </c>
      <c r="S119" s="94" t="n">
        <f aca="false">(C119/Q119)/M119</f>
        <v>0</v>
      </c>
      <c r="T119" s="94" t="n">
        <f aca="false">D119/Q119/M119</f>
        <v>0.00389464793160522</v>
      </c>
      <c r="U119" s="36" t="n">
        <f aca="false">E119/Q119/M119</f>
        <v>0.0418209179893206</v>
      </c>
      <c r="V119" s="36" t="n">
        <f aca="false">(SUM(C119:E119)/Q119)/M119</f>
        <v>0.0457155659209258</v>
      </c>
      <c r="W119" s="37" t="n">
        <f aca="false">(N119/Q119)/M119</f>
        <v>0.9425969819038</v>
      </c>
      <c r="X119" s="38"/>
      <c r="Y119" s="38" t="n">
        <f aca="false">G119/M119</f>
        <v>0.00335393295151128</v>
      </c>
      <c r="Z119" s="39" t="n">
        <f aca="false">H119/M119</f>
        <v>1.92112474920929</v>
      </c>
      <c r="AA119" s="40"/>
      <c r="AB119" s="40" t="n">
        <f aca="false">D119/G119</f>
        <v>48.0134932533733</v>
      </c>
      <c r="AC119" s="40" t="n">
        <f aca="false">E119/H119</f>
        <v>0.900093180057374</v>
      </c>
      <c r="AD119" s="40" t="n">
        <f aca="false">E119/(H119-I119)</f>
        <v>4.73105232022232</v>
      </c>
    </row>
    <row r="120" customFormat="false" ht="18.75" hidden="false" customHeight="true" outlineLevel="0" collapsed="false">
      <c r="A120" s="18" t="n">
        <v>2025</v>
      </c>
      <c r="B120" s="18" t="n">
        <v>10</v>
      </c>
      <c r="C120" s="24"/>
      <c r="D120" s="24" t="n">
        <v>40753</v>
      </c>
      <c r="E120" s="25" t="n">
        <v>771016</v>
      </c>
      <c r="F120" s="26"/>
      <c r="G120" s="26" t="n">
        <v>1055</v>
      </c>
      <c r="H120" s="88" t="n">
        <v>454151</v>
      </c>
      <c r="I120" s="88" t="n">
        <v>285402</v>
      </c>
      <c r="J120" s="89"/>
      <c r="K120" s="89"/>
      <c r="L120" s="90"/>
      <c r="M120" s="91" t="n">
        <v>225246</v>
      </c>
      <c r="N120" s="24" t="n">
        <v>7639283</v>
      </c>
      <c r="O120" s="32" t="n">
        <v>207</v>
      </c>
      <c r="P120" s="92" t="n">
        <f aca="false">M120/O120</f>
        <v>1088.14492753623</v>
      </c>
      <c r="Q120" s="93" t="n">
        <f aca="false">'$'!C167</f>
        <v>41.847826</v>
      </c>
      <c r="R120" s="35" t="n">
        <f aca="false">SUM(C120:E120)/Q120</f>
        <v>19398.1164039441</v>
      </c>
      <c r="S120" s="94" t="n">
        <f aca="false">(C120/Q120)/M120</f>
        <v>0</v>
      </c>
      <c r="T120" s="94" t="n">
        <f aca="false">D120/Q120/M120</f>
        <v>0.00432344158875843</v>
      </c>
      <c r="U120" s="36" t="n">
        <f aca="false">E120/Q120/M120</f>
        <v>0.0817962515642571</v>
      </c>
      <c r="V120" s="36" t="n">
        <f aca="false">(SUM(C120:E120)/Q120)/M120</f>
        <v>0.0861196931530155</v>
      </c>
      <c r="W120" s="37" t="n">
        <f aca="false">(N120/Q120)/M120</f>
        <v>0.810443251551917</v>
      </c>
      <c r="X120" s="38"/>
      <c r="Y120" s="38" t="n">
        <f aca="false">G120/M120</f>
        <v>0.00468376796924252</v>
      </c>
      <c r="Z120" s="39" t="n">
        <f aca="false">H120/M120</f>
        <v>2.01624446161086</v>
      </c>
      <c r="AA120" s="40"/>
      <c r="AB120" s="40" t="n">
        <f aca="false">D120/G120</f>
        <v>38.6284360189573</v>
      </c>
      <c r="AC120" s="40" t="n">
        <f aca="false">E120/H120</f>
        <v>1.69770847141149</v>
      </c>
      <c r="AD120" s="40" t="n">
        <f aca="false">E120/(H120-I120)</f>
        <v>4.56901077932314</v>
      </c>
    </row>
    <row r="121" customFormat="false" ht="18.75" hidden="false" customHeight="true" outlineLevel="0" collapsed="false">
      <c r="A121" s="18" t="n">
        <v>2025</v>
      </c>
      <c r="B121" s="18" t="n">
        <v>11</v>
      </c>
      <c r="C121" s="24"/>
      <c r="D121" s="24"/>
      <c r="E121" s="25"/>
      <c r="F121" s="26"/>
      <c r="G121" s="26"/>
      <c r="H121" s="88"/>
      <c r="I121" s="88"/>
      <c r="J121" s="89"/>
      <c r="K121" s="89"/>
      <c r="L121" s="90"/>
      <c r="M121" s="91"/>
      <c r="N121" s="24"/>
      <c r="O121" s="32"/>
      <c r="P121" s="92" t="e">
        <f aca="false">M121/O121</f>
        <v>#DIV/0!</v>
      </c>
      <c r="Q121" s="93" t="n">
        <f aca="false">'$'!C168</f>
        <v>43.1816648593448</v>
      </c>
      <c r="R121" s="35" t="n">
        <f aca="false">SUM(C121:E121)/Q121</f>
        <v>0</v>
      </c>
      <c r="S121" s="94" t="e">
        <f aca="false">(C121/Q121)/M121</f>
        <v>#DIV/0!</v>
      </c>
      <c r="T121" s="94" t="e">
        <f aca="false">D121/Q121/M121</f>
        <v>#DIV/0!</v>
      </c>
      <c r="U121" s="36" t="e">
        <f aca="false">E121/Q121/M121</f>
        <v>#DIV/0!</v>
      </c>
      <c r="V121" s="36" t="e">
        <f aca="false">(SUM(C121:E121)/Q121)/M121</f>
        <v>#DIV/0!</v>
      </c>
      <c r="W121" s="37" t="e">
        <f aca="false">(N121/Q121)/M121</f>
        <v>#DIV/0!</v>
      </c>
      <c r="X121" s="38"/>
      <c r="Y121" s="38" t="e">
        <f aca="false">G121/M121</f>
        <v>#DIV/0!</v>
      </c>
      <c r="Z121" s="39" t="e">
        <f aca="false">H121/M121</f>
        <v>#DIV/0!</v>
      </c>
      <c r="AA121" s="40"/>
      <c r="AB121" s="40" t="e">
        <f aca="false">D121/G121</f>
        <v>#DIV/0!</v>
      </c>
      <c r="AC121" s="40" t="e">
        <f aca="false">E121/H121</f>
        <v>#DIV/0!</v>
      </c>
      <c r="AD121" s="40" t="e">
        <f aca="false">E121/(H121-I121)</f>
        <v>#DIV/0!</v>
      </c>
    </row>
    <row r="122" customFormat="false" ht="18.75" hidden="false" customHeight="true" outlineLevel="0" collapsed="false">
      <c r="A122" s="18" t="n">
        <v>2025</v>
      </c>
      <c r="B122" s="18" t="n">
        <v>12</v>
      </c>
      <c r="C122" s="24"/>
      <c r="D122" s="24"/>
      <c r="E122" s="25"/>
      <c r="F122" s="26"/>
      <c r="G122" s="26"/>
      <c r="H122" s="88"/>
      <c r="I122" s="88"/>
      <c r="J122" s="89"/>
      <c r="K122" s="89"/>
      <c r="L122" s="90"/>
      <c r="M122" s="91"/>
      <c r="N122" s="24"/>
      <c r="O122" s="32"/>
      <c r="P122" s="92" t="e">
        <f aca="false">M122/O122</f>
        <v>#DIV/0!</v>
      </c>
      <c r="Q122" s="93" t="n">
        <f aca="false">'$'!C169</f>
        <v>45.2043004238843</v>
      </c>
      <c r="R122" s="35" t="n">
        <f aca="false">SUM(C122:E122)/Q122</f>
        <v>0</v>
      </c>
      <c r="S122" s="94" t="e">
        <f aca="false">(C122/Q122)/M122</f>
        <v>#DIV/0!</v>
      </c>
      <c r="T122" s="94" t="e">
        <f aca="false">D122/Q122/M122</f>
        <v>#DIV/0!</v>
      </c>
      <c r="U122" s="36" t="e">
        <f aca="false">E122/Q122/M122</f>
        <v>#DIV/0!</v>
      </c>
      <c r="V122" s="36" t="e">
        <f aca="false">(SUM(C122:E122)/Q122)/M122</f>
        <v>#DIV/0!</v>
      </c>
      <c r="W122" s="37" t="e">
        <f aca="false">(N122/Q122)/M122</f>
        <v>#DIV/0!</v>
      </c>
      <c r="X122" s="38"/>
      <c r="Y122" s="38" t="e">
        <f aca="false">G122/M122</f>
        <v>#DIV/0!</v>
      </c>
      <c r="Z122" s="39" t="e">
        <f aca="false">H122/M122</f>
        <v>#DIV/0!</v>
      </c>
      <c r="AA122" s="40"/>
      <c r="AB122" s="40" t="e">
        <f aca="false">D122/G122</f>
        <v>#DIV/0!</v>
      </c>
      <c r="AC122" s="40" t="e">
        <f aca="false">E122/H122</f>
        <v>#DIV/0!</v>
      </c>
      <c r="AD122" s="40" t="e">
        <f aca="false">E122/(H122-I122)</f>
        <v>#DIV/0!</v>
      </c>
    </row>
  </sheetData>
  <mergeCells count="18">
    <mergeCell ref="A1:A2"/>
    <mergeCell ref="B1:B2"/>
    <mergeCell ref="C1:E1"/>
    <mergeCell ref="F1:H1"/>
    <mergeCell ref="J1:J2"/>
    <mergeCell ref="K1:K2"/>
    <mergeCell ref="L1:L2"/>
    <mergeCell ref="M1:M2"/>
    <mergeCell ref="N1:N2"/>
    <mergeCell ref="O1:O2"/>
    <mergeCell ref="P1:P2"/>
    <mergeCell ref="Q1:Q2"/>
    <mergeCell ref="S1:W1"/>
    <mergeCell ref="X1:Z1"/>
    <mergeCell ref="AA1:AD1"/>
    <mergeCell ref="J49:K49"/>
    <mergeCell ref="J50:K50"/>
    <mergeCell ref="J51:K51"/>
  </mergeCells>
  <hyperlinks>
    <hyperlink ref="I1" r:id="rId1" display="GES Üretim"/>
    <hyperlink ref="M1" r:id="rId2" display="∑ Paket. Miktarı"/>
    <hyperlink ref="N1" r:id="rId3" display="∑ İşçilik "/>
    <hyperlink ref="O1" r:id="rId4" display="∑ Kişi&#10;Sayısı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&amp;LYÜN İPLİK (SAMTEKS)</oddHeader>
    <oddFooter>&amp;CPage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35" min="3" style="0" width="11.56"/>
  </cols>
  <sheetData>
    <row r="1" customFormat="false" ht="18.75" hidden="false" customHeight="true" outlineLevel="0" collapsed="false">
      <c r="A1" s="1" t="s">
        <v>0</v>
      </c>
      <c r="B1" s="1" t="s">
        <v>1</v>
      </c>
      <c r="C1" s="80" t="s">
        <v>2</v>
      </c>
      <c r="D1" s="80"/>
      <c r="E1" s="80"/>
      <c r="F1" s="1" t="s">
        <v>3</v>
      </c>
      <c r="G1" s="1"/>
      <c r="H1" s="1"/>
      <c r="I1" s="3" t="s">
        <v>4</v>
      </c>
      <c r="J1" s="7" t="s">
        <v>9</v>
      </c>
      <c r="K1" s="80" t="s">
        <v>10</v>
      </c>
      <c r="L1" s="5" t="s">
        <v>11</v>
      </c>
      <c r="M1" s="107" t="s">
        <v>12</v>
      </c>
      <c r="N1" s="84" t="s">
        <v>16</v>
      </c>
      <c r="O1" s="14" t="s">
        <v>49</v>
      </c>
      <c r="P1" s="14"/>
      <c r="Q1" s="14"/>
      <c r="R1" s="12" t="s">
        <v>17</v>
      </c>
      <c r="S1" s="12" t="s">
        <v>18</v>
      </c>
      <c r="T1" s="12" t="s">
        <v>18</v>
      </c>
      <c r="U1" s="12" t="s">
        <v>18</v>
      </c>
      <c r="V1" s="13" t="s">
        <v>48</v>
      </c>
      <c r="W1" s="13"/>
      <c r="X1" s="13"/>
      <c r="Y1" s="13"/>
      <c r="Z1" s="13"/>
      <c r="AA1" s="108" t="s">
        <v>49</v>
      </c>
      <c r="AB1" s="15" t="s">
        <v>21</v>
      </c>
      <c r="AC1" s="15"/>
      <c r="AD1" s="15"/>
      <c r="AE1" s="15"/>
      <c r="AF1" s="109" t="s">
        <v>21</v>
      </c>
      <c r="AG1" s="109"/>
      <c r="AH1" s="109"/>
      <c r="AI1" s="109"/>
    </row>
    <row r="2" customFormat="false" ht="18.75" hidden="false" customHeight="true" outlineLevel="0" collapsed="false">
      <c r="A2" s="1"/>
      <c r="B2" s="1"/>
      <c r="C2" s="17" t="s">
        <v>55</v>
      </c>
      <c r="D2" s="17" t="s">
        <v>56</v>
      </c>
      <c r="E2" s="2" t="s">
        <v>57</v>
      </c>
      <c r="F2" s="18" t="s">
        <v>25</v>
      </c>
      <c r="G2" s="18" t="s">
        <v>26</v>
      </c>
      <c r="H2" s="19" t="s">
        <v>28</v>
      </c>
      <c r="I2" s="19" t="s">
        <v>28</v>
      </c>
      <c r="J2" s="7"/>
      <c r="K2" s="80"/>
      <c r="L2" s="80"/>
      <c r="M2" s="80"/>
      <c r="N2" s="84"/>
      <c r="O2" s="22" t="s">
        <v>25</v>
      </c>
      <c r="P2" s="22" t="s">
        <v>36</v>
      </c>
      <c r="Q2" s="87" t="s">
        <v>28</v>
      </c>
      <c r="R2" s="12" t="s">
        <v>29</v>
      </c>
      <c r="S2" s="12" t="s">
        <v>30</v>
      </c>
      <c r="T2" s="12" t="s">
        <v>31</v>
      </c>
      <c r="U2" s="12" t="s">
        <v>32</v>
      </c>
      <c r="V2" s="12" t="s">
        <v>30</v>
      </c>
      <c r="W2" s="110" t="s">
        <v>31</v>
      </c>
      <c r="X2" s="12" t="s">
        <v>32</v>
      </c>
      <c r="Y2" s="12" t="s">
        <v>29</v>
      </c>
      <c r="Z2" s="12" t="s">
        <v>53</v>
      </c>
      <c r="AA2" s="111" t="s">
        <v>28</v>
      </c>
      <c r="AB2" s="23" t="s">
        <v>37</v>
      </c>
      <c r="AC2" s="23" t="s">
        <v>38</v>
      </c>
      <c r="AD2" s="23" t="s">
        <v>39</v>
      </c>
      <c r="AE2" s="112" t="s">
        <v>40</v>
      </c>
      <c r="AF2" s="23" t="s">
        <v>58</v>
      </c>
      <c r="AG2" s="23" t="s">
        <v>59</v>
      </c>
      <c r="AH2" s="23" t="s">
        <v>60</v>
      </c>
      <c r="AI2" s="112" t="s">
        <v>61</v>
      </c>
    </row>
    <row r="3" customFormat="false" ht="18.75" hidden="false" customHeight="true" outlineLevel="0" collapsed="false">
      <c r="A3" s="18" t="n">
        <v>2016</v>
      </c>
      <c r="B3" s="18" t="n">
        <v>1</v>
      </c>
      <c r="C3" s="24"/>
      <c r="D3" s="24" t="n">
        <v>531.61</v>
      </c>
      <c r="E3" s="25" t="n">
        <v>67183.94</v>
      </c>
      <c r="F3" s="26"/>
      <c r="G3" s="26"/>
      <c r="H3" s="27"/>
      <c r="I3" s="27"/>
      <c r="J3" s="31"/>
      <c r="K3" s="24"/>
      <c r="L3" s="32"/>
      <c r="M3" s="92" t="e">
        <f aca="false">J3/L3</f>
        <v>#DIV/0!</v>
      </c>
      <c r="N3" s="93" t="n">
        <f aca="false">'$'!C50</f>
        <v>3.001791</v>
      </c>
      <c r="O3" s="38"/>
      <c r="P3" s="38"/>
      <c r="Q3" s="39"/>
      <c r="R3" s="35" t="n">
        <f aca="false">SUM(C3:E3)/N3</f>
        <v>22558.3826455606</v>
      </c>
      <c r="S3" s="35" t="n">
        <f aca="false">C3/$N3</f>
        <v>0</v>
      </c>
      <c r="T3" s="35" t="n">
        <f aca="false">D3/$N3</f>
        <v>177.097606062514</v>
      </c>
      <c r="U3" s="35" t="n">
        <f aca="false">E3/$N3</f>
        <v>22381.2850394981</v>
      </c>
      <c r="V3" s="36" t="e">
        <f aca="false">C3/N3/J3</f>
        <v>#DIV/0!</v>
      </c>
      <c r="W3" s="94" t="e">
        <f aca="false">D3/N3/J3</f>
        <v>#DIV/0!</v>
      </c>
      <c r="X3" s="36" t="e">
        <f aca="false">E3/N3/J3</f>
        <v>#DIV/0!</v>
      </c>
      <c r="Y3" s="36" t="e">
        <f aca="false">SUM(C3:E3)/N3/J3</f>
        <v>#DIV/0!</v>
      </c>
      <c r="Z3" s="36" t="e">
        <f aca="false">(K3/N3)/J3</f>
        <v>#DIV/0!</v>
      </c>
      <c r="AA3" s="113"/>
      <c r="AB3" s="38"/>
      <c r="AC3" s="38"/>
      <c r="AD3" s="38"/>
      <c r="AE3" s="39"/>
      <c r="AF3" s="114" t="n">
        <f aca="false">AB3/$N3</f>
        <v>0</v>
      </c>
      <c r="AG3" s="114" t="n">
        <f aca="false">AC3/$N3</f>
        <v>0</v>
      </c>
      <c r="AH3" s="114" t="n">
        <f aca="false">AD3/$N3</f>
        <v>0</v>
      </c>
      <c r="AI3" s="114" t="n">
        <f aca="false">AE3/$N3</f>
        <v>0</v>
      </c>
    </row>
    <row r="4" customFormat="false" ht="18.75" hidden="false" customHeight="true" outlineLevel="0" collapsed="false">
      <c r="A4" s="18" t="n">
        <v>2016</v>
      </c>
      <c r="B4" s="18" t="n">
        <v>2</v>
      </c>
      <c r="C4" s="24"/>
      <c r="D4" s="24" t="n">
        <v>450.21</v>
      </c>
      <c r="E4" s="25" t="n">
        <v>66967.73</v>
      </c>
      <c r="F4" s="26"/>
      <c r="G4" s="26"/>
      <c r="H4" s="27"/>
      <c r="I4" s="27"/>
      <c r="J4" s="31"/>
      <c r="K4" s="24"/>
      <c r="L4" s="32"/>
      <c r="M4" s="92" t="e">
        <f aca="false">J4/L4</f>
        <v>#DIV/0!</v>
      </c>
      <c r="N4" s="93" t="n">
        <f aca="false">'$'!C51</f>
        <v>2.945324</v>
      </c>
      <c r="O4" s="38"/>
      <c r="P4" s="38"/>
      <c r="Q4" s="39"/>
      <c r="R4" s="35" t="n">
        <f aca="false">SUM(C4:E4)/N4</f>
        <v>22889.8212896102</v>
      </c>
      <c r="S4" s="35" t="n">
        <f aca="false">C4/$N4</f>
        <v>0</v>
      </c>
      <c r="T4" s="35" t="n">
        <f aca="false">D4/$N4</f>
        <v>152.855848796261</v>
      </c>
      <c r="U4" s="35" t="n">
        <f aca="false">E4/$N4</f>
        <v>22736.965440814</v>
      </c>
      <c r="V4" s="36" t="e">
        <f aca="false">C4/N4/J4</f>
        <v>#DIV/0!</v>
      </c>
      <c r="W4" s="94" t="e">
        <f aca="false">D4/N4/J4</f>
        <v>#DIV/0!</v>
      </c>
      <c r="X4" s="36" t="e">
        <f aca="false">E4/N4/J4</f>
        <v>#DIV/0!</v>
      </c>
      <c r="Y4" s="36" t="e">
        <f aca="false">SUM(C4:E4)/N4/J4</f>
        <v>#DIV/0!</v>
      </c>
      <c r="Z4" s="36" t="e">
        <f aca="false">(K4/N4)/J4</f>
        <v>#DIV/0!</v>
      </c>
      <c r="AA4" s="113"/>
      <c r="AB4" s="38"/>
      <c r="AC4" s="38"/>
      <c r="AD4" s="38"/>
      <c r="AE4" s="39"/>
      <c r="AF4" s="114" t="n">
        <f aca="false">AB4/$N4</f>
        <v>0</v>
      </c>
      <c r="AG4" s="114" t="n">
        <f aca="false">AC4/$N4</f>
        <v>0</v>
      </c>
      <c r="AH4" s="114" t="n">
        <f aca="false">AD4/$N4</f>
        <v>0</v>
      </c>
      <c r="AI4" s="114" t="n">
        <f aca="false">AE4/$N4</f>
        <v>0</v>
      </c>
    </row>
    <row r="5" customFormat="false" ht="18.75" hidden="false" customHeight="true" outlineLevel="0" collapsed="false">
      <c r="A5" s="18" t="n">
        <v>2016</v>
      </c>
      <c r="B5" s="18" t="n">
        <v>3</v>
      </c>
      <c r="C5" s="24"/>
      <c r="D5" s="24" t="n">
        <v>517.19</v>
      </c>
      <c r="E5" s="25" t="n">
        <v>69840.54</v>
      </c>
      <c r="F5" s="26"/>
      <c r="G5" s="26"/>
      <c r="H5" s="27"/>
      <c r="I5" s="27"/>
      <c r="J5" s="31"/>
      <c r="K5" s="24"/>
      <c r="L5" s="32"/>
      <c r="M5" s="92" t="e">
        <f aca="false">J5/L5</f>
        <v>#DIV/0!</v>
      </c>
      <c r="N5" s="93" t="n">
        <f aca="false">'$'!C52</f>
        <v>2.882802</v>
      </c>
      <c r="O5" s="38"/>
      <c r="P5" s="38"/>
      <c r="Q5" s="39"/>
      <c r="R5" s="35" t="n">
        <f aca="false">SUM(C5:E5)/N5</f>
        <v>24406.0223352141</v>
      </c>
      <c r="S5" s="35" t="n">
        <f aca="false">C5/$N5</f>
        <v>0</v>
      </c>
      <c r="T5" s="35" t="n">
        <f aca="false">D5/$N5</f>
        <v>179.40531469036</v>
      </c>
      <c r="U5" s="35" t="n">
        <f aca="false">E5/$N5</f>
        <v>24226.6170205238</v>
      </c>
      <c r="V5" s="36" t="e">
        <f aca="false">C5/N5/J5</f>
        <v>#DIV/0!</v>
      </c>
      <c r="W5" s="94" t="e">
        <f aca="false">D5/N5/J5</f>
        <v>#DIV/0!</v>
      </c>
      <c r="X5" s="36" t="e">
        <f aca="false">E5/N5/J5</f>
        <v>#DIV/0!</v>
      </c>
      <c r="Y5" s="36" t="e">
        <f aca="false">SUM(C5:E5)/N5/J5</f>
        <v>#DIV/0!</v>
      </c>
      <c r="Z5" s="36" t="e">
        <f aca="false">(K5/N5)/J5</f>
        <v>#DIV/0!</v>
      </c>
      <c r="AA5" s="113"/>
      <c r="AB5" s="38"/>
      <c r="AC5" s="38"/>
      <c r="AD5" s="38"/>
      <c r="AE5" s="39"/>
      <c r="AF5" s="114" t="n">
        <f aca="false">AB5/$N5</f>
        <v>0</v>
      </c>
      <c r="AG5" s="114" t="n">
        <f aca="false">AC5/$N5</f>
        <v>0</v>
      </c>
      <c r="AH5" s="114" t="n">
        <f aca="false">AD5/$N5</f>
        <v>0</v>
      </c>
      <c r="AI5" s="114" t="n">
        <f aca="false">AE5/$N5</f>
        <v>0</v>
      </c>
    </row>
    <row r="6" customFormat="false" ht="18.75" hidden="false" customHeight="true" outlineLevel="0" collapsed="false">
      <c r="A6" s="18" t="n">
        <v>2016</v>
      </c>
      <c r="B6" s="18" t="n">
        <v>4</v>
      </c>
      <c r="C6" s="24"/>
      <c r="D6" s="24" t="n">
        <v>496.63</v>
      </c>
      <c r="E6" s="25" t="n">
        <v>61098.42</v>
      </c>
      <c r="F6" s="26"/>
      <c r="G6" s="26"/>
      <c r="H6" s="27"/>
      <c r="I6" s="27"/>
      <c r="J6" s="31"/>
      <c r="K6" s="24"/>
      <c r="L6" s="32"/>
      <c r="M6" s="92" t="e">
        <f aca="false">J6/L6</f>
        <v>#DIV/0!</v>
      </c>
      <c r="N6" s="93" t="n">
        <f aca="false">'$'!C53</f>
        <v>2.834917</v>
      </c>
      <c r="O6" s="38"/>
      <c r="P6" s="38"/>
      <c r="Q6" s="39"/>
      <c r="R6" s="35" t="n">
        <f aca="false">SUM(C6:E6)/N6</f>
        <v>21727.2851374485</v>
      </c>
      <c r="S6" s="35" t="n">
        <f aca="false">C6/$N6</f>
        <v>0</v>
      </c>
      <c r="T6" s="35" t="n">
        <f aca="false">D6/$N6</f>
        <v>175.183259333518</v>
      </c>
      <c r="U6" s="35" t="n">
        <f aca="false">E6/$N6</f>
        <v>21552.1018781149</v>
      </c>
      <c r="V6" s="36" t="e">
        <f aca="false">C6/N6/J6</f>
        <v>#DIV/0!</v>
      </c>
      <c r="W6" s="94" t="e">
        <f aca="false">D6/N6/J6</f>
        <v>#DIV/0!</v>
      </c>
      <c r="X6" s="36" t="e">
        <f aca="false">E6/N6/J6</f>
        <v>#DIV/0!</v>
      </c>
      <c r="Y6" s="36" t="e">
        <f aca="false">SUM(C6:E6)/N6/J6</f>
        <v>#DIV/0!</v>
      </c>
      <c r="Z6" s="36" t="e">
        <f aca="false">(K6/N6)/J6</f>
        <v>#DIV/0!</v>
      </c>
      <c r="AA6" s="113"/>
      <c r="AB6" s="38"/>
      <c r="AC6" s="38"/>
      <c r="AD6" s="38"/>
      <c r="AE6" s="39"/>
      <c r="AF6" s="114" t="n">
        <f aca="false">AB6/$N6</f>
        <v>0</v>
      </c>
      <c r="AG6" s="114" t="n">
        <f aca="false">AC6/$N6</f>
        <v>0</v>
      </c>
      <c r="AH6" s="114" t="n">
        <f aca="false">AD6/$N6</f>
        <v>0</v>
      </c>
      <c r="AI6" s="114" t="n">
        <f aca="false">AE6/$N6</f>
        <v>0</v>
      </c>
    </row>
    <row r="7" customFormat="false" ht="18.75" hidden="false" customHeight="true" outlineLevel="0" collapsed="false">
      <c r="A7" s="18" t="n">
        <v>2016</v>
      </c>
      <c r="B7" s="18" t="n">
        <v>5</v>
      </c>
      <c r="C7" s="24"/>
      <c r="D7" s="24" t="n">
        <v>582.04</v>
      </c>
      <c r="E7" s="25" t="n">
        <v>77172.84</v>
      </c>
      <c r="F7" s="26"/>
      <c r="G7" s="26"/>
      <c r="H7" s="27"/>
      <c r="I7" s="27"/>
      <c r="J7" s="31"/>
      <c r="K7" s="24"/>
      <c r="L7" s="32"/>
      <c r="M7" s="92" t="e">
        <f aca="false">J7/L7</f>
        <v>#DIV/0!</v>
      </c>
      <c r="N7" s="93" t="n">
        <f aca="false">'$'!C54</f>
        <v>2.940724</v>
      </c>
      <c r="O7" s="38"/>
      <c r="P7" s="38"/>
      <c r="Q7" s="39"/>
      <c r="R7" s="35" t="n">
        <f aca="false">SUM(C7:E7)/N7</f>
        <v>26440.7268414173</v>
      </c>
      <c r="S7" s="35" t="n">
        <f aca="false">C7/$N7</f>
        <v>0</v>
      </c>
      <c r="T7" s="35" t="n">
        <f aca="false">D7/$N7</f>
        <v>197.924048635642</v>
      </c>
      <c r="U7" s="35" t="n">
        <f aca="false">E7/$N7</f>
        <v>26242.8027927816</v>
      </c>
      <c r="V7" s="36" t="e">
        <f aca="false">C7/N7/J7</f>
        <v>#DIV/0!</v>
      </c>
      <c r="W7" s="94" t="e">
        <f aca="false">D7/N7/J7</f>
        <v>#DIV/0!</v>
      </c>
      <c r="X7" s="36" t="e">
        <f aca="false">E7/N7/J7</f>
        <v>#DIV/0!</v>
      </c>
      <c r="Y7" s="36" t="e">
        <f aca="false">SUM(C7:E7)/N7/J7</f>
        <v>#DIV/0!</v>
      </c>
      <c r="Z7" s="36" t="e">
        <f aca="false">(K7/N7)/J7</f>
        <v>#DIV/0!</v>
      </c>
      <c r="AA7" s="113"/>
      <c r="AB7" s="38"/>
      <c r="AC7" s="38"/>
      <c r="AD7" s="38"/>
      <c r="AE7" s="39"/>
      <c r="AF7" s="114" t="n">
        <f aca="false">AB7/$N7</f>
        <v>0</v>
      </c>
      <c r="AG7" s="114" t="n">
        <f aca="false">AC7/$N7</f>
        <v>0</v>
      </c>
      <c r="AH7" s="114" t="n">
        <f aca="false">AD7/$N7</f>
        <v>0</v>
      </c>
      <c r="AI7" s="114" t="n">
        <f aca="false">AE7/$N7</f>
        <v>0</v>
      </c>
    </row>
    <row r="8" customFormat="false" ht="18.75" hidden="false" customHeight="true" outlineLevel="0" collapsed="false">
      <c r="A8" s="18" t="n">
        <v>2016</v>
      </c>
      <c r="B8" s="18" t="n">
        <v>6</v>
      </c>
      <c r="C8" s="24"/>
      <c r="D8" s="24" t="n">
        <v>610.28</v>
      </c>
      <c r="E8" s="25" t="n">
        <v>66542.96</v>
      </c>
      <c r="F8" s="26"/>
      <c r="G8" s="26"/>
      <c r="H8" s="27"/>
      <c r="I8" s="27"/>
      <c r="J8" s="31"/>
      <c r="K8" s="24"/>
      <c r="L8" s="32"/>
      <c r="M8" s="92" t="e">
        <f aca="false">J8/L8</f>
        <v>#DIV/0!</v>
      </c>
      <c r="N8" s="93" t="n">
        <f aca="false">'$'!C55</f>
        <v>2.914586</v>
      </c>
      <c r="O8" s="38"/>
      <c r="P8" s="38"/>
      <c r="Q8" s="39"/>
      <c r="R8" s="35" t="n">
        <f aca="false">SUM(C8:E8)/N8</f>
        <v>23040.4043661776</v>
      </c>
      <c r="S8" s="35" t="n">
        <f aca="false">C8/$N8</f>
        <v>0</v>
      </c>
      <c r="T8" s="35" t="n">
        <f aca="false">D8/$N8</f>
        <v>209.388228722707</v>
      </c>
      <c r="U8" s="35" t="n">
        <f aca="false">E8/$N8</f>
        <v>22831.0161374549</v>
      </c>
      <c r="V8" s="36" t="e">
        <f aca="false">C8/N8/J8</f>
        <v>#DIV/0!</v>
      </c>
      <c r="W8" s="94" t="e">
        <f aca="false">D8/N8/J8</f>
        <v>#DIV/0!</v>
      </c>
      <c r="X8" s="36" t="e">
        <f aca="false">E8/N8/J8</f>
        <v>#DIV/0!</v>
      </c>
      <c r="Y8" s="36" t="e">
        <f aca="false">SUM(C8:E8)/N8/J8</f>
        <v>#DIV/0!</v>
      </c>
      <c r="Z8" s="36" t="e">
        <f aca="false">(K8/N8)/J8</f>
        <v>#DIV/0!</v>
      </c>
      <c r="AA8" s="113"/>
      <c r="AB8" s="38"/>
      <c r="AC8" s="38"/>
      <c r="AD8" s="38"/>
      <c r="AE8" s="39"/>
      <c r="AF8" s="114" t="n">
        <f aca="false">AB8/$N8</f>
        <v>0</v>
      </c>
      <c r="AG8" s="114" t="n">
        <f aca="false">AC8/$N8</f>
        <v>0</v>
      </c>
      <c r="AH8" s="114" t="n">
        <f aca="false">AD8/$N8</f>
        <v>0</v>
      </c>
      <c r="AI8" s="114" t="n">
        <f aca="false">AE8/$N8</f>
        <v>0</v>
      </c>
    </row>
    <row r="9" customFormat="false" ht="18.75" hidden="false" customHeight="true" outlineLevel="0" collapsed="false">
      <c r="A9" s="18" t="n">
        <v>2016</v>
      </c>
      <c r="B9" s="18" t="n">
        <v>7</v>
      </c>
      <c r="C9" s="24"/>
      <c r="D9" s="24" t="n">
        <v>718.28</v>
      </c>
      <c r="E9" s="25" t="n">
        <v>74606.37</v>
      </c>
      <c r="F9" s="26"/>
      <c r="G9" s="26"/>
      <c r="H9" s="27"/>
      <c r="I9" s="27"/>
      <c r="J9" s="31"/>
      <c r="K9" s="24"/>
      <c r="L9" s="32"/>
      <c r="M9" s="92" t="e">
        <f aca="false">J9/L9</f>
        <v>#DIV/0!</v>
      </c>
      <c r="N9" s="93" t="n">
        <f aca="false">'$'!C56</f>
        <v>2.969792</v>
      </c>
      <c r="O9" s="38"/>
      <c r="P9" s="38"/>
      <c r="Q9" s="39"/>
      <c r="R9" s="35" t="n">
        <f aca="false">SUM(C9:E9)/N9</f>
        <v>25363.6113236213</v>
      </c>
      <c r="S9" s="35" t="n">
        <f aca="false">C9/$N9</f>
        <v>0</v>
      </c>
      <c r="T9" s="35" t="n">
        <f aca="false">D9/$N9</f>
        <v>241.862056332565</v>
      </c>
      <c r="U9" s="35" t="n">
        <f aca="false">E9/$N9</f>
        <v>25121.7492672888</v>
      </c>
      <c r="V9" s="36" t="e">
        <f aca="false">C9/N9/J9</f>
        <v>#DIV/0!</v>
      </c>
      <c r="W9" s="94" t="e">
        <f aca="false">D9/N9/J9</f>
        <v>#DIV/0!</v>
      </c>
      <c r="X9" s="36" t="e">
        <f aca="false">E9/N9/J9</f>
        <v>#DIV/0!</v>
      </c>
      <c r="Y9" s="36" t="e">
        <f aca="false">SUM(C9:E9)/N9/J9</f>
        <v>#DIV/0!</v>
      </c>
      <c r="Z9" s="36" t="e">
        <f aca="false">(K9/N9)/J9</f>
        <v>#DIV/0!</v>
      </c>
      <c r="AA9" s="113"/>
      <c r="AB9" s="38"/>
      <c r="AC9" s="38"/>
      <c r="AD9" s="38"/>
      <c r="AE9" s="39"/>
      <c r="AF9" s="114" t="n">
        <f aca="false">AB9/$N9</f>
        <v>0</v>
      </c>
      <c r="AG9" s="114" t="n">
        <f aca="false">AC9/$N9</f>
        <v>0</v>
      </c>
      <c r="AH9" s="114" t="n">
        <f aca="false">AD9/$N9</f>
        <v>0</v>
      </c>
      <c r="AI9" s="114" t="n">
        <f aca="false">AE9/$N9</f>
        <v>0</v>
      </c>
    </row>
    <row r="10" customFormat="false" ht="18.75" hidden="false" customHeight="true" outlineLevel="0" collapsed="false">
      <c r="A10" s="18" t="n">
        <v>2016</v>
      </c>
      <c r="B10" s="18" t="n">
        <v>8</v>
      </c>
      <c r="C10" s="24"/>
      <c r="D10" s="24" t="n">
        <v>1007.93</v>
      </c>
      <c r="E10" s="25" t="n">
        <v>85287.71</v>
      </c>
      <c r="F10" s="26"/>
      <c r="G10" s="26"/>
      <c r="H10" s="27"/>
      <c r="I10" s="27"/>
      <c r="J10" s="31"/>
      <c r="K10" s="24"/>
      <c r="L10" s="32"/>
      <c r="M10" s="92" t="e">
        <f aca="false">J10/L10</f>
        <v>#DIV/0!</v>
      </c>
      <c r="N10" s="93" t="n">
        <f aca="false">'$'!C57</f>
        <v>2.960826</v>
      </c>
      <c r="O10" s="38"/>
      <c r="P10" s="38"/>
      <c r="Q10" s="39"/>
      <c r="R10" s="35" t="n">
        <f aca="false">SUM(C10:E10)/N10</f>
        <v>29145.7991790129</v>
      </c>
      <c r="S10" s="35" t="n">
        <f aca="false">C10/$N10</f>
        <v>0</v>
      </c>
      <c r="T10" s="35" t="n">
        <f aca="false">D10/$N10</f>
        <v>340.421895781785</v>
      </c>
      <c r="U10" s="35" t="n">
        <f aca="false">E10/$N10</f>
        <v>28805.3772832311</v>
      </c>
      <c r="V10" s="36" t="e">
        <f aca="false">C10/N10/J10</f>
        <v>#DIV/0!</v>
      </c>
      <c r="W10" s="94" t="e">
        <f aca="false">D10/N10/J10</f>
        <v>#DIV/0!</v>
      </c>
      <c r="X10" s="36" t="e">
        <f aca="false">E10/N10/J10</f>
        <v>#DIV/0!</v>
      </c>
      <c r="Y10" s="36" t="e">
        <f aca="false">SUM(C10:E10)/N10/J10</f>
        <v>#DIV/0!</v>
      </c>
      <c r="Z10" s="36" t="e">
        <f aca="false">(K10/N10)/J10</f>
        <v>#DIV/0!</v>
      </c>
      <c r="AA10" s="113"/>
      <c r="AB10" s="38"/>
      <c r="AC10" s="38"/>
      <c r="AD10" s="38"/>
      <c r="AE10" s="39"/>
      <c r="AF10" s="114" t="n">
        <f aca="false">AB10/$N10</f>
        <v>0</v>
      </c>
      <c r="AG10" s="114" t="n">
        <f aca="false">AC10/$N10</f>
        <v>0</v>
      </c>
      <c r="AH10" s="114" t="n">
        <f aca="false">AD10/$N10</f>
        <v>0</v>
      </c>
      <c r="AI10" s="114" t="n">
        <f aca="false">AE10/$N10</f>
        <v>0</v>
      </c>
    </row>
    <row r="11" customFormat="false" ht="18.75" hidden="false" customHeight="true" outlineLevel="0" collapsed="false">
      <c r="A11" s="18" t="n">
        <v>2016</v>
      </c>
      <c r="B11" s="18" t="n">
        <v>9</v>
      </c>
      <c r="C11" s="24"/>
      <c r="D11" s="24" t="n">
        <v>1022.94</v>
      </c>
      <c r="E11" s="25" t="n">
        <v>67256.9</v>
      </c>
      <c r="F11" s="26"/>
      <c r="G11" s="26"/>
      <c r="H11" s="27"/>
      <c r="I11" s="27"/>
      <c r="J11" s="31"/>
      <c r="K11" s="24"/>
      <c r="L11" s="32"/>
      <c r="M11" s="92" t="e">
        <f aca="false">J11/L11</f>
        <v>#DIV/0!</v>
      </c>
      <c r="N11" s="93" t="n">
        <f aca="false">'$'!C58</f>
        <v>2.968482</v>
      </c>
      <c r="O11" s="38"/>
      <c r="P11" s="38"/>
      <c r="Q11" s="39"/>
      <c r="R11" s="35" t="n">
        <f aca="false">SUM(C11:E11)/N11</f>
        <v>23001.601491941</v>
      </c>
      <c r="S11" s="35" t="n">
        <f aca="false">C11/$N11</f>
        <v>0</v>
      </c>
      <c r="T11" s="35" t="n">
        <f aca="false">D11/$N11</f>
        <v>344.600371503011</v>
      </c>
      <c r="U11" s="35" t="n">
        <f aca="false">E11/$N11</f>
        <v>22657.001120438</v>
      </c>
      <c r="V11" s="36" t="e">
        <f aca="false">C11/N11/J11</f>
        <v>#DIV/0!</v>
      </c>
      <c r="W11" s="94" t="e">
        <f aca="false">D11/N11/J11</f>
        <v>#DIV/0!</v>
      </c>
      <c r="X11" s="36" t="e">
        <f aca="false">E11/N11/J11</f>
        <v>#DIV/0!</v>
      </c>
      <c r="Y11" s="36" t="e">
        <f aca="false">SUM(C11:E11)/N11/J11</f>
        <v>#DIV/0!</v>
      </c>
      <c r="Z11" s="36" t="e">
        <f aca="false">(K11/N11)/J11</f>
        <v>#DIV/0!</v>
      </c>
      <c r="AA11" s="113"/>
      <c r="AB11" s="38"/>
      <c r="AC11" s="38"/>
      <c r="AD11" s="38"/>
      <c r="AE11" s="39"/>
      <c r="AF11" s="114" t="n">
        <f aca="false">AB11/$N11</f>
        <v>0</v>
      </c>
      <c r="AG11" s="114" t="n">
        <f aca="false">AC11/$N11</f>
        <v>0</v>
      </c>
      <c r="AH11" s="114" t="n">
        <f aca="false">AD11/$N11</f>
        <v>0</v>
      </c>
      <c r="AI11" s="114" t="n">
        <f aca="false">AE11/$N11</f>
        <v>0</v>
      </c>
    </row>
    <row r="12" customFormat="false" ht="18.75" hidden="false" customHeight="true" outlineLevel="0" collapsed="false">
      <c r="A12" s="18" t="n">
        <v>2016</v>
      </c>
      <c r="B12" s="18" t="n">
        <v>10</v>
      </c>
      <c r="C12" s="24"/>
      <c r="D12" s="24" t="n">
        <v>1729.7</v>
      </c>
      <c r="E12" s="25" t="n">
        <v>80491.59</v>
      </c>
      <c r="F12" s="26"/>
      <c r="G12" s="26"/>
      <c r="H12" s="27"/>
      <c r="I12" s="27"/>
      <c r="J12" s="31"/>
      <c r="K12" s="24"/>
      <c r="L12" s="32"/>
      <c r="M12" s="92" t="e">
        <f aca="false">J12/L12</f>
        <v>#DIV/0!</v>
      </c>
      <c r="N12" s="93" t="n">
        <f aca="false">'$'!C59</f>
        <v>3.073362</v>
      </c>
      <c r="O12" s="38"/>
      <c r="P12" s="38"/>
      <c r="Q12" s="39"/>
      <c r="R12" s="35" t="n">
        <f aca="false">SUM(C12:E12)/N12</f>
        <v>26752.8816976328</v>
      </c>
      <c r="S12" s="35" t="n">
        <f aca="false">C12/$N12</f>
        <v>0</v>
      </c>
      <c r="T12" s="35" t="n">
        <f aca="false">D12/$N12</f>
        <v>562.803861048585</v>
      </c>
      <c r="U12" s="35" t="n">
        <f aca="false">E12/$N12</f>
        <v>26190.0778365842</v>
      </c>
      <c r="V12" s="36" t="e">
        <f aca="false">C12/N12/J12</f>
        <v>#DIV/0!</v>
      </c>
      <c r="W12" s="94" t="e">
        <f aca="false">D12/N12/J12</f>
        <v>#DIV/0!</v>
      </c>
      <c r="X12" s="36" t="e">
        <f aca="false">E12/N12/J12</f>
        <v>#DIV/0!</v>
      </c>
      <c r="Y12" s="36" t="e">
        <f aca="false">SUM(C12:E12)/N12/J12</f>
        <v>#DIV/0!</v>
      </c>
      <c r="Z12" s="36" t="e">
        <f aca="false">(K12/N12)/J12</f>
        <v>#DIV/0!</v>
      </c>
      <c r="AA12" s="113"/>
      <c r="AB12" s="38"/>
      <c r="AC12" s="38"/>
      <c r="AD12" s="38"/>
      <c r="AE12" s="39"/>
      <c r="AF12" s="114" t="n">
        <f aca="false">AB12/$N12</f>
        <v>0</v>
      </c>
      <c r="AG12" s="114" t="n">
        <f aca="false">AC12/$N12</f>
        <v>0</v>
      </c>
      <c r="AH12" s="114" t="n">
        <f aca="false">AD12/$N12</f>
        <v>0</v>
      </c>
      <c r="AI12" s="114" t="n">
        <f aca="false">AE12/$N12</f>
        <v>0</v>
      </c>
    </row>
    <row r="13" customFormat="false" ht="18.75" hidden="false" customHeight="true" outlineLevel="0" collapsed="false">
      <c r="A13" s="18" t="n">
        <v>2016</v>
      </c>
      <c r="B13" s="18" t="n">
        <v>11</v>
      </c>
      <c r="C13" s="24"/>
      <c r="D13" s="24" t="n">
        <v>1917.14</v>
      </c>
      <c r="E13" s="25" t="n">
        <v>92590.16</v>
      </c>
      <c r="F13" s="26"/>
      <c r="G13" s="26"/>
      <c r="H13" s="27"/>
      <c r="I13" s="27"/>
      <c r="J13" s="31"/>
      <c r="K13" s="24"/>
      <c r="L13" s="32"/>
      <c r="M13" s="92" t="e">
        <f aca="false">J13/L13</f>
        <v>#DIV/0!</v>
      </c>
      <c r="N13" s="93" t="n">
        <f aca="false">'$'!C60</f>
        <v>3.299438</v>
      </c>
      <c r="O13" s="38"/>
      <c r="P13" s="38"/>
      <c r="Q13" s="39"/>
      <c r="R13" s="35" t="n">
        <f aca="false">SUM(C13:E13)/N13</f>
        <v>28643.4538245604</v>
      </c>
      <c r="S13" s="35" t="n">
        <f aca="false">C13/$N13</f>
        <v>0</v>
      </c>
      <c r="T13" s="35" t="n">
        <f aca="false">D13/$N13</f>
        <v>581.050469807282</v>
      </c>
      <c r="U13" s="35" t="n">
        <f aca="false">E13/$N13</f>
        <v>28062.4033547531</v>
      </c>
      <c r="V13" s="36" t="e">
        <f aca="false">C13/N13/J13</f>
        <v>#DIV/0!</v>
      </c>
      <c r="W13" s="94" t="e">
        <f aca="false">D13/N13/J13</f>
        <v>#DIV/0!</v>
      </c>
      <c r="X13" s="36" t="e">
        <f aca="false">E13/N13/J13</f>
        <v>#DIV/0!</v>
      </c>
      <c r="Y13" s="36" t="e">
        <f aca="false">SUM(C13:E13)/N13/J13</f>
        <v>#DIV/0!</v>
      </c>
      <c r="Z13" s="36" t="e">
        <f aca="false">(K13/N13)/J13</f>
        <v>#DIV/0!</v>
      </c>
      <c r="AA13" s="113"/>
      <c r="AB13" s="38"/>
      <c r="AC13" s="38"/>
      <c r="AD13" s="38"/>
      <c r="AE13" s="39"/>
      <c r="AF13" s="114" t="n">
        <f aca="false">AB13/$N13</f>
        <v>0</v>
      </c>
      <c r="AG13" s="114" t="n">
        <f aca="false">AC13/$N13</f>
        <v>0</v>
      </c>
      <c r="AH13" s="114" t="n">
        <f aca="false">AD13/$N13</f>
        <v>0</v>
      </c>
      <c r="AI13" s="114" t="n">
        <f aca="false">AE13/$N13</f>
        <v>0</v>
      </c>
    </row>
    <row r="14" customFormat="false" ht="18.75" hidden="false" customHeight="true" outlineLevel="0" collapsed="false">
      <c r="A14" s="18" t="n">
        <v>2016</v>
      </c>
      <c r="B14" s="18" t="n">
        <v>12</v>
      </c>
      <c r="C14" s="24"/>
      <c r="D14" s="24" t="n">
        <v>1851.1</v>
      </c>
      <c r="E14" s="25" t="n">
        <v>106754.15</v>
      </c>
      <c r="F14" s="26"/>
      <c r="G14" s="26"/>
      <c r="H14" s="27"/>
      <c r="I14" s="27"/>
      <c r="J14" s="31"/>
      <c r="K14" s="24"/>
      <c r="L14" s="32"/>
      <c r="M14" s="92" t="e">
        <f aca="false">J14/L14</f>
        <v>#DIV/0!</v>
      </c>
      <c r="N14" s="93" t="n">
        <f aca="false">'$'!C61</f>
        <v>3.502333</v>
      </c>
      <c r="O14" s="38"/>
      <c r="P14" s="38"/>
      <c r="Q14" s="39"/>
      <c r="R14" s="35" t="n">
        <f aca="false">SUM(C14:E14)/N14</f>
        <v>31009.4014475494</v>
      </c>
      <c r="S14" s="35" t="n">
        <f aca="false">C14/$N14</f>
        <v>0</v>
      </c>
      <c r="T14" s="35" t="n">
        <f aca="false">D14/$N14</f>
        <v>528.533409016219</v>
      </c>
      <c r="U14" s="35" t="n">
        <f aca="false">E14/$N14</f>
        <v>30480.8680385332</v>
      </c>
      <c r="V14" s="36" t="e">
        <f aca="false">C14/N14/J14</f>
        <v>#DIV/0!</v>
      </c>
      <c r="W14" s="94" t="e">
        <f aca="false">D14/N14/J14</f>
        <v>#DIV/0!</v>
      </c>
      <c r="X14" s="36" t="e">
        <f aca="false">E14/N14/J14</f>
        <v>#DIV/0!</v>
      </c>
      <c r="Y14" s="36" t="e">
        <f aca="false">SUM(C14:E14)/N14/J14</f>
        <v>#DIV/0!</v>
      </c>
      <c r="Z14" s="36" t="e">
        <f aca="false">(K14/N14)/J14</f>
        <v>#DIV/0!</v>
      </c>
      <c r="AA14" s="113"/>
      <c r="AB14" s="38"/>
      <c r="AC14" s="38"/>
      <c r="AD14" s="38"/>
      <c r="AE14" s="39"/>
      <c r="AF14" s="114" t="n">
        <f aca="false">AB14/$N14</f>
        <v>0</v>
      </c>
      <c r="AG14" s="114" t="n">
        <f aca="false">AC14/$N14</f>
        <v>0</v>
      </c>
      <c r="AH14" s="114" t="n">
        <f aca="false">AD14/$N14</f>
        <v>0</v>
      </c>
      <c r="AI14" s="114" t="n">
        <f aca="false">AE14/$N14</f>
        <v>0</v>
      </c>
    </row>
    <row r="15" customFormat="false" ht="18.75" hidden="false" customHeight="true" outlineLevel="0" collapsed="false">
      <c r="A15" s="18" t="n">
        <v>2017</v>
      </c>
      <c r="B15" s="18" t="n">
        <v>1</v>
      </c>
      <c r="C15" s="24"/>
      <c r="D15" s="24" t="n">
        <v>2209.15</v>
      </c>
      <c r="E15" s="25" t="n">
        <v>100396.8</v>
      </c>
      <c r="F15" s="26"/>
      <c r="G15" s="26"/>
      <c r="H15" s="27"/>
      <c r="I15" s="27"/>
      <c r="J15" s="31"/>
      <c r="K15" s="24"/>
      <c r="L15" s="32"/>
      <c r="M15" s="92" t="e">
        <f aca="false">J15/L15</f>
        <v>#DIV/0!</v>
      </c>
      <c r="N15" s="93" t="n">
        <f aca="false">'$'!C62</f>
        <v>3.812</v>
      </c>
      <c r="O15" s="38"/>
      <c r="P15" s="38"/>
      <c r="Q15" s="39"/>
      <c r="R15" s="35" t="n">
        <f aca="false">SUM(C15:E15)/N15</f>
        <v>26916.5661070304</v>
      </c>
      <c r="S15" s="35" t="n">
        <f aca="false">C15/$N15</f>
        <v>0</v>
      </c>
      <c r="T15" s="35" t="n">
        <f aca="false">D15/$N15</f>
        <v>579.52518363064</v>
      </c>
      <c r="U15" s="35" t="n">
        <f aca="false">E15/$N15</f>
        <v>26337.0409233998</v>
      </c>
      <c r="V15" s="36" t="e">
        <f aca="false">C15/N15/J15</f>
        <v>#DIV/0!</v>
      </c>
      <c r="W15" s="94" t="e">
        <f aca="false">D15/N15/J15</f>
        <v>#DIV/0!</v>
      </c>
      <c r="X15" s="36" t="e">
        <f aca="false">E15/N15/J15</f>
        <v>#DIV/0!</v>
      </c>
      <c r="Y15" s="36" t="e">
        <f aca="false">SUM(C15:E15)/N15/J15</f>
        <v>#DIV/0!</v>
      </c>
      <c r="Z15" s="36" t="e">
        <f aca="false">(K15/N15)/J15</f>
        <v>#DIV/0!</v>
      </c>
      <c r="AA15" s="113"/>
      <c r="AB15" s="38"/>
      <c r="AC15" s="38"/>
      <c r="AD15" s="38"/>
      <c r="AE15" s="39"/>
      <c r="AF15" s="114" t="n">
        <f aca="false">AB15/$N15</f>
        <v>0</v>
      </c>
      <c r="AG15" s="114" t="n">
        <f aca="false">AC15/$N15</f>
        <v>0</v>
      </c>
      <c r="AH15" s="114" t="n">
        <f aca="false">AD15/$N15</f>
        <v>0</v>
      </c>
      <c r="AI15" s="114" t="n">
        <f aca="false">AE15/$N15</f>
        <v>0</v>
      </c>
    </row>
    <row r="16" customFormat="false" ht="18.75" hidden="false" customHeight="true" outlineLevel="0" collapsed="false">
      <c r="A16" s="18" t="n">
        <v>2017</v>
      </c>
      <c r="B16" s="18" t="n">
        <v>2</v>
      </c>
      <c r="C16" s="24"/>
      <c r="D16" s="24" t="n">
        <v>1069.36</v>
      </c>
      <c r="E16" s="25" t="n">
        <v>93231.97</v>
      </c>
      <c r="F16" s="26"/>
      <c r="G16" s="26"/>
      <c r="H16" s="27"/>
      <c r="I16" s="27"/>
      <c r="J16" s="31"/>
      <c r="K16" s="24"/>
      <c r="L16" s="32"/>
      <c r="M16" s="92" t="e">
        <f aca="false">J16/L16</f>
        <v>#DIV/0!</v>
      </c>
      <c r="N16" s="93" t="n">
        <f aca="false">'$'!C63</f>
        <v>3.666612</v>
      </c>
      <c r="O16" s="38"/>
      <c r="P16" s="38"/>
      <c r="Q16" s="39"/>
      <c r="R16" s="35" t="n">
        <f aca="false">SUM(C16:E16)/N16</f>
        <v>25718.9279912901</v>
      </c>
      <c r="S16" s="35" t="n">
        <f aca="false">C16/$N16</f>
        <v>0</v>
      </c>
      <c r="T16" s="35" t="n">
        <f aca="false">D16/$N16</f>
        <v>291.647984569952</v>
      </c>
      <c r="U16" s="35" t="n">
        <f aca="false">E16/$N16</f>
        <v>25427.2800067201</v>
      </c>
      <c r="V16" s="36" t="e">
        <f aca="false">C16/N16/J16</f>
        <v>#DIV/0!</v>
      </c>
      <c r="W16" s="94" t="e">
        <f aca="false">D16/N16/J16</f>
        <v>#DIV/0!</v>
      </c>
      <c r="X16" s="36" t="e">
        <f aca="false">E16/N16/J16</f>
        <v>#DIV/0!</v>
      </c>
      <c r="Y16" s="36" t="e">
        <f aca="false">SUM(C16:E16)/N16/J16</f>
        <v>#DIV/0!</v>
      </c>
      <c r="Z16" s="36" t="e">
        <f aca="false">(K16/N16)/J16</f>
        <v>#DIV/0!</v>
      </c>
      <c r="AA16" s="113"/>
      <c r="AB16" s="38"/>
      <c r="AC16" s="38"/>
      <c r="AD16" s="38"/>
      <c r="AE16" s="39"/>
      <c r="AF16" s="114" t="n">
        <f aca="false">AB16/$N16</f>
        <v>0</v>
      </c>
      <c r="AG16" s="114" t="n">
        <f aca="false">AC16/$N16</f>
        <v>0</v>
      </c>
      <c r="AH16" s="114" t="n">
        <f aca="false">AD16/$N16</f>
        <v>0</v>
      </c>
      <c r="AI16" s="114" t="n">
        <f aca="false">AE16/$N16</f>
        <v>0</v>
      </c>
    </row>
    <row r="17" customFormat="false" ht="18.75" hidden="false" customHeight="true" outlineLevel="0" collapsed="false">
      <c r="A17" s="18" t="n">
        <v>2017</v>
      </c>
      <c r="B17" s="18" t="n">
        <v>3</v>
      </c>
      <c r="C17" s="24"/>
      <c r="D17" s="24" t="n">
        <v>2336.08</v>
      </c>
      <c r="E17" s="25" t="n">
        <v>105715.5</v>
      </c>
      <c r="F17" s="26"/>
      <c r="G17" s="26"/>
      <c r="H17" s="27"/>
      <c r="I17" s="27"/>
      <c r="J17" s="31"/>
      <c r="K17" s="24"/>
      <c r="L17" s="32"/>
      <c r="M17" s="92" t="e">
        <f aca="false">J17/L17</f>
        <v>#DIV/0!</v>
      </c>
      <c r="N17" s="93" t="n">
        <f aca="false">'$'!C64</f>
        <v>3.599536</v>
      </c>
      <c r="O17" s="38"/>
      <c r="P17" s="38"/>
      <c r="Q17" s="39"/>
      <c r="R17" s="35" t="n">
        <f aca="false">SUM(C17:E17)/N17</f>
        <v>30018.1967898085</v>
      </c>
      <c r="S17" s="35" t="n">
        <f aca="false">C17/$N17</f>
        <v>0</v>
      </c>
      <c r="T17" s="35" t="n">
        <f aca="false">D17/$N17</f>
        <v>648.994759324535</v>
      </c>
      <c r="U17" s="35" t="n">
        <f aca="false">E17/$N17</f>
        <v>29369.2020304839</v>
      </c>
      <c r="V17" s="36" t="e">
        <f aca="false">C17/N17/J17</f>
        <v>#DIV/0!</v>
      </c>
      <c r="W17" s="94" t="e">
        <f aca="false">D17/N17/J17</f>
        <v>#DIV/0!</v>
      </c>
      <c r="X17" s="36" t="e">
        <f aca="false">E17/N17/J17</f>
        <v>#DIV/0!</v>
      </c>
      <c r="Y17" s="36" t="e">
        <f aca="false">SUM(C17:E17)/N17/J17</f>
        <v>#DIV/0!</v>
      </c>
      <c r="Z17" s="36" t="e">
        <f aca="false">(K17/N17)/J17</f>
        <v>#DIV/0!</v>
      </c>
      <c r="AA17" s="113"/>
      <c r="AB17" s="38"/>
      <c r="AC17" s="38"/>
      <c r="AD17" s="38"/>
      <c r="AE17" s="39"/>
      <c r="AF17" s="114" t="n">
        <f aca="false">AB17/$N17</f>
        <v>0</v>
      </c>
      <c r="AG17" s="114" t="n">
        <f aca="false">AC17/$N17</f>
        <v>0</v>
      </c>
      <c r="AH17" s="114" t="n">
        <f aca="false">AD17/$N17</f>
        <v>0</v>
      </c>
      <c r="AI17" s="114" t="n">
        <f aca="false">AE17/$N17</f>
        <v>0</v>
      </c>
    </row>
    <row r="18" customFormat="false" ht="18.75" hidden="false" customHeight="true" outlineLevel="0" collapsed="false">
      <c r="A18" s="18" t="n">
        <v>2017</v>
      </c>
      <c r="B18" s="18" t="n">
        <v>4</v>
      </c>
      <c r="C18" s="24"/>
      <c r="D18" s="24" t="n">
        <v>2049.39</v>
      </c>
      <c r="E18" s="25" t="n">
        <v>102310.65</v>
      </c>
      <c r="F18" s="26"/>
      <c r="G18" s="26"/>
      <c r="H18" s="27"/>
      <c r="I18" s="27"/>
      <c r="J18" s="31"/>
      <c r="K18" s="24"/>
      <c r="L18" s="32"/>
      <c r="M18" s="92" t="e">
        <f aca="false">J18/L18</f>
        <v>#DIV/0!</v>
      </c>
      <c r="N18" s="93" t="n">
        <f aca="false">'$'!C65</f>
        <v>3.653912</v>
      </c>
      <c r="O18" s="38"/>
      <c r="P18" s="38"/>
      <c r="Q18" s="39"/>
      <c r="R18" s="35" t="n">
        <f aca="false">SUM(C18:E18)/N18</f>
        <v>28561.1804553585</v>
      </c>
      <c r="S18" s="35" t="n">
        <f aca="false">C18/$N18</f>
        <v>0</v>
      </c>
      <c r="T18" s="35" t="n">
        <f aca="false">D18/$N18</f>
        <v>560.87557664224</v>
      </c>
      <c r="U18" s="35" t="n">
        <f aca="false">E18/$N18</f>
        <v>28000.3048787163</v>
      </c>
      <c r="V18" s="36" t="e">
        <f aca="false">C18/N18/J18</f>
        <v>#DIV/0!</v>
      </c>
      <c r="W18" s="94" t="e">
        <f aca="false">D18/N18/J18</f>
        <v>#DIV/0!</v>
      </c>
      <c r="X18" s="36" t="e">
        <f aca="false">E18/N18/J18</f>
        <v>#DIV/0!</v>
      </c>
      <c r="Y18" s="36" t="e">
        <f aca="false">SUM(C18:E18)/N18/J18</f>
        <v>#DIV/0!</v>
      </c>
      <c r="Z18" s="36" t="e">
        <f aca="false">(K18/N18)/J18</f>
        <v>#DIV/0!</v>
      </c>
      <c r="AA18" s="113"/>
      <c r="AB18" s="38"/>
      <c r="AC18" s="38"/>
      <c r="AD18" s="38"/>
      <c r="AE18" s="39"/>
      <c r="AF18" s="114" t="n">
        <f aca="false">AB18/$N18</f>
        <v>0</v>
      </c>
      <c r="AG18" s="114" t="n">
        <f aca="false">AC18/$N18</f>
        <v>0</v>
      </c>
      <c r="AH18" s="114" t="n">
        <f aca="false">AD18/$N18</f>
        <v>0</v>
      </c>
      <c r="AI18" s="114" t="n">
        <f aca="false">AE18/$N18</f>
        <v>0</v>
      </c>
    </row>
    <row r="19" customFormat="false" ht="18.75" hidden="false" customHeight="true" outlineLevel="0" collapsed="false">
      <c r="A19" s="18" t="n">
        <v>2017</v>
      </c>
      <c r="B19" s="18" t="n">
        <v>5</v>
      </c>
      <c r="C19" s="24"/>
      <c r="D19" s="24" t="n">
        <v>1820.87</v>
      </c>
      <c r="E19" s="25" t="n">
        <v>125289.63</v>
      </c>
      <c r="F19" s="26"/>
      <c r="G19" s="26"/>
      <c r="H19" s="27"/>
      <c r="I19" s="27"/>
      <c r="J19" s="31"/>
      <c r="K19" s="24"/>
      <c r="L19" s="32"/>
      <c r="M19" s="92" t="e">
        <f aca="false">J19/L19</f>
        <v>#DIV/0!</v>
      </c>
      <c r="N19" s="93" t="n">
        <f aca="false">'$'!C66</f>
        <v>3.568617</v>
      </c>
      <c r="O19" s="38"/>
      <c r="P19" s="38"/>
      <c r="Q19" s="39"/>
      <c r="R19" s="35" t="n">
        <f aca="false">SUM(C19:E19)/N19</f>
        <v>35618.9806863555</v>
      </c>
      <c r="S19" s="35" t="n">
        <f aca="false">C19/$N19</f>
        <v>0</v>
      </c>
      <c r="T19" s="35" t="n">
        <f aca="false">D19/$N19</f>
        <v>510.245285498556</v>
      </c>
      <c r="U19" s="35" t="n">
        <f aca="false">E19/$N19</f>
        <v>35108.735400857</v>
      </c>
      <c r="V19" s="36" t="e">
        <f aca="false">C19/N19/J19</f>
        <v>#DIV/0!</v>
      </c>
      <c r="W19" s="94" t="e">
        <f aca="false">D19/N19/J19</f>
        <v>#DIV/0!</v>
      </c>
      <c r="X19" s="36" t="e">
        <f aca="false">E19/N19/J19</f>
        <v>#DIV/0!</v>
      </c>
      <c r="Y19" s="36" t="e">
        <f aca="false">SUM(C19:E19)/N19/J19</f>
        <v>#DIV/0!</v>
      </c>
      <c r="Z19" s="36" t="e">
        <f aca="false">(K19/N19)/J19</f>
        <v>#DIV/0!</v>
      </c>
      <c r="AA19" s="113"/>
      <c r="AB19" s="38"/>
      <c r="AC19" s="38"/>
      <c r="AD19" s="38"/>
      <c r="AE19" s="39"/>
      <c r="AF19" s="114" t="n">
        <f aca="false">AB19/$N19</f>
        <v>0</v>
      </c>
      <c r="AG19" s="114" t="n">
        <f aca="false">AC19/$N19</f>
        <v>0</v>
      </c>
      <c r="AH19" s="114" t="n">
        <f aca="false">AD19/$N19</f>
        <v>0</v>
      </c>
      <c r="AI19" s="114" t="n">
        <f aca="false">AE19/$N19</f>
        <v>0</v>
      </c>
    </row>
    <row r="20" customFormat="false" ht="18.75" hidden="false" customHeight="true" outlineLevel="0" collapsed="false">
      <c r="A20" s="18" t="n">
        <v>2017</v>
      </c>
      <c r="B20" s="18" t="n">
        <v>6</v>
      </c>
      <c r="C20" s="24"/>
      <c r="D20" s="24" t="n">
        <v>1694.92</v>
      </c>
      <c r="E20" s="25" t="n">
        <v>126766.08</v>
      </c>
      <c r="F20" s="26"/>
      <c r="G20" s="26"/>
      <c r="H20" s="27"/>
      <c r="I20" s="27"/>
      <c r="J20" s="31"/>
      <c r="K20" s="24"/>
      <c r="L20" s="32"/>
      <c r="M20" s="92" t="e">
        <f aca="false">J20/L20</f>
        <v>#DIV/0!</v>
      </c>
      <c r="N20" s="93" t="n">
        <f aca="false">'$'!C67</f>
        <v>3.519175</v>
      </c>
      <c r="O20" s="38"/>
      <c r="P20" s="38"/>
      <c r="Q20" s="39"/>
      <c r="R20" s="35" t="n">
        <f aca="false">SUM(C20:E20)/N20</f>
        <v>36503.1577003133</v>
      </c>
      <c r="S20" s="35" t="n">
        <f aca="false">C20/$N20</f>
        <v>0</v>
      </c>
      <c r="T20" s="35" t="n">
        <f aca="false">D20/$N20</f>
        <v>481.624244318626</v>
      </c>
      <c r="U20" s="35" t="n">
        <f aca="false">E20/$N20</f>
        <v>36021.5334559947</v>
      </c>
      <c r="V20" s="36" t="e">
        <f aca="false">C20/N20/J20</f>
        <v>#DIV/0!</v>
      </c>
      <c r="W20" s="94" t="e">
        <f aca="false">D20/N20/J20</f>
        <v>#DIV/0!</v>
      </c>
      <c r="X20" s="36" t="e">
        <f aca="false">E20/N20/J20</f>
        <v>#DIV/0!</v>
      </c>
      <c r="Y20" s="36" t="e">
        <f aca="false">SUM(C20:E20)/N20/J20</f>
        <v>#DIV/0!</v>
      </c>
      <c r="Z20" s="36" t="e">
        <f aca="false">(K20/N20)/J20</f>
        <v>#DIV/0!</v>
      </c>
      <c r="AA20" s="113"/>
      <c r="AB20" s="38"/>
      <c r="AC20" s="38"/>
      <c r="AD20" s="38"/>
      <c r="AE20" s="39"/>
      <c r="AF20" s="114" t="n">
        <f aca="false">AB20/$N20</f>
        <v>0</v>
      </c>
      <c r="AG20" s="114" t="n">
        <f aca="false">AC20/$N20</f>
        <v>0</v>
      </c>
      <c r="AH20" s="114" t="n">
        <f aca="false">AD20/$N20</f>
        <v>0</v>
      </c>
      <c r="AI20" s="114" t="n">
        <f aca="false">AE20/$N20</f>
        <v>0</v>
      </c>
    </row>
    <row r="21" customFormat="false" ht="18.75" hidden="false" customHeight="true" outlineLevel="0" collapsed="false">
      <c r="A21" s="18" t="n">
        <v>2017</v>
      </c>
      <c r="B21" s="18" t="n">
        <v>7</v>
      </c>
      <c r="C21" s="24"/>
      <c r="D21" s="24" t="n">
        <v>1699.35</v>
      </c>
      <c r="E21" s="25" t="n">
        <v>128466.95</v>
      </c>
      <c r="F21" s="26"/>
      <c r="G21" s="26"/>
      <c r="H21" s="27"/>
      <c r="I21" s="27"/>
      <c r="J21" s="31"/>
      <c r="K21" s="24"/>
      <c r="L21" s="32"/>
      <c r="M21" s="92" t="e">
        <f aca="false">J21/L21</f>
        <v>#DIV/0!</v>
      </c>
      <c r="N21" s="93" t="n">
        <f aca="false">'$'!C68</f>
        <v>3.556397</v>
      </c>
      <c r="O21" s="38"/>
      <c r="P21" s="38"/>
      <c r="Q21" s="39"/>
      <c r="R21" s="35" t="n">
        <f aca="false">SUM(C21:E21)/N21</f>
        <v>36600.6101118632</v>
      </c>
      <c r="S21" s="35" t="n">
        <f aca="false">C21/$N21</f>
        <v>0</v>
      </c>
      <c r="T21" s="35" t="n">
        <f aca="false">D21/$N21</f>
        <v>477.829106255573</v>
      </c>
      <c r="U21" s="35" t="n">
        <f aca="false">E21/$N21</f>
        <v>36122.7810056076</v>
      </c>
      <c r="V21" s="36" t="e">
        <f aca="false">C21/N21/J21</f>
        <v>#DIV/0!</v>
      </c>
      <c r="W21" s="94" t="e">
        <f aca="false">D21/N21/J21</f>
        <v>#DIV/0!</v>
      </c>
      <c r="X21" s="36" t="e">
        <f aca="false">E21/N21/J21</f>
        <v>#DIV/0!</v>
      </c>
      <c r="Y21" s="36" t="e">
        <f aca="false">SUM(C21:E21)/N21/J21</f>
        <v>#DIV/0!</v>
      </c>
      <c r="Z21" s="36" t="e">
        <f aca="false">(K21/N21)/J21</f>
        <v>#DIV/0!</v>
      </c>
      <c r="AA21" s="113"/>
      <c r="AB21" s="38"/>
      <c r="AC21" s="38"/>
      <c r="AD21" s="38"/>
      <c r="AE21" s="39"/>
      <c r="AF21" s="114" t="n">
        <f aca="false">AB21/$N21</f>
        <v>0</v>
      </c>
      <c r="AG21" s="114" t="n">
        <f aca="false">AC21/$N21</f>
        <v>0</v>
      </c>
      <c r="AH21" s="114" t="n">
        <f aca="false">AD21/$N21</f>
        <v>0</v>
      </c>
      <c r="AI21" s="114" t="n">
        <f aca="false">AE21/$N21</f>
        <v>0</v>
      </c>
    </row>
    <row r="22" customFormat="false" ht="18.75" hidden="false" customHeight="true" outlineLevel="0" collapsed="false">
      <c r="A22" s="18" t="n">
        <v>2017</v>
      </c>
      <c r="B22" s="18" t="n">
        <v>8</v>
      </c>
      <c r="C22" s="24"/>
      <c r="D22" s="24" t="n">
        <v>1131.37</v>
      </c>
      <c r="E22" s="25" t="n">
        <v>115409.69</v>
      </c>
      <c r="F22" s="26"/>
      <c r="G22" s="26"/>
      <c r="H22" s="27"/>
      <c r="I22" s="27"/>
      <c r="J22" s="31"/>
      <c r="K22" s="24"/>
      <c r="L22" s="32"/>
      <c r="M22" s="92" t="e">
        <f aca="false">J22/L22</f>
        <v>#DIV/0!</v>
      </c>
      <c r="N22" s="93" t="n">
        <f aca="false">'$'!C69</f>
        <v>3.50946</v>
      </c>
      <c r="O22" s="38"/>
      <c r="P22" s="38"/>
      <c r="Q22" s="39"/>
      <c r="R22" s="35" t="n">
        <f aca="false">SUM(C22:E22)/N22</f>
        <v>33207.6900719769</v>
      </c>
      <c r="S22" s="35" t="n">
        <f aca="false">C22/$N22</f>
        <v>0</v>
      </c>
      <c r="T22" s="35" t="n">
        <f aca="false">D22/$N22</f>
        <v>322.377231824839</v>
      </c>
      <c r="U22" s="35" t="n">
        <f aca="false">E22/$N22</f>
        <v>32885.312840152</v>
      </c>
      <c r="V22" s="36" t="e">
        <f aca="false">C22/N22/J22</f>
        <v>#DIV/0!</v>
      </c>
      <c r="W22" s="94" t="e">
        <f aca="false">D22/N22/J22</f>
        <v>#DIV/0!</v>
      </c>
      <c r="X22" s="36" t="e">
        <f aca="false">E22/N22/J22</f>
        <v>#DIV/0!</v>
      </c>
      <c r="Y22" s="36" t="e">
        <f aca="false">SUM(C22:E22)/N22/J22</f>
        <v>#DIV/0!</v>
      </c>
      <c r="Z22" s="36" t="e">
        <f aca="false">(K22/N22)/J22</f>
        <v>#DIV/0!</v>
      </c>
      <c r="AA22" s="113"/>
      <c r="AB22" s="38"/>
      <c r="AC22" s="38"/>
      <c r="AD22" s="38"/>
      <c r="AE22" s="39"/>
      <c r="AF22" s="114" t="n">
        <f aca="false">AB22/$N22</f>
        <v>0</v>
      </c>
      <c r="AG22" s="114" t="n">
        <f aca="false">AC22/$N22</f>
        <v>0</v>
      </c>
      <c r="AH22" s="114" t="n">
        <f aca="false">AD22/$N22</f>
        <v>0</v>
      </c>
      <c r="AI22" s="114" t="n">
        <f aca="false">AE22/$N22</f>
        <v>0</v>
      </c>
    </row>
    <row r="23" customFormat="false" ht="18.75" hidden="false" customHeight="true" outlineLevel="0" collapsed="false">
      <c r="A23" s="18" t="n">
        <v>2017</v>
      </c>
      <c r="B23" s="18" t="n">
        <v>9</v>
      </c>
      <c r="C23" s="24"/>
      <c r="D23" s="24" t="n">
        <v>1503.14</v>
      </c>
      <c r="E23" s="25" t="n">
        <v>105515.68</v>
      </c>
      <c r="F23" s="26"/>
      <c r="G23" s="26"/>
      <c r="H23" s="27"/>
      <c r="I23" s="27"/>
      <c r="J23" s="31"/>
      <c r="K23" s="24"/>
      <c r="L23" s="32"/>
      <c r="M23" s="92" t="e">
        <f aca="false">J23/L23</f>
        <v>#DIV/0!</v>
      </c>
      <c r="N23" s="93" t="n">
        <f aca="false">'$'!C70</f>
        <v>3.467228</v>
      </c>
      <c r="O23" s="38"/>
      <c r="P23" s="38"/>
      <c r="Q23" s="39"/>
      <c r="R23" s="35" t="n">
        <f aca="false">SUM(C23:E23)/N23</f>
        <v>30865.815573709</v>
      </c>
      <c r="S23" s="35" t="n">
        <f aca="false">C23/$N23</f>
        <v>0</v>
      </c>
      <c r="T23" s="35" t="n">
        <f aca="false">D23/$N23</f>
        <v>433.527878755017</v>
      </c>
      <c r="U23" s="35" t="n">
        <f aca="false">E23/$N23</f>
        <v>30432.287694954</v>
      </c>
      <c r="V23" s="36" t="e">
        <f aca="false">C23/N23/J23</f>
        <v>#DIV/0!</v>
      </c>
      <c r="W23" s="94" t="e">
        <f aca="false">D23/N23/J23</f>
        <v>#DIV/0!</v>
      </c>
      <c r="X23" s="36" t="e">
        <f aca="false">E23/N23/J23</f>
        <v>#DIV/0!</v>
      </c>
      <c r="Y23" s="36" t="e">
        <f aca="false">SUM(C23:E23)/N23/J23</f>
        <v>#DIV/0!</v>
      </c>
      <c r="Z23" s="36" t="e">
        <f aca="false">(K23/N23)/J23</f>
        <v>#DIV/0!</v>
      </c>
      <c r="AA23" s="113"/>
      <c r="AB23" s="38"/>
      <c r="AC23" s="38"/>
      <c r="AD23" s="38"/>
      <c r="AE23" s="39"/>
      <c r="AF23" s="114" t="n">
        <f aca="false">AB23/$N23</f>
        <v>0</v>
      </c>
      <c r="AG23" s="114" t="n">
        <f aca="false">AC23/$N23</f>
        <v>0</v>
      </c>
      <c r="AH23" s="114" t="n">
        <f aca="false">AD23/$N23</f>
        <v>0</v>
      </c>
      <c r="AI23" s="114" t="n">
        <f aca="false">AE23/$N23</f>
        <v>0</v>
      </c>
    </row>
    <row r="24" customFormat="false" ht="18.75" hidden="false" customHeight="true" outlineLevel="0" collapsed="false">
      <c r="A24" s="18" t="n">
        <v>2017</v>
      </c>
      <c r="B24" s="18" t="n">
        <v>10</v>
      </c>
      <c r="C24" s="24"/>
      <c r="D24" s="24" t="n">
        <v>1507.66</v>
      </c>
      <c r="E24" s="25" t="n">
        <v>128032.38</v>
      </c>
      <c r="F24" s="26"/>
      <c r="G24" s="26"/>
      <c r="H24" s="27"/>
      <c r="I24" s="27"/>
      <c r="J24" s="31"/>
      <c r="K24" s="24"/>
      <c r="L24" s="32"/>
      <c r="M24" s="92" t="e">
        <f aca="false">J24/L24</f>
        <v>#DIV/0!</v>
      </c>
      <c r="N24" s="93" t="n">
        <f aca="false">'$'!C71</f>
        <v>3.672914</v>
      </c>
      <c r="O24" s="38"/>
      <c r="P24" s="38"/>
      <c r="Q24" s="39"/>
      <c r="R24" s="35" t="n">
        <f aca="false">SUM(C24:E24)/N24</f>
        <v>35269.0098379652</v>
      </c>
      <c r="S24" s="35" t="n">
        <f aca="false">C24/$N24</f>
        <v>0</v>
      </c>
      <c r="T24" s="35" t="n">
        <f aca="false">D24/$N24</f>
        <v>410.480615663748</v>
      </c>
      <c r="U24" s="35" t="n">
        <f aca="false">E24/$N24</f>
        <v>34858.5292223014</v>
      </c>
      <c r="V24" s="36" t="e">
        <f aca="false">C24/N24/J24</f>
        <v>#DIV/0!</v>
      </c>
      <c r="W24" s="94" t="e">
        <f aca="false">D24/N24/J24</f>
        <v>#DIV/0!</v>
      </c>
      <c r="X24" s="36" t="e">
        <f aca="false">E24/N24/J24</f>
        <v>#DIV/0!</v>
      </c>
      <c r="Y24" s="36" t="e">
        <f aca="false">SUM(C24:E24)/N24/J24</f>
        <v>#DIV/0!</v>
      </c>
      <c r="Z24" s="36" t="e">
        <f aca="false">(K24/N24)/J24</f>
        <v>#DIV/0!</v>
      </c>
      <c r="AA24" s="113"/>
      <c r="AB24" s="38"/>
      <c r="AC24" s="38"/>
      <c r="AD24" s="38"/>
      <c r="AE24" s="39"/>
      <c r="AF24" s="114" t="n">
        <f aca="false">AB24/$N24</f>
        <v>0</v>
      </c>
      <c r="AG24" s="114" t="n">
        <f aca="false">AC24/$N24</f>
        <v>0</v>
      </c>
      <c r="AH24" s="114" t="n">
        <f aca="false">AD24/$N24</f>
        <v>0</v>
      </c>
      <c r="AI24" s="114" t="n">
        <f aca="false">AE24/$N24</f>
        <v>0</v>
      </c>
    </row>
    <row r="25" customFormat="false" ht="18.75" hidden="false" customHeight="true" outlineLevel="0" collapsed="false">
      <c r="A25" s="18" t="n">
        <v>2017</v>
      </c>
      <c r="B25" s="18" t="n">
        <v>11</v>
      </c>
      <c r="C25" s="24"/>
      <c r="D25" s="24" t="n">
        <f aca="false">1519.8+75.79</f>
        <v>1595.59</v>
      </c>
      <c r="E25" s="25" t="n">
        <v>129675.17</v>
      </c>
      <c r="F25" s="26"/>
      <c r="G25" s="26"/>
      <c r="H25" s="27"/>
      <c r="I25" s="27"/>
      <c r="J25" s="31" t="n">
        <v>388501</v>
      </c>
      <c r="K25" s="24" t="n">
        <v>209222</v>
      </c>
      <c r="L25" s="32" t="n">
        <v>70</v>
      </c>
      <c r="M25" s="92" t="n">
        <f aca="false">J25/L25</f>
        <v>5550.01428571429</v>
      </c>
      <c r="N25" s="93" t="n">
        <f aca="false">'$'!C72</f>
        <v>3.889185</v>
      </c>
      <c r="O25" s="38"/>
      <c r="P25" s="38"/>
      <c r="Q25" s="39"/>
      <c r="R25" s="35" t="n">
        <f aca="false">SUM(C25:E25)/N25</f>
        <v>33752.768253503</v>
      </c>
      <c r="S25" s="35" t="n">
        <f aca="false">C25/$N25</f>
        <v>0</v>
      </c>
      <c r="T25" s="35" t="n">
        <f aca="false">D25/$N25</f>
        <v>410.263332806231</v>
      </c>
      <c r="U25" s="35" t="n">
        <f aca="false">E25/$N25</f>
        <v>33342.5049206968</v>
      </c>
      <c r="V25" s="36" t="n">
        <f aca="false">C25/N25/J25</f>
        <v>0</v>
      </c>
      <c r="W25" s="94" t="n">
        <f aca="false">D25/N25/J25</f>
        <v>0.00105601615647381</v>
      </c>
      <c r="X25" s="36" t="n">
        <f aca="false">E25/N25/J25</f>
        <v>0.0858234725797276</v>
      </c>
      <c r="Y25" s="36" t="n">
        <f aca="false">SUM(C25:E25)/N25/J25</f>
        <v>0.0868794887362014</v>
      </c>
      <c r="Z25" s="36" t="n">
        <f aca="false">(K25/N25)/J25</f>
        <v>0.138470291421833</v>
      </c>
      <c r="AA25" s="113"/>
      <c r="AB25" s="38"/>
      <c r="AC25" s="38"/>
      <c r="AD25" s="38"/>
      <c r="AE25" s="39"/>
      <c r="AF25" s="114" t="n">
        <f aca="false">AB25/$N25</f>
        <v>0</v>
      </c>
      <c r="AG25" s="114" t="n">
        <f aca="false">AC25/$N25</f>
        <v>0</v>
      </c>
      <c r="AH25" s="114" t="n">
        <f aca="false">AD25/$N25</f>
        <v>0</v>
      </c>
      <c r="AI25" s="114" t="n">
        <f aca="false">AE25/$N25</f>
        <v>0</v>
      </c>
    </row>
    <row r="26" customFormat="false" ht="18.75" hidden="false" customHeight="true" outlineLevel="0" collapsed="false">
      <c r="A26" s="18" t="n">
        <v>2017</v>
      </c>
      <c r="B26" s="18" t="n">
        <v>12</v>
      </c>
      <c r="C26" s="24"/>
      <c r="D26" s="24" t="n">
        <f aca="false">1654.41+84.4</f>
        <v>1738.81</v>
      </c>
      <c r="E26" s="25" t="n">
        <v>132382.95</v>
      </c>
      <c r="F26" s="26"/>
      <c r="G26" s="26"/>
      <c r="H26" s="27"/>
      <c r="I26" s="27"/>
      <c r="J26" s="31" t="n">
        <v>392163</v>
      </c>
      <c r="K26" s="24" t="n">
        <v>212902</v>
      </c>
      <c r="L26" s="32" t="n">
        <v>71</v>
      </c>
      <c r="M26" s="92" t="n">
        <f aca="false">J26/L26</f>
        <v>5523.42253521127</v>
      </c>
      <c r="N26" s="93" t="n">
        <f aca="false">'$'!C73</f>
        <v>3.843316</v>
      </c>
      <c r="O26" s="38"/>
      <c r="P26" s="38"/>
      <c r="Q26" s="39"/>
      <c r="R26" s="35" t="n">
        <f aca="false">SUM(C26:E26)/N26</f>
        <v>34897.4063022661</v>
      </c>
      <c r="S26" s="35" t="n">
        <f aca="false">C26/$N26</f>
        <v>0</v>
      </c>
      <c r="T26" s="35" t="n">
        <f aca="false">D26/$N26</f>
        <v>452.424416831715</v>
      </c>
      <c r="U26" s="35" t="n">
        <f aca="false">E26/$N26</f>
        <v>34444.9818854344</v>
      </c>
      <c r="V26" s="36" t="n">
        <f aca="false">C26/N26/J26</f>
        <v>0</v>
      </c>
      <c r="W26" s="94" t="n">
        <f aca="false">D26/N26/J26</f>
        <v>0.00115366420807602</v>
      </c>
      <c r="X26" s="36" t="n">
        <f aca="false">E26/N26/J26</f>
        <v>0.0878333292162554</v>
      </c>
      <c r="Y26" s="36" t="n">
        <f aca="false">SUM(C26:E26)/N26/J26</f>
        <v>0.0889869934243314</v>
      </c>
      <c r="Z26" s="36" t="n">
        <f aca="false">(K26/N26)/J26</f>
        <v>0.1412560413316</v>
      </c>
      <c r="AA26" s="113"/>
      <c r="AB26" s="38"/>
      <c r="AC26" s="38"/>
      <c r="AD26" s="38"/>
      <c r="AE26" s="39"/>
      <c r="AF26" s="114" t="n">
        <f aca="false">AB26/$N26</f>
        <v>0</v>
      </c>
      <c r="AG26" s="114" t="n">
        <f aca="false">AC26/$N26</f>
        <v>0</v>
      </c>
      <c r="AH26" s="114" t="n">
        <f aca="false">AD26/$N26</f>
        <v>0</v>
      </c>
      <c r="AI26" s="114" t="n">
        <f aca="false">AE26/$N26</f>
        <v>0</v>
      </c>
    </row>
    <row r="27" customFormat="false" ht="18.75" hidden="false" customHeight="true" outlineLevel="0" collapsed="false">
      <c r="A27" s="18" t="n">
        <v>2018</v>
      </c>
      <c r="B27" s="18" t="n">
        <v>1</v>
      </c>
      <c r="C27" s="24"/>
      <c r="D27" s="24" t="n">
        <f aca="false">1627.09+122.05</f>
        <v>1749.14</v>
      </c>
      <c r="E27" s="25" t="n">
        <v>114543.66</v>
      </c>
      <c r="F27" s="26"/>
      <c r="G27" s="26"/>
      <c r="H27" s="27"/>
      <c r="I27" s="27"/>
      <c r="J27" s="31" t="n">
        <v>334164</v>
      </c>
      <c r="K27" s="24" t="n">
        <v>229463</v>
      </c>
      <c r="L27" s="32" t="n">
        <v>71</v>
      </c>
      <c r="M27" s="92" t="n">
        <f aca="false">J27/L27</f>
        <v>4706.53521126761</v>
      </c>
      <c r="N27" s="93" t="n">
        <f aca="false">'$'!C74</f>
        <v>3.772753</v>
      </c>
      <c r="O27" s="38"/>
      <c r="P27" s="38"/>
      <c r="Q27" s="39"/>
      <c r="R27" s="35" t="n">
        <f aca="false">SUM(C27:E27)/N27</f>
        <v>30824.3873903221</v>
      </c>
      <c r="S27" s="35" t="n">
        <f aca="false">C27/$N27</f>
        <v>0</v>
      </c>
      <c r="T27" s="35" t="n">
        <f aca="false">D27/$N27</f>
        <v>463.624308296886</v>
      </c>
      <c r="U27" s="35" t="n">
        <f aca="false">E27/$N27</f>
        <v>30360.7630820252</v>
      </c>
      <c r="V27" s="36" t="n">
        <f aca="false">C27/N27/J27</f>
        <v>0</v>
      </c>
      <c r="W27" s="94" t="n">
        <f aca="false">D27/N27/J27</f>
        <v>0.00138741548550079</v>
      </c>
      <c r="X27" s="36" t="n">
        <f aca="false">E27/N27/J27</f>
        <v>0.0908558764020818</v>
      </c>
      <c r="Y27" s="36" t="n">
        <f aca="false">SUM(C27:E27)/N27/J27</f>
        <v>0.0922432918875825</v>
      </c>
      <c r="Z27" s="36" t="n">
        <f aca="false">(K27/N27)/J27</f>
        <v>0.182009741672746</v>
      </c>
      <c r="AA27" s="113"/>
      <c r="AB27" s="38"/>
      <c r="AC27" s="38"/>
      <c r="AD27" s="38"/>
      <c r="AE27" s="39"/>
      <c r="AF27" s="114" t="n">
        <f aca="false">AB27/$N27</f>
        <v>0</v>
      </c>
      <c r="AG27" s="114" t="n">
        <f aca="false">AC27/$N27</f>
        <v>0</v>
      </c>
      <c r="AH27" s="114" t="n">
        <f aca="false">AD27/$N27</f>
        <v>0</v>
      </c>
      <c r="AI27" s="114" t="n">
        <f aca="false">AE27/$N27</f>
        <v>0</v>
      </c>
    </row>
    <row r="28" customFormat="false" ht="18.75" hidden="false" customHeight="true" outlineLevel="0" collapsed="false">
      <c r="A28" s="18" t="n">
        <v>2018</v>
      </c>
      <c r="B28" s="18" t="n">
        <v>2</v>
      </c>
      <c r="C28" s="24"/>
      <c r="D28" s="24" t="n">
        <f aca="false">108.43+1551.9</f>
        <v>1660.33</v>
      </c>
      <c r="E28" s="25" t="n">
        <v>129766.44</v>
      </c>
      <c r="F28" s="26"/>
      <c r="G28" s="26"/>
      <c r="H28" s="27"/>
      <c r="I28" s="27"/>
      <c r="J28" s="31" t="n">
        <v>353761</v>
      </c>
      <c r="K28" s="24" t="n">
        <v>230998</v>
      </c>
      <c r="L28" s="32" t="n">
        <v>71</v>
      </c>
      <c r="M28" s="92" t="n">
        <f aca="false">J28/L28</f>
        <v>4982.54929577465</v>
      </c>
      <c r="N28" s="93" t="n">
        <f aca="false">'$'!C75</f>
        <v>3.78455</v>
      </c>
      <c r="O28" s="38"/>
      <c r="P28" s="38"/>
      <c r="Q28" s="39"/>
      <c r="R28" s="35" t="n">
        <f aca="false">SUM(C28:E28)/N28</f>
        <v>34727.1855306443</v>
      </c>
      <c r="S28" s="35" t="n">
        <f aca="false">C28/$N28</f>
        <v>0</v>
      </c>
      <c r="T28" s="35" t="n">
        <f aca="false">D28/$N28</f>
        <v>438.712660686211</v>
      </c>
      <c r="U28" s="35" t="n">
        <f aca="false">E28/$N28</f>
        <v>34288.4728699581</v>
      </c>
      <c r="V28" s="36" t="n">
        <f aca="false">C28/N28/J28</f>
        <v>0</v>
      </c>
      <c r="W28" s="94" t="n">
        <f aca="false">D28/N28/J28</f>
        <v>0.00124013857006909</v>
      </c>
      <c r="X28" s="36" t="n">
        <f aca="false">E28/N28/J28</f>
        <v>0.0969255312766476</v>
      </c>
      <c r="Y28" s="36" t="n">
        <f aca="false">SUM(C28:E28)/N28/J28</f>
        <v>0.0981656698467166</v>
      </c>
      <c r="Z28" s="36" t="n">
        <f aca="false">(K28/N28)/J28</f>
        <v>0.172537706003517</v>
      </c>
      <c r="AA28" s="113"/>
      <c r="AB28" s="38"/>
      <c r="AC28" s="38"/>
      <c r="AD28" s="38"/>
      <c r="AE28" s="39"/>
      <c r="AF28" s="114" t="n">
        <f aca="false">AB28/$N28</f>
        <v>0</v>
      </c>
      <c r="AG28" s="114" t="n">
        <f aca="false">AC28/$N28</f>
        <v>0</v>
      </c>
      <c r="AH28" s="114" t="n">
        <f aca="false">AD28/$N28</f>
        <v>0</v>
      </c>
      <c r="AI28" s="114" t="n">
        <f aca="false">AE28/$N28</f>
        <v>0</v>
      </c>
    </row>
    <row r="29" customFormat="false" ht="18.75" hidden="false" customHeight="true" outlineLevel="0" collapsed="false">
      <c r="A29" s="18" t="n">
        <v>2018</v>
      </c>
      <c r="B29" s="18" t="n">
        <v>3</v>
      </c>
      <c r="C29" s="24"/>
      <c r="D29" s="24" t="n">
        <f aca="false">1735.94+14.6</f>
        <v>1750.54</v>
      </c>
      <c r="E29" s="25" t="n">
        <v>145209.74</v>
      </c>
      <c r="F29" s="26"/>
      <c r="G29" s="26"/>
      <c r="H29" s="27"/>
      <c r="I29" s="27"/>
      <c r="J29" s="31" t="n">
        <v>369125</v>
      </c>
      <c r="K29" s="24" t="n">
        <v>260002</v>
      </c>
      <c r="L29" s="32" t="n">
        <v>79</v>
      </c>
      <c r="M29" s="92" t="n">
        <f aca="false">J29/L29</f>
        <v>4672.46835443038</v>
      </c>
      <c r="N29" s="93" t="n">
        <f aca="false">'$'!C76</f>
        <v>3.889189</v>
      </c>
      <c r="O29" s="38"/>
      <c r="P29" s="38"/>
      <c r="Q29" s="39"/>
      <c r="R29" s="35" t="n">
        <f aca="false">SUM(C29:E29)/N29</f>
        <v>37786.8702189582</v>
      </c>
      <c r="S29" s="35" t="n">
        <f aca="false">C29/$N29</f>
        <v>0</v>
      </c>
      <c r="T29" s="35" t="n">
        <f aca="false">D29/$N29</f>
        <v>450.104121964759</v>
      </c>
      <c r="U29" s="35" t="n">
        <f aca="false">E29/$N29</f>
        <v>37336.7660969935</v>
      </c>
      <c r="V29" s="36" t="n">
        <f aca="false">C29/N29/J29</f>
        <v>0</v>
      </c>
      <c r="W29" s="94" t="n">
        <f aca="false">D29/N29/J29</f>
        <v>0.00121938129892248</v>
      </c>
      <c r="X29" s="36" t="n">
        <f aca="false">E29/N29/J29</f>
        <v>0.101149383263105</v>
      </c>
      <c r="Y29" s="36" t="n">
        <f aca="false">SUM(C29:E29)/N29/J29</f>
        <v>0.102368764562027</v>
      </c>
      <c r="Z29" s="36" t="n">
        <f aca="false">(K29/N29)/J29</f>
        <v>0.181110729536281</v>
      </c>
      <c r="AA29" s="113"/>
      <c r="AB29" s="38"/>
      <c r="AC29" s="38"/>
      <c r="AD29" s="38"/>
      <c r="AE29" s="39"/>
      <c r="AF29" s="114" t="n">
        <f aca="false">AB29/$N29</f>
        <v>0</v>
      </c>
      <c r="AG29" s="114" t="n">
        <f aca="false">AC29/$N29</f>
        <v>0</v>
      </c>
      <c r="AH29" s="114" t="n">
        <f aca="false">AD29/$N29</f>
        <v>0</v>
      </c>
      <c r="AI29" s="114" t="n">
        <f aca="false">AE29/$N29</f>
        <v>0</v>
      </c>
    </row>
    <row r="30" customFormat="false" ht="18.75" hidden="false" customHeight="true" outlineLevel="0" collapsed="false">
      <c r="A30" s="18" t="n">
        <v>2018</v>
      </c>
      <c r="B30" s="18" t="n">
        <v>4</v>
      </c>
      <c r="C30" s="24"/>
      <c r="D30" s="24" t="n">
        <f aca="false">7.35+1801.5</f>
        <v>1808.85</v>
      </c>
      <c r="E30" s="25" t="n">
        <v>175754.34</v>
      </c>
      <c r="F30" s="26"/>
      <c r="G30" s="26"/>
      <c r="H30" s="27"/>
      <c r="I30" s="27"/>
      <c r="J30" s="31" t="n">
        <v>420916</v>
      </c>
      <c r="K30" s="24" t="n">
        <v>254592</v>
      </c>
      <c r="L30" s="32" t="n">
        <v>76</v>
      </c>
      <c r="M30" s="92" t="n">
        <f aca="false">J30/L30</f>
        <v>5538.36842105263</v>
      </c>
      <c r="N30" s="93" t="n">
        <f aca="false">'$'!C77</f>
        <v>4.060187</v>
      </c>
      <c r="O30" s="38"/>
      <c r="P30" s="38"/>
      <c r="Q30" s="39"/>
      <c r="R30" s="35" t="n">
        <f aca="false">SUM(C30:E30)/N30</f>
        <v>43732.7615698489</v>
      </c>
      <c r="S30" s="35" t="n">
        <f aca="false">C30/$N30</f>
        <v>0</v>
      </c>
      <c r="T30" s="35" t="n">
        <f aca="false">D30/$N30</f>
        <v>445.509036899039</v>
      </c>
      <c r="U30" s="35" t="n">
        <f aca="false">E30/$N30</f>
        <v>43287.2525329498</v>
      </c>
      <c r="V30" s="36" t="n">
        <f aca="false">C30/N30/J30</f>
        <v>0</v>
      </c>
      <c r="W30" s="94" t="n">
        <f aca="false">D30/N30/J30</f>
        <v>0.00105842742233377</v>
      </c>
      <c r="X30" s="36" t="n">
        <f aca="false">E30/N30/J30</f>
        <v>0.102840596539333</v>
      </c>
      <c r="Y30" s="36" t="n">
        <f aca="false">SUM(C30:E30)/N30/J30</f>
        <v>0.103899023961667</v>
      </c>
      <c r="Z30" s="36" t="n">
        <f aca="false">(K30/N30)/J30</f>
        <v>0.148971531252894</v>
      </c>
      <c r="AA30" s="113"/>
      <c r="AB30" s="38"/>
      <c r="AC30" s="38"/>
      <c r="AD30" s="38"/>
      <c r="AE30" s="39"/>
      <c r="AF30" s="114" t="n">
        <f aca="false">AB30/$N30</f>
        <v>0</v>
      </c>
      <c r="AG30" s="114" t="n">
        <f aca="false">AC30/$N30</f>
        <v>0</v>
      </c>
      <c r="AH30" s="114" t="n">
        <f aca="false">AD30/$N30</f>
        <v>0</v>
      </c>
      <c r="AI30" s="114" t="n">
        <f aca="false">AE30/$N30</f>
        <v>0</v>
      </c>
    </row>
    <row r="31" customFormat="false" ht="18.75" hidden="false" customHeight="true" outlineLevel="0" collapsed="false">
      <c r="A31" s="18" t="n">
        <v>2018</v>
      </c>
      <c r="B31" s="18" t="n">
        <v>5</v>
      </c>
      <c r="C31" s="24"/>
      <c r="D31" s="24" t="n">
        <f aca="false">96.57+1721.22</f>
        <v>1817.79</v>
      </c>
      <c r="E31" s="25" t="n">
        <v>189182.96</v>
      </c>
      <c r="F31" s="26"/>
      <c r="G31" s="26"/>
      <c r="H31" s="27"/>
      <c r="I31" s="27"/>
      <c r="J31" s="31" t="n">
        <v>397542</v>
      </c>
      <c r="K31" s="24" t="n">
        <v>278100</v>
      </c>
      <c r="L31" s="32" t="n">
        <v>78</v>
      </c>
      <c r="M31" s="92" t="n">
        <f aca="false">J31/L31</f>
        <v>5096.69230769231</v>
      </c>
      <c r="N31" s="93" t="n">
        <f aca="false">'$'!C78</f>
        <v>4.417734</v>
      </c>
      <c r="O31" s="36"/>
      <c r="P31" s="36"/>
      <c r="Q31" s="37"/>
      <c r="R31" s="35" t="n">
        <f aca="false">SUM(C31:E31)/N31</f>
        <v>43235.0046426516</v>
      </c>
      <c r="S31" s="35" t="n">
        <f aca="false">C31/$N31</f>
        <v>0</v>
      </c>
      <c r="T31" s="35" t="n">
        <f aca="false">D31/$N31</f>
        <v>411.475656977084</v>
      </c>
      <c r="U31" s="35" t="n">
        <f aca="false">E31/$N31</f>
        <v>42823.5289856746</v>
      </c>
      <c r="V31" s="36" t="n">
        <f aca="false">C31/N31/J31</f>
        <v>0</v>
      </c>
      <c r="W31" s="94" t="n">
        <f aca="false">D31/N31/J31</f>
        <v>0.00103504952175389</v>
      </c>
      <c r="X31" s="36" t="n">
        <f aca="false">E31/N31/J31</f>
        <v>0.107720766574788</v>
      </c>
      <c r="Y31" s="36" t="n">
        <f aca="false">SUM(C31:E31)/N31/J31</f>
        <v>0.108755816096542</v>
      </c>
      <c r="Z31" s="36" t="n">
        <f aca="false">(K31/N31)/J31</f>
        <v>0.158350124051599</v>
      </c>
      <c r="AA31" s="113"/>
      <c r="AB31" s="38"/>
      <c r="AC31" s="38"/>
      <c r="AD31" s="38"/>
      <c r="AE31" s="39"/>
      <c r="AF31" s="114" t="n">
        <f aca="false">AB31/$N31</f>
        <v>0</v>
      </c>
      <c r="AG31" s="114" t="n">
        <f aca="false">AC31/$N31</f>
        <v>0</v>
      </c>
      <c r="AH31" s="114" t="n">
        <f aca="false">AD31/$N31</f>
        <v>0</v>
      </c>
      <c r="AI31" s="114" t="n">
        <f aca="false">AE31/$N31</f>
        <v>0</v>
      </c>
    </row>
    <row r="32" customFormat="false" ht="18.75" hidden="false" customHeight="true" outlineLevel="0" collapsed="false">
      <c r="A32" s="18" t="n">
        <v>2018</v>
      </c>
      <c r="B32" s="18" t="n">
        <v>6</v>
      </c>
      <c r="C32" s="24"/>
      <c r="D32" s="24" t="n">
        <f aca="false">1960.83+128.65</f>
        <v>2089.48</v>
      </c>
      <c r="E32" s="25" t="n">
        <v>184254.17</v>
      </c>
      <c r="F32" s="26"/>
      <c r="G32" s="26"/>
      <c r="H32" s="27"/>
      <c r="I32" s="27"/>
      <c r="J32" s="31" t="n">
        <v>353597</v>
      </c>
      <c r="K32" s="24" t="n">
        <v>261789</v>
      </c>
      <c r="L32" s="32" t="n">
        <v>76</v>
      </c>
      <c r="M32" s="92" t="n">
        <f aca="false">J32/L32</f>
        <v>4652.59210526316</v>
      </c>
      <c r="N32" s="93" t="n">
        <f aca="false">'$'!C79</f>
        <v>4.629054</v>
      </c>
      <c r="O32" s="36"/>
      <c r="P32" s="36"/>
      <c r="Q32" s="37"/>
      <c r="R32" s="35" t="n">
        <f aca="false">SUM(C32:E32)/N32</f>
        <v>40255.2335747218</v>
      </c>
      <c r="S32" s="35" t="n">
        <f aca="false">C32/$N32</f>
        <v>0</v>
      </c>
      <c r="T32" s="35" t="n">
        <f aca="false">D32/$N32</f>
        <v>451.383803256562</v>
      </c>
      <c r="U32" s="35" t="n">
        <f aca="false">E32/$N32</f>
        <v>39803.8497714652</v>
      </c>
      <c r="V32" s="36" t="n">
        <f aca="false">C32/N32/J32</f>
        <v>0</v>
      </c>
      <c r="W32" s="94" t="n">
        <f aca="false">D32/N32/J32</f>
        <v>0.00127654873558475</v>
      </c>
      <c r="X32" s="36" t="n">
        <f aca="false">E32/N32/J32</f>
        <v>0.112568403497386</v>
      </c>
      <c r="Y32" s="36" t="n">
        <f aca="false">SUM(C32:E32)/N32/J32</f>
        <v>0.113844952232971</v>
      </c>
      <c r="Z32" s="36" t="n">
        <f aca="false">(K32/N32)/J32</f>
        <v>0.159937600235464</v>
      </c>
      <c r="AA32" s="113"/>
      <c r="AB32" s="38"/>
      <c r="AC32" s="38"/>
      <c r="AD32" s="38"/>
      <c r="AE32" s="39"/>
      <c r="AF32" s="114" t="n">
        <f aca="false">AB32/$N32</f>
        <v>0</v>
      </c>
      <c r="AG32" s="114" t="n">
        <f aca="false">AC32/$N32</f>
        <v>0</v>
      </c>
      <c r="AH32" s="114" t="n">
        <f aca="false">AD32/$N32</f>
        <v>0</v>
      </c>
      <c r="AI32" s="114" t="n">
        <f aca="false">AE32/$N32</f>
        <v>0</v>
      </c>
    </row>
    <row r="33" customFormat="false" ht="18.75" hidden="false" customHeight="true" outlineLevel="0" collapsed="false">
      <c r="A33" s="18" t="n">
        <v>2018</v>
      </c>
      <c r="B33" s="18" t="n">
        <v>7</v>
      </c>
      <c r="C33" s="24"/>
      <c r="D33" s="24" t="n">
        <f aca="false">1942.31+69.22</f>
        <v>2011.53</v>
      </c>
      <c r="E33" s="25" t="n">
        <v>223206.98</v>
      </c>
      <c r="F33" s="26"/>
      <c r="G33" s="26"/>
      <c r="H33" s="27"/>
      <c r="I33" s="27"/>
      <c r="J33" s="31" t="n">
        <v>341105</v>
      </c>
      <c r="K33" s="24" t="n">
        <v>274242</v>
      </c>
      <c r="L33" s="32" t="n">
        <v>84</v>
      </c>
      <c r="M33" s="92" t="n">
        <f aca="false">J33/L33</f>
        <v>4060.77380952381</v>
      </c>
      <c r="N33" s="93" t="n">
        <f aca="false">'$'!C80</f>
        <v>4.761595</v>
      </c>
      <c r="O33" s="36"/>
      <c r="P33" s="36"/>
      <c r="Q33" s="37"/>
      <c r="R33" s="35" t="n">
        <f aca="false">SUM(C33:E33)/N33</f>
        <v>47298.9638976015</v>
      </c>
      <c r="S33" s="35" t="n">
        <f aca="false">C33/$N33</f>
        <v>0</v>
      </c>
      <c r="T33" s="35" t="n">
        <f aca="false">D33/$N33</f>
        <v>422.448780293158</v>
      </c>
      <c r="U33" s="35" t="n">
        <f aca="false">E33/$N33</f>
        <v>46876.5151173084</v>
      </c>
      <c r="V33" s="36" t="n">
        <f aca="false">C33/N33/J33</f>
        <v>0</v>
      </c>
      <c r="W33" s="94" t="n">
        <f aca="false">D33/N33/J33</f>
        <v>0.00123847138063986</v>
      </c>
      <c r="X33" s="36" t="n">
        <f aca="false">E33/N33/J33</f>
        <v>0.137425470507053</v>
      </c>
      <c r="Y33" s="36" t="n">
        <f aca="false">SUM(C33:E33)/N33/J33</f>
        <v>0.138663941887693</v>
      </c>
      <c r="Z33" s="36" t="n">
        <f aca="false">(K33/N33)/J33</f>
        <v>0.16884703105071</v>
      </c>
      <c r="AA33" s="113"/>
      <c r="AB33" s="38"/>
      <c r="AC33" s="38"/>
      <c r="AD33" s="38"/>
      <c r="AE33" s="39"/>
      <c r="AF33" s="114" t="n">
        <f aca="false">AB33/$N33</f>
        <v>0</v>
      </c>
      <c r="AG33" s="114" t="n">
        <f aca="false">AC33/$N33</f>
        <v>0</v>
      </c>
      <c r="AH33" s="114" t="n">
        <f aca="false">AD33/$N33</f>
        <v>0</v>
      </c>
      <c r="AI33" s="114" t="n">
        <f aca="false">AE33/$N33</f>
        <v>0</v>
      </c>
    </row>
    <row r="34" customFormat="false" ht="18.75" hidden="false" customHeight="true" outlineLevel="0" collapsed="false">
      <c r="A34" s="18" t="n">
        <v>2018</v>
      </c>
      <c r="B34" s="18" t="n">
        <v>8</v>
      </c>
      <c r="C34" s="24"/>
      <c r="D34" s="24" t="n">
        <f aca="false">1964.18+142.04</f>
        <v>2106.22</v>
      </c>
      <c r="E34" s="25" t="n">
        <v>170879.52</v>
      </c>
      <c r="F34" s="26"/>
      <c r="G34" s="26"/>
      <c r="H34" s="27"/>
      <c r="I34" s="27"/>
      <c r="J34" s="31" t="n">
        <v>183318</v>
      </c>
      <c r="K34" s="24" t="n">
        <v>268662</v>
      </c>
      <c r="L34" s="32" t="n">
        <v>85</v>
      </c>
      <c r="M34" s="92" t="n">
        <f aca="false">J34/L34</f>
        <v>2156.68235294118</v>
      </c>
      <c r="N34" s="93" t="n">
        <f aca="false">'$'!C81</f>
        <v>5.888005</v>
      </c>
      <c r="O34" s="36"/>
      <c r="P34" s="36"/>
      <c r="Q34" s="37"/>
      <c r="R34" s="35" t="n">
        <f aca="false">SUM(C34:E34)/N34</f>
        <v>29379.3466547668</v>
      </c>
      <c r="S34" s="35" t="n">
        <f aca="false">C34/$N34</f>
        <v>0</v>
      </c>
      <c r="T34" s="35" t="n">
        <f aca="false">D34/$N34</f>
        <v>357.713690800195</v>
      </c>
      <c r="U34" s="35" t="n">
        <f aca="false">E34/$N34</f>
        <v>29021.6329639666</v>
      </c>
      <c r="V34" s="36" t="n">
        <f aca="false">C34/N34/J34</f>
        <v>0</v>
      </c>
      <c r="W34" s="94" t="n">
        <f aca="false">D34/N34/J34</f>
        <v>0.00195132878822699</v>
      </c>
      <c r="X34" s="36" t="n">
        <f aca="false">E34/N34/J34</f>
        <v>0.158313056895485</v>
      </c>
      <c r="Y34" s="36" t="n">
        <f aca="false">SUM(C34:E34)/N34/J34</f>
        <v>0.160264385683712</v>
      </c>
      <c r="Z34" s="36" t="n">
        <f aca="false">(K34/N34)/J34</f>
        <v>0.248904622927633</v>
      </c>
      <c r="AA34" s="113"/>
      <c r="AB34" s="38"/>
      <c r="AC34" s="38"/>
      <c r="AD34" s="38"/>
      <c r="AE34" s="39"/>
      <c r="AF34" s="114" t="n">
        <f aca="false">AB34/$N34</f>
        <v>0</v>
      </c>
      <c r="AG34" s="114" t="n">
        <f aca="false">AC34/$N34</f>
        <v>0</v>
      </c>
      <c r="AH34" s="114" t="n">
        <f aca="false">AD34/$N34</f>
        <v>0</v>
      </c>
      <c r="AI34" s="114" t="n">
        <f aca="false">AE34/$N34</f>
        <v>0</v>
      </c>
    </row>
    <row r="35" customFormat="false" ht="18.75" hidden="false" customHeight="true" outlineLevel="0" collapsed="false">
      <c r="A35" s="18" t="n">
        <v>2018</v>
      </c>
      <c r="B35" s="18" t="n">
        <v>9</v>
      </c>
      <c r="C35" s="24"/>
      <c r="D35" s="24" t="n">
        <f aca="false">142.82+2032.83</f>
        <v>2175.65</v>
      </c>
      <c r="E35" s="25" t="n">
        <v>198644.43</v>
      </c>
      <c r="F35" s="26"/>
      <c r="G35" s="26"/>
      <c r="H35" s="27"/>
      <c r="I35" s="27"/>
      <c r="J35" s="31" t="n">
        <v>191473</v>
      </c>
      <c r="K35" s="24" t="n">
        <v>267444</v>
      </c>
      <c r="L35" s="32" t="n">
        <v>82</v>
      </c>
      <c r="M35" s="92" t="n">
        <f aca="false">J35/L35</f>
        <v>2335.03658536585</v>
      </c>
      <c r="N35" s="93" t="n">
        <f aca="false">'$'!C82</f>
        <v>6.333883</v>
      </c>
      <c r="O35" s="36"/>
      <c r="P35" s="36"/>
      <c r="Q35" s="37"/>
      <c r="R35" s="35" t="n">
        <f aca="false">SUM(C35:E35)/N35</f>
        <v>31705.68196476</v>
      </c>
      <c r="S35" s="35" t="n">
        <f aca="false">C35/$N35</f>
        <v>0</v>
      </c>
      <c r="T35" s="35" t="n">
        <f aca="false">D35/$N35</f>
        <v>343.493872558113</v>
      </c>
      <c r="U35" s="35" t="n">
        <f aca="false">E35/$N35</f>
        <v>31362.1880922019</v>
      </c>
      <c r="V35" s="36" t="n">
        <f aca="false">C35/N35/J35</f>
        <v>0</v>
      </c>
      <c r="W35" s="94" t="n">
        <f aca="false">D35/N35/J35</f>
        <v>0.00179395461792583</v>
      </c>
      <c r="X35" s="36" t="n">
        <f aca="false">E35/N35/J35</f>
        <v>0.163794310906508</v>
      </c>
      <c r="Y35" s="36" t="n">
        <f aca="false">SUM(C35:E35)/N35/J35</f>
        <v>0.165588265524434</v>
      </c>
      <c r="Z35" s="36" t="n">
        <f aca="false">(K35/N35)/J35</f>
        <v>0.220523705024502</v>
      </c>
      <c r="AA35" s="113"/>
      <c r="AB35" s="38"/>
      <c r="AC35" s="38"/>
      <c r="AD35" s="38"/>
      <c r="AE35" s="39"/>
      <c r="AF35" s="114" t="n">
        <f aca="false">AB35/$N35</f>
        <v>0</v>
      </c>
      <c r="AG35" s="114" t="n">
        <f aca="false">AC35/$N35</f>
        <v>0</v>
      </c>
      <c r="AH35" s="114" t="n">
        <f aca="false">AD35/$N35</f>
        <v>0</v>
      </c>
      <c r="AI35" s="114" t="n">
        <f aca="false">AE35/$N35</f>
        <v>0</v>
      </c>
    </row>
    <row r="36" customFormat="false" ht="18.75" hidden="false" customHeight="true" outlineLevel="0" collapsed="false">
      <c r="A36" s="18" t="n">
        <v>2018</v>
      </c>
      <c r="B36" s="18" t="n">
        <v>10</v>
      </c>
      <c r="C36" s="24"/>
      <c r="D36" s="24" t="n">
        <f aca="false">2389.61+194.81</f>
        <v>2584.42</v>
      </c>
      <c r="E36" s="25" t="n">
        <v>223777.54</v>
      </c>
      <c r="F36" s="26"/>
      <c r="G36" s="26"/>
      <c r="H36" s="27"/>
      <c r="I36" s="27"/>
      <c r="J36" s="31" t="n">
        <v>290141</v>
      </c>
      <c r="K36" s="24" t="n">
        <v>292053</v>
      </c>
      <c r="L36" s="32" t="n">
        <v>78</v>
      </c>
      <c r="M36" s="92" t="n">
        <f aca="false">J36/L36</f>
        <v>3719.75641025641</v>
      </c>
      <c r="N36" s="93" t="n">
        <f aca="false">'$'!C83</f>
        <v>5.831909</v>
      </c>
      <c r="O36" s="36"/>
      <c r="P36" s="36"/>
      <c r="Q36" s="37"/>
      <c r="R36" s="35" t="n">
        <f aca="false">SUM(C36:E36)/N36</f>
        <v>38814.3847923553</v>
      </c>
      <c r="S36" s="35" t="n">
        <f aca="false">C36/$N36</f>
        <v>0</v>
      </c>
      <c r="T36" s="35" t="n">
        <f aca="false">D36/$N36</f>
        <v>443.151633538864</v>
      </c>
      <c r="U36" s="35" t="n">
        <f aca="false">E36/$N36</f>
        <v>38371.2331588164</v>
      </c>
      <c r="V36" s="36" t="n">
        <f aca="false">C36/N36/J36</f>
        <v>0</v>
      </c>
      <c r="W36" s="94" t="n">
        <f aca="false">D36/N36/J36</f>
        <v>0.00152736646505962</v>
      </c>
      <c r="X36" s="36" t="n">
        <f aca="false">E36/N36/J36</f>
        <v>0.132250296093335</v>
      </c>
      <c r="Y36" s="36" t="n">
        <f aca="false">SUM(C36:E36)/N36/J36</f>
        <v>0.133777662558395</v>
      </c>
      <c r="Z36" s="36" t="n">
        <f aca="false">(K36/N36)/J36</f>
        <v>0.172600412556805</v>
      </c>
      <c r="AA36" s="113"/>
      <c r="AB36" s="38"/>
      <c r="AC36" s="38"/>
      <c r="AD36" s="38"/>
      <c r="AE36" s="39"/>
      <c r="AF36" s="114" t="n">
        <f aca="false">AB36/$N36</f>
        <v>0</v>
      </c>
      <c r="AG36" s="114" t="n">
        <f aca="false">AC36/$N36</f>
        <v>0</v>
      </c>
      <c r="AH36" s="114" t="n">
        <f aca="false">AD36/$N36</f>
        <v>0</v>
      </c>
      <c r="AI36" s="114" t="n">
        <f aca="false">AE36/$N36</f>
        <v>0</v>
      </c>
    </row>
    <row r="37" customFormat="false" ht="18.75" hidden="false" customHeight="true" outlineLevel="0" collapsed="false">
      <c r="A37" s="18" t="n">
        <v>2018</v>
      </c>
      <c r="B37" s="18" t="n">
        <v>11</v>
      </c>
      <c r="C37" s="24"/>
      <c r="D37" s="24" t="n">
        <f aca="false">2373.52+241.6</f>
        <v>2615.12</v>
      </c>
      <c r="E37" s="25" t="n">
        <v>223467.51</v>
      </c>
      <c r="F37" s="26"/>
      <c r="G37" s="26"/>
      <c r="H37" s="27"/>
      <c r="I37" s="27"/>
      <c r="J37" s="31" t="n">
        <v>303580</v>
      </c>
      <c r="K37" s="24" t="n">
        <v>276195</v>
      </c>
      <c r="L37" s="32" t="n">
        <v>79</v>
      </c>
      <c r="M37" s="92" t="n">
        <f aca="false">J37/L37</f>
        <v>3842.78481012658</v>
      </c>
      <c r="N37" s="93" t="n">
        <f aca="false">'$'!C84</f>
        <v>5.374481</v>
      </c>
      <c r="O37" s="36"/>
      <c r="P37" s="36"/>
      <c r="Q37" s="37"/>
      <c r="R37" s="35" t="n">
        <f aca="false">SUM(C37:E37)/N37</f>
        <v>42065.9464606908</v>
      </c>
      <c r="S37" s="35" t="n">
        <f aca="false">C37/$N37</f>
        <v>0</v>
      </c>
      <c r="T37" s="35" t="n">
        <f aca="false">D37/$N37</f>
        <v>486.580936838366</v>
      </c>
      <c r="U37" s="35" t="n">
        <f aca="false">E37/$N37</f>
        <v>41579.3655238524</v>
      </c>
      <c r="V37" s="36" t="n">
        <f aca="false">C37/N37/J37</f>
        <v>0</v>
      </c>
      <c r="W37" s="94" t="n">
        <f aca="false">D37/N37/J37</f>
        <v>0.00160280959496135</v>
      </c>
      <c r="X37" s="36" t="n">
        <f aca="false">E37/N37/J37</f>
        <v>0.13696345452221</v>
      </c>
      <c r="Y37" s="36" t="n">
        <f aca="false">SUM(C37:E37)/N37/J37</f>
        <v>0.138566264117171</v>
      </c>
      <c r="Z37" s="36" t="n">
        <f aca="false">(K37/N37)/J37</f>
        <v>0.169280184496447</v>
      </c>
      <c r="AA37" s="113"/>
      <c r="AB37" s="38"/>
      <c r="AC37" s="38"/>
      <c r="AD37" s="38"/>
      <c r="AE37" s="39"/>
      <c r="AF37" s="114" t="n">
        <f aca="false">AB37/$N37</f>
        <v>0</v>
      </c>
      <c r="AG37" s="114" t="n">
        <f aca="false">AC37/$N37</f>
        <v>0</v>
      </c>
      <c r="AH37" s="114" t="n">
        <f aca="false">AD37/$N37</f>
        <v>0</v>
      </c>
      <c r="AI37" s="114" t="n">
        <f aca="false">AE37/$N37</f>
        <v>0</v>
      </c>
    </row>
    <row r="38" customFormat="false" ht="18.75" hidden="false" customHeight="true" outlineLevel="0" collapsed="false">
      <c r="A38" s="18" t="n">
        <v>2018</v>
      </c>
      <c r="B38" s="18" t="n">
        <v>12</v>
      </c>
      <c r="C38" s="24"/>
      <c r="D38" s="24" t="n">
        <f aca="false">203.75+2824</f>
        <v>3027.75</v>
      </c>
      <c r="E38" s="25" t="n">
        <v>216736.98</v>
      </c>
      <c r="F38" s="26"/>
      <c r="G38" s="26"/>
      <c r="H38" s="27"/>
      <c r="I38" s="27"/>
      <c r="J38" s="31" t="n">
        <v>313748</v>
      </c>
      <c r="K38" s="24" t="n">
        <v>280159</v>
      </c>
      <c r="L38" s="32" t="n">
        <v>78</v>
      </c>
      <c r="M38" s="92" t="n">
        <f aca="false">J38/L38</f>
        <v>4022.41025641026</v>
      </c>
      <c r="N38" s="93" t="n">
        <f aca="false">'$'!C85</f>
        <v>5.309368</v>
      </c>
      <c r="O38" s="36"/>
      <c r="P38" s="36"/>
      <c r="Q38" s="37"/>
      <c r="R38" s="35" t="n">
        <f aca="false">SUM(C38:E38)/N38</f>
        <v>41391.8812935928</v>
      </c>
      <c r="S38" s="35" t="n">
        <f aca="false">C38/$N38</f>
        <v>0</v>
      </c>
      <c r="T38" s="35" t="n">
        <f aca="false">D38/$N38</f>
        <v>570.265613534417</v>
      </c>
      <c r="U38" s="35" t="n">
        <f aca="false">E38/$N38</f>
        <v>40821.6156800583</v>
      </c>
      <c r="V38" s="36" t="n">
        <f aca="false">C38/N38/J38</f>
        <v>0</v>
      </c>
      <c r="W38" s="94" t="n">
        <f aca="false">D38/N38/J38</f>
        <v>0.00181759123097013</v>
      </c>
      <c r="X38" s="36" t="n">
        <f aca="false">E38/N38/J38</f>
        <v>0.130109564618925</v>
      </c>
      <c r="Y38" s="36" t="n">
        <f aca="false">SUM(C38:E38)/N38/J38</f>
        <v>0.131927155849895</v>
      </c>
      <c r="Z38" s="36" t="n">
        <f aca="false">(K38/N38)/J38</f>
        <v>0.168182492503463</v>
      </c>
      <c r="AA38" s="113"/>
      <c r="AB38" s="38"/>
      <c r="AC38" s="38"/>
      <c r="AD38" s="38"/>
      <c r="AE38" s="39"/>
      <c r="AF38" s="114" t="n">
        <f aca="false">AB38/$N38</f>
        <v>0</v>
      </c>
      <c r="AG38" s="114" t="n">
        <f aca="false">AC38/$N38</f>
        <v>0</v>
      </c>
      <c r="AH38" s="114" t="n">
        <f aca="false">AD38/$N38</f>
        <v>0</v>
      </c>
      <c r="AI38" s="114" t="n">
        <f aca="false">AE38/$N38</f>
        <v>0</v>
      </c>
    </row>
    <row r="39" customFormat="false" ht="18.75" hidden="false" customHeight="true" outlineLevel="0" collapsed="false">
      <c r="A39" s="18" t="n">
        <v>2019</v>
      </c>
      <c r="B39" s="18" t="n">
        <v>1</v>
      </c>
      <c r="C39" s="24"/>
      <c r="D39" s="24" t="n">
        <f aca="false">148.38+3042.85</f>
        <v>3191.23</v>
      </c>
      <c r="E39" s="25" t="n">
        <v>216652.15</v>
      </c>
      <c r="F39" s="26"/>
      <c r="G39" s="26"/>
      <c r="H39" s="27"/>
      <c r="I39" s="27"/>
      <c r="J39" s="31" t="n">
        <v>329296</v>
      </c>
      <c r="K39" s="24" t="n">
        <v>322313</v>
      </c>
      <c r="L39" s="32" t="n">
        <v>76</v>
      </c>
      <c r="M39" s="92" t="n">
        <f aca="false">J39/L39</f>
        <v>4332.84210526316</v>
      </c>
      <c r="N39" s="93" t="n">
        <f aca="false">'$'!C86</f>
        <v>5.36303</v>
      </c>
      <c r="O39" s="36"/>
      <c r="P39" s="36"/>
      <c r="Q39" s="37"/>
      <c r="R39" s="35" t="n">
        <f aca="false">SUM(C39:E39)/N39</f>
        <v>40992.383037201</v>
      </c>
      <c r="S39" s="35" t="n">
        <f aca="false">C39/$N39</f>
        <v>0</v>
      </c>
      <c r="T39" s="35" t="n">
        <f aca="false">D39/$N39</f>
        <v>595.042354788245</v>
      </c>
      <c r="U39" s="35" t="n">
        <f aca="false">E39/$N39</f>
        <v>40397.3406824127</v>
      </c>
      <c r="V39" s="36" t="n">
        <f aca="false">C39/N39/J39</f>
        <v>0</v>
      </c>
      <c r="W39" s="94" t="n">
        <f aca="false">D39/N39/J39</f>
        <v>0.0018070136132484</v>
      </c>
      <c r="X39" s="36" t="n">
        <f aca="false">E39/N39/J39</f>
        <v>0.122677896732462</v>
      </c>
      <c r="Y39" s="36" t="n">
        <f aca="false">SUM(C39:E39)/N39/J39</f>
        <v>0.12448491034571</v>
      </c>
      <c r="Z39" s="36" t="n">
        <f aca="false">(K39/N39)/J39</f>
        <v>0.182507678458441</v>
      </c>
      <c r="AA39" s="113"/>
      <c r="AB39" s="38"/>
      <c r="AC39" s="38"/>
      <c r="AD39" s="38"/>
      <c r="AE39" s="39"/>
      <c r="AF39" s="114" t="n">
        <f aca="false">AB39/$N39</f>
        <v>0</v>
      </c>
      <c r="AG39" s="114" t="n">
        <f aca="false">AC39/$N39</f>
        <v>0</v>
      </c>
      <c r="AH39" s="114" t="n">
        <f aca="false">AD39/$N39</f>
        <v>0</v>
      </c>
      <c r="AI39" s="114" t="n">
        <f aca="false">AE39/$N39</f>
        <v>0</v>
      </c>
    </row>
    <row r="40" customFormat="false" ht="18.75" hidden="false" customHeight="true" outlineLevel="0" collapsed="false">
      <c r="A40" s="18" t="n">
        <v>2019</v>
      </c>
      <c r="B40" s="18" t="n">
        <v>2</v>
      </c>
      <c r="C40" s="24"/>
      <c r="D40" s="24" t="n">
        <f aca="false">69.55+3179.6</f>
        <v>3249.15</v>
      </c>
      <c r="E40" s="25" t="n">
        <v>296955.85</v>
      </c>
      <c r="F40" s="26"/>
      <c r="G40" s="26"/>
      <c r="H40" s="27"/>
      <c r="I40" s="27"/>
      <c r="J40" s="31" t="n">
        <v>423850</v>
      </c>
      <c r="K40" s="24" t="n">
        <v>346230</v>
      </c>
      <c r="L40" s="32" t="n">
        <v>84</v>
      </c>
      <c r="M40" s="92" t="n">
        <f aca="false">J40/L40</f>
        <v>5045.83333333333</v>
      </c>
      <c r="N40" s="93" t="n">
        <f aca="false">'$'!C87</f>
        <v>5.269724</v>
      </c>
      <c r="O40" s="36"/>
      <c r="P40" s="36"/>
      <c r="Q40" s="37"/>
      <c r="R40" s="35" t="n">
        <f aca="false">SUM(C40:E40)/N40</f>
        <v>56967.8791526843</v>
      </c>
      <c r="S40" s="35" t="n">
        <f aca="false">C40/$N40</f>
        <v>0</v>
      </c>
      <c r="T40" s="35" t="n">
        <f aca="false">D40/$N40</f>
        <v>616.569292813058</v>
      </c>
      <c r="U40" s="35" t="n">
        <f aca="false">E40/$N40</f>
        <v>56351.3098598712</v>
      </c>
      <c r="V40" s="36" t="n">
        <f aca="false">C40/N40/J40</f>
        <v>0</v>
      </c>
      <c r="W40" s="94" t="n">
        <f aca="false">D40/N40/J40</f>
        <v>0.00145468749041656</v>
      </c>
      <c r="X40" s="36" t="n">
        <f aca="false">E40/N40/J40</f>
        <v>0.132951067264059</v>
      </c>
      <c r="Y40" s="36" t="n">
        <f aca="false">SUM(C40:E40)/N40/J40</f>
        <v>0.134405754754475</v>
      </c>
      <c r="Z40" s="36" t="n">
        <f aca="false">(K40/N40)/J40</f>
        <v>0.155011756861618</v>
      </c>
      <c r="AA40" s="113"/>
      <c r="AB40" s="38"/>
      <c r="AC40" s="38"/>
      <c r="AD40" s="38"/>
      <c r="AE40" s="39"/>
      <c r="AF40" s="114" t="n">
        <f aca="false">AB40/$N40</f>
        <v>0</v>
      </c>
      <c r="AG40" s="114" t="n">
        <f aca="false">AC40/$N40</f>
        <v>0</v>
      </c>
      <c r="AH40" s="114" t="n">
        <f aca="false">AD40/$N40</f>
        <v>0</v>
      </c>
      <c r="AI40" s="114" t="n">
        <f aca="false">AE40/$N40</f>
        <v>0</v>
      </c>
    </row>
    <row r="41" customFormat="false" ht="18.75" hidden="false" customHeight="true" outlineLevel="0" collapsed="false">
      <c r="A41" s="18" t="n">
        <v>2019</v>
      </c>
      <c r="B41" s="18" t="n">
        <v>3</v>
      </c>
      <c r="C41" s="24"/>
      <c r="D41" s="24" t="n">
        <f aca="false">52.71+2822.41</f>
        <v>2875.12</v>
      </c>
      <c r="E41" s="25" t="n">
        <v>315018.31</v>
      </c>
      <c r="F41" s="26"/>
      <c r="G41" s="26"/>
      <c r="H41" s="27"/>
      <c r="I41" s="27"/>
      <c r="J41" s="31" t="n">
        <v>478086</v>
      </c>
      <c r="K41" s="24" t="n">
        <v>410531</v>
      </c>
      <c r="L41" s="32" t="n">
        <v>88</v>
      </c>
      <c r="M41" s="92" t="n">
        <f aca="false">J41/L41</f>
        <v>5432.79545454546</v>
      </c>
      <c r="N41" s="93" t="n">
        <f aca="false">'$'!C88</f>
        <v>5.476742</v>
      </c>
      <c r="O41" s="36"/>
      <c r="P41" s="36"/>
      <c r="Q41" s="37"/>
      <c r="R41" s="35" t="n">
        <f aca="false">SUM(C41:E41)/N41</f>
        <v>58044.258794736</v>
      </c>
      <c r="S41" s="35" t="n">
        <f aca="false">C41/$N41</f>
        <v>0</v>
      </c>
      <c r="T41" s="35" t="n">
        <f aca="false">D41/$N41</f>
        <v>524.969041813545</v>
      </c>
      <c r="U41" s="35" t="n">
        <f aca="false">E41/$N41</f>
        <v>57519.2897529225</v>
      </c>
      <c r="V41" s="36" t="n">
        <f aca="false">C41/N41/J41</f>
        <v>0</v>
      </c>
      <c r="W41" s="94" t="n">
        <f aca="false">D41/N41/J41</f>
        <v>0.00109806403411425</v>
      </c>
      <c r="X41" s="36" t="n">
        <f aca="false">E41/N41/J41</f>
        <v>0.120311596141536</v>
      </c>
      <c r="Y41" s="36" t="n">
        <f aca="false">SUM(C41:E41)/N41/J41</f>
        <v>0.12140966017565</v>
      </c>
      <c r="Z41" s="36" t="n">
        <f aca="false">(K41/N41)/J41</f>
        <v>0.156789743032972</v>
      </c>
      <c r="AA41" s="113"/>
      <c r="AB41" s="38"/>
      <c r="AC41" s="38"/>
      <c r="AD41" s="38"/>
      <c r="AE41" s="39"/>
      <c r="AF41" s="114" t="n">
        <f aca="false">AB41/$N41</f>
        <v>0</v>
      </c>
      <c r="AG41" s="114" t="n">
        <f aca="false">AC41/$N41</f>
        <v>0</v>
      </c>
      <c r="AH41" s="114" t="n">
        <f aca="false">AD41/$N41</f>
        <v>0</v>
      </c>
      <c r="AI41" s="114" t="n">
        <f aca="false">AE41/$N41</f>
        <v>0</v>
      </c>
    </row>
    <row r="42" customFormat="false" ht="18.75" hidden="false" customHeight="true" outlineLevel="0" collapsed="false">
      <c r="A42" s="18" t="n">
        <v>2019</v>
      </c>
      <c r="B42" s="18" t="n">
        <v>4</v>
      </c>
      <c r="C42" s="24"/>
      <c r="D42" s="24" t="n">
        <f aca="false">3515.86+52.8</f>
        <v>3568.66</v>
      </c>
      <c r="E42" s="25" t="n">
        <v>279711.88</v>
      </c>
      <c r="F42" s="26"/>
      <c r="G42" s="26"/>
      <c r="H42" s="27"/>
      <c r="I42" s="27"/>
      <c r="J42" s="31" t="n">
        <v>455725</v>
      </c>
      <c r="K42" s="24" t="n">
        <v>492580</v>
      </c>
      <c r="L42" s="32" t="n">
        <v>101</v>
      </c>
      <c r="M42" s="92" t="n">
        <f aca="false">J42/L42</f>
        <v>4512.12871287129</v>
      </c>
      <c r="N42" s="93" t="n">
        <f aca="false">'$'!C89</f>
        <v>5.764748</v>
      </c>
      <c r="O42" s="36"/>
      <c r="P42" s="36"/>
      <c r="Q42" s="37"/>
      <c r="R42" s="35" t="n">
        <f aca="false">SUM(C42:E42)/N42</f>
        <v>49140.1428128341</v>
      </c>
      <c r="S42" s="35" t="n">
        <f aca="false">C42/$N42</f>
        <v>0</v>
      </c>
      <c r="T42" s="35" t="n">
        <f aca="false">D42/$N42</f>
        <v>619.048742460208</v>
      </c>
      <c r="U42" s="35" t="n">
        <f aca="false">E42/$N42</f>
        <v>48521.0940703739</v>
      </c>
      <c r="V42" s="36" t="n">
        <f aca="false">C42/N42/J42</f>
        <v>0</v>
      </c>
      <c r="W42" s="94" t="n">
        <f aca="false">D42/N42/J42</f>
        <v>0.00135838223152166</v>
      </c>
      <c r="X42" s="36" t="n">
        <f aca="false">E42/N42/J42</f>
        <v>0.106470117001205</v>
      </c>
      <c r="Y42" s="36" t="n">
        <f aca="false">SUM(C42:E42)/N42/J42</f>
        <v>0.107828499232726</v>
      </c>
      <c r="Z42" s="36" t="n">
        <f aca="false">(K42/N42)/J42</f>
        <v>0.187496684918972</v>
      </c>
      <c r="AA42" s="113"/>
      <c r="AB42" s="38"/>
      <c r="AC42" s="38"/>
      <c r="AD42" s="38"/>
      <c r="AE42" s="39"/>
      <c r="AF42" s="114" t="n">
        <f aca="false">AB42/$N42</f>
        <v>0</v>
      </c>
      <c r="AG42" s="114" t="n">
        <f aca="false">AC42/$N42</f>
        <v>0</v>
      </c>
      <c r="AH42" s="114" t="n">
        <f aca="false">AD42/$N42</f>
        <v>0</v>
      </c>
      <c r="AI42" s="114" t="n">
        <f aca="false">AE42/$N42</f>
        <v>0</v>
      </c>
    </row>
    <row r="43" customFormat="false" ht="18.75" hidden="false" customHeight="true" outlineLevel="0" collapsed="false">
      <c r="A43" s="18" t="n">
        <v>2019</v>
      </c>
      <c r="B43" s="18" t="n">
        <v>5</v>
      </c>
      <c r="C43" s="24"/>
      <c r="D43" s="24" t="n">
        <f aca="false">3510.05</f>
        <v>3510.05</v>
      </c>
      <c r="E43" s="25" t="n">
        <v>361980.58</v>
      </c>
      <c r="F43" s="26"/>
      <c r="G43" s="26"/>
      <c r="H43" s="27"/>
      <c r="I43" s="27"/>
      <c r="J43" s="31" t="n">
        <v>410984</v>
      </c>
      <c r="K43" s="24" t="n">
        <v>456570</v>
      </c>
      <c r="L43" s="32" t="n">
        <v>96</v>
      </c>
      <c r="M43" s="92" t="n">
        <f aca="false">J43/L43</f>
        <v>4281.08333333333</v>
      </c>
      <c r="N43" s="93" t="n">
        <f aca="false">'$'!C90</f>
        <v>6.044426</v>
      </c>
      <c r="O43" s="36"/>
      <c r="P43" s="36"/>
      <c r="Q43" s="37"/>
      <c r="R43" s="35" t="n">
        <f aca="false">SUM(C43:E43)/N43</f>
        <v>60467.3843306213</v>
      </c>
      <c r="S43" s="35" t="n">
        <f aca="false">C43/$N43</f>
        <v>0</v>
      </c>
      <c r="T43" s="35" t="n">
        <f aca="false">D43/$N43</f>
        <v>580.708573485721</v>
      </c>
      <c r="U43" s="35" t="n">
        <f aca="false">E43/$N43</f>
        <v>59886.6757571356</v>
      </c>
      <c r="V43" s="36" t="n">
        <f aca="false">C43/N43/J43</f>
        <v>0</v>
      </c>
      <c r="W43" s="94" t="n">
        <f aca="false">D43/N43/J43</f>
        <v>0.00141297124337133</v>
      </c>
      <c r="X43" s="36" t="n">
        <f aca="false">E43/N43/J43</f>
        <v>0.145715345991901</v>
      </c>
      <c r="Y43" s="36" t="n">
        <f aca="false">SUM(C43:E43)/N43/J43</f>
        <v>0.147128317235273</v>
      </c>
      <c r="Z43" s="36" t="n">
        <f aca="false">(K43/N43)/J43</f>
        <v>0.183792333609506</v>
      </c>
      <c r="AA43" s="113"/>
      <c r="AB43" s="38"/>
      <c r="AC43" s="38"/>
      <c r="AD43" s="38"/>
      <c r="AE43" s="39"/>
      <c r="AF43" s="114" t="n">
        <f aca="false">AB43/$N43</f>
        <v>0</v>
      </c>
      <c r="AG43" s="114" t="n">
        <f aca="false">AC43/$N43</f>
        <v>0</v>
      </c>
      <c r="AH43" s="114" t="n">
        <f aca="false">AD43/$N43</f>
        <v>0</v>
      </c>
      <c r="AI43" s="114" t="n">
        <f aca="false">AE43/$N43</f>
        <v>0</v>
      </c>
    </row>
    <row r="44" customFormat="false" ht="18.75" hidden="false" customHeight="true" outlineLevel="0" collapsed="false">
      <c r="A44" s="18" t="n">
        <v>2019</v>
      </c>
      <c r="B44" s="18" t="n">
        <v>6</v>
      </c>
      <c r="C44" s="24"/>
      <c r="D44" s="24" t="n">
        <f aca="false">135.6+3267.1</f>
        <v>3402.7</v>
      </c>
      <c r="E44" s="25" t="n">
        <v>361511.47</v>
      </c>
      <c r="F44" s="26"/>
      <c r="G44" s="26"/>
      <c r="H44" s="27"/>
      <c r="I44" s="27"/>
      <c r="J44" s="31" t="n">
        <v>309351</v>
      </c>
      <c r="K44" s="24" t="n">
        <v>422354</v>
      </c>
      <c r="L44" s="32" t="n">
        <v>93</v>
      </c>
      <c r="M44" s="92" t="n">
        <f aca="false">J44/L44</f>
        <v>3326.35483870968</v>
      </c>
      <c r="N44" s="93" t="n">
        <f aca="false">'$'!C91</f>
        <v>5.820426</v>
      </c>
      <c r="O44" s="36"/>
      <c r="P44" s="36"/>
      <c r="Q44" s="37"/>
      <c r="R44" s="35" t="n">
        <f aca="false">SUM(C44:E44)/N44</f>
        <v>62695.44016194</v>
      </c>
      <c r="S44" s="35" t="n">
        <f aca="false">C44/$N44</f>
        <v>0</v>
      </c>
      <c r="T44" s="35" t="n">
        <f aca="false">D44/$N44</f>
        <v>584.613566086056</v>
      </c>
      <c r="U44" s="35" t="n">
        <f aca="false">E44/$N44</f>
        <v>62110.826595854</v>
      </c>
      <c r="V44" s="36" t="n">
        <f aca="false">C44/N44/J44</f>
        <v>0</v>
      </c>
      <c r="W44" s="94" t="n">
        <f aca="false">D44/N44/J44</f>
        <v>0.00188980661477111</v>
      </c>
      <c r="X44" s="36" t="n">
        <f aca="false">E44/N44/J44</f>
        <v>0.200777843277875</v>
      </c>
      <c r="Y44" s="36" t="n">
        <f aca="false">SUM(C44:E44)/N44/J44</f>
        <v>0.202667649892646</v>
      </c>
      <c r="Z44" s="36" t="n">
        <f aca="false">(K44/N44)/J44</f>
        <v>0.234568837386498</v>
      </c>
      <c r="AA44" s="113"/>
      <c r="AB44" s="38"/>
      <c r="AC44" s="38"/>
      <c r="AD44" s="38"/>
      <c r="AE44" s="39"/>
      <c r="AF44" s="114" t="n">
        <f aca="false">AB44/$N44</f>
        <v>0</v>
      </c>
      <c r="AG44" s="114" t="n">
        <f aca="false">AC44/$N44</f>
        <v>0</v>
      </c>
      <c r="AH44" s="114" t="n">
        <f aca="false">AD44/$N44</f>
        <v>0</v>
      </c>
      <c r="AI44" s="114" t="n">
        <f aca="false">AE44/$N44</f>
        <v>0</v>
      </c>
    </row>
    <row r="45" customFormat="false" ht="18.75" hidden="false" customHeight="true" outlineLevel="0" collapsed="false">
      <c r="A45" s="18" t="n">
        <v>2019</v>
      </c>
      <c r="B45" s="18" t="n">
        <v>7</v>
      </c>
      <c r="C45" s="24"/>
      <c r="D45" s="24" t="n">
        <f aca="false">3352.37+109.51</f>
        <v>3461.88</v>
      </c>
      <c r="E45" s="25" t="n">
        <v>370225.8</v>
      </c>
      <c r="F45" s="26"/>
      <c r="G45" s="26"/>
      <c r="H45" s="27"/>
      <c r="I45" s="27"/>
      <c r="J45" s="31" t="n">
        <v>427527</v>
      </c>
      <c r="K45" s="24" t="n">
        <v>496098</v>
      </c>
      <c r="L45" s="32" t="n">
        <v>96</v>
      </c>
      <c r="M45" s="92" t="n">
        <f aca="false">J45/L45</f>
        <v>4453.40625</v>
      </c>
      <c r="N45" s="93" t="n">
        <f aca="false">'$'!C92</f>
        <v>5.676879</v>
      </c>
      <c r="O45" s="36"/>
      <c r="P45" s="36"/>
      <c r="Q45" s="37"/>
      <c r="R45" s="35" t="n">
        <f aca="false">SUM(C45:E45)/N45</f>
        <v>65826.2541794532</v>
      </c>
      <c r="S45" s="35" t="n">
        <f aca="false">C45/$N45</f>
        <v>0</v>
      </c>
      <c r="T45" s="35" t="n">
        <f aca="false">D45/$N45</f>
        <v>609.820994951628</v>
      </c>
      <c r="U45" s="35" t="n">
        <f aca="false">E45/$N45</f>
        <v>65216.4331845016</v>
      </c>
      <c r="V45" s="36" t="n">
        <f aca="false">C45/N45/J45</f>
        <v>0</v>
      </c>
      <c r="W45" s="94" t="n">
        <f aca="false">D45/N45/J45</f>
        <v>0.0014263917716346</v>
      </c>
      <c r="X45" s="36" t="n">
        <f aca="false">E45/N45/J45</f>
        <v>0.152543425759079</v>
      </c>
      <c r="Y45" s="36" t="n">
        <f aca="false">SUM(C45:E45)/N45/J45</f>
        <v>0.153969817530713</v>
      </c>
      <c r="Z45" s="36" t="n">
        <f aca="false">(K45/N45)/J45</f>
        <v>0.204406306724781</v>
      </c>
      <c r="AA45" s="113"/>
      <c r="AB45" s="38"/>
      <c r="AC45" s="38"/>
      <c r="AD45" s="38"/>
      <c r="AE45" s="39"/>
      <c r="AF45" s="114" t="n">
        <f aca="false">AB45/$N45</f>
        <v>0</v>
      </c>
      <c r="AG45" s="114" t="n">
        <f aca="false">AC45/$N45</f>
        <v>0</v>
      </c>
      <c r="AH45" s="114" t="n">
        <f aca="false">AD45/$N45</f>
        <v>0</v>
      </c>
      <c r="AI45" s="114" t="n">
        <f aca="false">AE45/$N45</f>
        <v>0</v>
      </c>
    </row>
    <row r="46" customFormat="false" ht="18.75" hidden="false" customHeight="true" outlineLevel="0" collapsed="false">
      <c r="A46" s="18" t="n">
        <v>2019</v>
      </c>
      <c r="B46" s="18" t="n">
        <v>8</v>
      </c>
      <c r="C46" s="24"/>
      <c r="D46" s="24" t="n">
        <f aca="false">120.37+3558.31</f>
        <v>3678.68</v>
      </c>
      <c r="E46" s="25" t="n">
        <v>388889.4</v>
      </c>
      <c r="F46" s="26"/>
      <c r="G46" s="26"/>
      <c r="H46" s="27"/>
      <c r="I46" s="27"/>
      <c r="J46" s="31" t="n">
        <v>363915</v>
      </c>
      <c r="K46" s="24" t="n">
        <v>463947</v>
      </c>
      <c r="L46" s="32" t="n">
        <v>95</v>
      </c>
      <c r="M46" s="92" t="n">
        <f aca="false">J46/L46</f>
        <v>3830.68421052632</v>
      </c>
      <c r="N46" s="93" t="n">
        <f aca="false">'$'!C93</f>
        <v>5.641561</v>
      </c>
      <c r="O46" s="36"/>
      <c r="P46" s="36"/>
      <c r="Q46" s="37"/>
      <c r="R46" s="35" t="n">
        <f aca="false">SUM(C46:E46)/N46</f>
        <v>69585.0102480501</v>
      </c>
      <c r="S46" s="35" t="n">
        <f aca="false">C46/$N46</f>
        <v>0</v>
      </c>
      <c r="T46" s="35" t="n">
        <f aca="false">D46/$N46</f>
        <v>652.067752170011</v>
      </c>
      <c r="U46" s="35" t="n">
        <f aca="false">E46/$N46</f>
        <v>68932.9424958801</v>
      </c>
      <c r="V46" s="36" t="n">
        <f aca="false">C46/N46/J46</f>
        <v>0</v>
      </c>
      <c r="W46" s="94" t="n">
        <f aca="false">D46/N46/J46</f>
        <v>0.00179181334149461</v>
      </c>
      <c r="X46" s="36" t="n">
        <f aca="false">E46/N46/J46</f>
        <v>0.189420448445049</v>
      </c>
      <c r="Y46" s="36" t="n">
        <f aca="false">SUM(C46:E46)/N46/J46</f>
        <v>0.191212261786544</v>
      </c>
      <c r="Z46" s="36" t="n">
        <f aca="false">(K46/N46)/J46</f>
        <v>0.225979542756206</v>
      </c>
      <c r="AA46" s="113"/>
      <c r="AB46" s="38"/>
      <c r="AC46" s="38"/>
      <c r="AD46" s="38"/>
      <c r="AE46" s="39"/>
      <c r="AF46" s="114" t="n">
        <f aca="false">AB46/$N46</f>
        <v>0</v>
      </c>
      <c r="AG46" s="114" t="n">
        <f aca="false">AC46/$N46</f>
        <v>0</v>
      </c>
      <c r="AH46" s="114" t="n">
        <f aca="false">AD46/$N46</f>
        <v>0</v>
      </c>
      <c r="AI46" s="114" t="n">
        <f aca="false">AE46/$N46</f>
        <v>0</v>
      </c>
    </row>
    <row r="47" customFormat="false" ht="18.75" hidden="false" customHeight="true" outlineLevel="0" collapsed="false">
      <c r="A47" s="18" t="n">
        <v>2019</v>
      </c>
      <c r="B47" s="18" t="n">
        <v>9</v>
      </c>
      <c r="C47" s="24"/>
      <c r="D47" s="24" t="n">
        <f aca="false">192.97+3065.97</f>
        <v>3258.94</v>
      </c>
      <c r="E47" s="25" t="n">
        <v>311993.38</v>
      </c>
      <c r="F47" s="26"/>
      <c r="G47" s="26"/>
      <c r="H47" s="27"/>
      <c r="I47" s="27"/>
      <c r="J47" s="31" t="n">
        <v>397628</v>
      </c>
      <c r="K47" s="24" t="n">
        <v>521076</v>
      </c>
      <c r="L47" s="32" t="n">
        <v>97</v>
      </c>
      <c r="M47" s="92" t="n">
        <f aca="false">J47/L47</f>
        <v>4099.25773195876</v>
      </c>
      <c r="N47" s="93" t="n">
        <f aca="false">'$'!C94</f>
        <v>5.719617</v>
      </c>
      <c r="O47" s="36"/>
      <c r="P47" s="36"/>
      <c r="Q47" s="37"/>
      <c r="R47" s="35" t="n">
        <f aca="false">SUM(C47:E47)/N47</f>
        <v>55117.7325334896</v>
      </c>
      <c r="S47" s="35" t="n">
        <f aca="false">C47/$N47</f>
        <v>0</v>
      </c>
      <c r="T47" s="35" t="n">
        <f aca="false">D47/$N47</f>
        <v>569.782906792535</v>
      </c>
      <c r="U47" s="35" t="n">
        <f aca="false">E47/$N47</f>
        <v>54547.949626697</v>
      </c>
      <c r="V47" s="36" t="n">
        <f aca="false">C47/N47/J47</f>
        <v>0</v>
      </c>
      <c r="W47" s="94" t="n">
        <f aca="false">D47/N47/J47</f>
        <v>0.00143295468828286</v>
      </c>
      <c r="X47" s="36" t="n">
        <f aca="false">E47/N47/J47</f>
        <v>0.137183371459497</v>
      </c>
      <c r="Y47" s="36" t="n">
        <f aca="false">SUM(C47:E47)/N47/J47</f>
        <v>0.13861632614778</v>
      </c>
      <c r="Z47" s="36" t="n">
        <f aca="false">(K47/N47)/J47</f>
        <v>0.229116920578985</v>
      </c>
      <c r="AA47" s="113"/>
      <c r="AB47" s="38"/>
      <c r="AC47" s="38"/>
      <c r="AD47" s="38"/>
      <c r="AE47" s="39"/>
      <c r="AF47" s="114" t="n">
        <f aca="false">AB47/$N47</f>
        <v>0</v>
      </c>
      <c r="AG47" s="114" t="n">
        <f aca="false">AC47/$N47</f>
        <v>0</v>
      </c>
      <c r="AH47" s="114" t="n">
        <f aca="false">AD47/$N47</f>
        <v>0</v>
      </c>
      <c r="AI47" s="114" t="n">
        <f aca="false">AE47/$N47</f>
        <v>0</v>
      </c>
    </row>
    <row r="48" customFormat="false" ht="18.75" hidden="false" customHeight="true" outlineLevel="0" collapsed="false">
      <c r="A48" s="18" t="n">
        <v>2019</v>
      </c>
      <c r="B48" s="18" t="n">
        <v>10</v>
      </c>
      <c r="C48" s="24"/>
      <c r="D48" s="24" t="n">
        <f aca="false">266.12+2845.56</f>
        <v>3111.68</v>
      </c>
      <c r="E48" s="25" t="n">
        <v>361691.72</v>
      </c>
      <c r="F48" s="26"/>
      <c r="G48" s="26"/>
      <c r="H48" s="27"/>
      <c r="I48" s="27"/>
      <c r="J48" s="31" t="n">
        <v>536867</v>
      </c>
      <c r="K48" s="24" t="n">
        <v>497286</v>
      </c>
      <c r="L48" s="32" t="n">
        <v>102</v>
      </c>
      <c r="M48" s="92" t="n">
        <f aca="false">J48/L48</f>
        <v>5263.40196078431</v>
      </c>
      <c r="N48" s="93" t="n">
        <f aca="false">'$'!C95</f>
        <v>5.792574</v>
      </c>
      <c r="O48" s="36"/>
      <c r="P48" s="36"/>
      <c r="Q48" s="37"/>
      <c r="R48" s="35" t="n">
        <f aca="false">SUM(C48:E48)/N48</f>
        <v>62977.7711946364</v>
      </c>
      <c r="S48" s="35" t="n">
        <f aca="false">C48/$N48</f>
        <v>0</v>
      </c>
      <c r="T48" s="35" t="n">
        <f aca="false">D48/$N48</f>
        <v>537.184332906235</v>
      </c>
      <c r="U48" s="35" t="n">
        <f aca="false">E48/$N48</f>
        <v>62440.5868617302</v>
      </c>
      <c r="V48" s="36" t="n">
        <f aca="false">C48/N48/J48</f>
        <v>0</v>
      </c>
      <c r="W48" s="94" t="n">
        <f aca="false">D48/N48/J48</f>
        <v>0.00100059108290551</v>
      </c>
      <c r="X48" s="36" t="n">
        <f aca="false">E48/N48/J48</f>
        <v>0.116305503712708</v>
      </c>
      <c r="Y48" s="36" t="n">
        <f aca="false">SUM(C48:E48)/N48/J48</f>
        <v>0.117306094795613</v>
      </c>
      <c r="Z48" s="36" t="n">
        <f aca="false">(K48/N48)/J48</f>
        <v>0.159907168235086</v>
      </c>
      <c r="AA48" s="113"/>
      <c r="AB48" s="38"/>
      <c r="AC48" s="38"/>
      <c r="AD48" s="38"/>
      <c r="AE48" s="39"/>
      <c r="AF48" s="114" t="n">
        <f aca="false">AB48/$N48</f>
        <v>0</v>
      </c>
      <c r="AG48" s="114" t="n">
        <f aca="false">AC48/$N48</f>
        <v>0</v>
      </c>
      <c r="AH48" s="114" t="n">
        <f aca="false">AD48/$N48</f>
        <v>0</v>
      </c>
      <c r="AI48" s="114" t="n">
        <f aca="false">AE48/$N48</f>
        <v>0</v>
      </c>
    </row>
    <row r="49" customFormat="false" ht="18.75" hidden="false" customHeight="true" outlineLevel="0" collapsed="false">
      <c r="A49" s="18" t="n">
        <v>2019</v>
      </c>
      <c r="B49" s="18" t="n">
        <v>11</v>
      </c>
      <c r="C49" s="24"/>
      <c r="D49" s="24" t="n">
        <f aca="false">2290.47+165.25</f>
        <v>2455.72</v>
      </c>
      <c r="E49" s="25" t="n">
        <v>378960.91</v>
      </c>
      <c r="F49" s="26"/>
      <c r="G49" s="26"/>
      <c r="H49" s="27"/>
      <c r="I49" s="27"/>
      <c r="J49" s="31" t="n">
        <f aca="false">108513.6+463888</f>
        <v>572401.6</v>
      </c>
      <c r="K49" s="24" t="n">
        <v>514394</v>
      </c>
      <c r="L49" s="32" t="n">
        <v>109</v>
      </c>
      <c r="M49" s="92" t="n">
        <f aca="false">J49/L49</f>
        <v>5251.39082568807</v>
      </c>
      <c r="N49" s="93" t="n">
        <f aca="false">'$'!C96</f>
        <v>5.740255</v>
      </c>
      <c r="O49" s="36"/>
      <c r="P49" s="36"/>
      <c r="Q49" s="37"/>
      <c r="R49" s="35" t="n">
        <f aca="false">SUM(C49:E49)/N49</f>
        <v>66445.938377302</v>
      </c>
      <c r="S49" s="35" t="n">
        <f aca="false">C49/$N49</f>
        <v>0</v>
      </c>
      <c r="T49" s="35" t="n">
        <f aca="false">D49/$N49</f>
        <v>427.80677861872</v>
      </c>
      <c r="U49" s="35" t="n">
        <f aca="false">E49/$N49</f>
        <v>66018.1315986833</v>
      </c>
      <c r="V49" s="36" t="n">
        <f aca="false">C49/N49/J49</f>
        <v>0</v>
      </c>
      <c r="W49" s="94" t="n">
        <f aca="false">D49/N49/J49</f>
        <v>0.00074738920823897</v>
      </c>
      <c r="X49" s="36" t="n">
        <f aca="false">E49/N49/J49</f>
        <v>0.115335337285366</v>
      </c>
      <c r="Y49" s="36" t="n">
        <f aca="false">SUM(C49:E49)/N49/J49</f>
        <v>0.116082726493605</v>
      </c>
      <c r="Z49" s="36" t="n">
        <f aca="false">(K49/N49)/J49</f>
        <v>0.156553892293452</v>
      </c>
      <c r="AA49" s="113"/>
      <c r="AB49" s="38"/>
      <c r="AC49" s="38"/>
      <c r="AD49" s="38"/>
      <c r="AE49" s="39"/>
      <c r="AF49" s="114" t="n">
        <f aca="false">AB49/$N49</f>
        <v>0</v>
      </c>
      <c r="AG49" s="114" t="n">
        <f aca="false">AC49/$N49</f>
        <v>0</v>
      </c>
      <c r="AH49" s="114" t="n">
        <f aca="false">AD49/$N49</f>
        <v>0</v>
      </c>
      <c r="AI49" s="114" t="n">
        <f aca="false">AE49/$N49</f>
        <v>0</v>
      </c>
    </row>
    <row r="50" customFormat="false" ht="18.75" hidden="false" customHeight="true" outlineLevel="0" collapsed="false">
      <c r="A50" s="18" t="n">
        <v>2019</v>
      </c>
      <c r="B50" s="18" t="n">
        <v>12</v>
      </c>
      <c r="C50" s="24"/>
      <c r="D50" s="24" t="n">
        <f aca="false">259.5+2613.86</f>
        <v>2873.36</v>
      </c>
      <c r="E50" s="25" t="n">
        <v>343187.77</v>
      </c>
      <c r="F50" s="26"/>
      <c r="G50" s="26"/>
      <c r="H50" s="27" t="n">
        <v>765802.8</v>
      </c>
      <c r="I50" s="27"/>
      <c r="J50" s="31" t="n">
        <f aca="false">478884.8+1088.9+53770.77</f>
        <v>533744.47</v>
      </c>
      <c r="K50" s="24" t="n">
        <v>529848</v>
      </c>
      <c r="L50" s="32" t="n">
        <v>117</v>
      </c>
      <c r="M50" s="92" t="n">
        <f aca="false">J50/L50</f>
        <v>4561.91854700855</v>
      </c>
      <c r="N50" s="93" t="n">
        <f aca="false">'$'!C97</f>
        <v>5.853509</v>
      </c>
      <c r="O50" s="36"/>
      <c r="P50" s="36"/>
      <c r="Q50" s="37"/>
      <c r="R50" s="35" t="n">
        <f aca="false">SUM(C50:E50)/N50</f>
        <v>59120.2866519894</v>
      </c>
      <c r="S50" s="35" t="n">
        <f aca="false">C50/$N50</f>
        <v>0</v>
      </c>
      <c r="T50" s="35" t="n">
        <f aca="false">D50/$N50</f>
        <v>490.878206559519</v>
      </c>
      <c r="U50" s="35" t="n">
        <f aca="false">E50/$N50</f>
        <v>58629.4084454299</v>
      </c>
      <c r="V50" s="36" t="n">
        <f aca="false">C50/N50/J50</f>
        <v>0</v>
      </c>
      <c r="W50" s="94" t="n">
        <f aca="false">D50/N50/J50</f>
        <v>0.000919687667320503</v>
      </c>
      <c r="X50" s="36" t="n">
        <f aca="false">E50/N50/J50</f>
        <v>0.109845463027336</v>
      </c>
      <c r="Y50" s="36" t="n">
        <f aca="false">SUM(C50:E50)/N50/J50</f>
        <v>0.110765150694656</v>
      </c>
      <c r="Z50" s="36" t="n">
        <f aca="false">(K50/N50)/J50</f>
        <v>0.169590539004662</v>
      </c>
      <c r="AA50" s="115" t="n">
        <f aca="false">H50/J50</f>
        <v>1.43477420946394</v>
      </c>
      <c r="AB50" s="98"/>
      <c r="AC50" s="98"/>
      <c r="AD50" s="98"/>
      <c r="AE50" s="52"/>
      <c r="AF50" s="114" t="n">
        <f aca="false">AB50/$N50</f>
        <v>0</v>
      </c>
      <c r="AG50" s="114" t="n">
        <f aca="false">AC50/$N50</f>
        <v>0</v>
      </c>
      <c r="AH50" s="114" t="n">
        <f aca="false">AD50/$N50</f>
        <v>0</v>
      </c>
      <c r="AI50" s="114" t="n">
        <f aca="false">AE50/$N50</f>
        <v>0</v>
      </c>
    </row>
    <row r="51" customFormat="false" ht="18.75" hidden="false" customHeight="true" outlineLevel="0" collapsed="false">
      <c r="A51" s="18" t="n">
        <v>2020</v>
      </c>
      <c r="B51" s="18" t="n">
        <v>1</v>
      </c>
      <c r="C51" s="24"/>
      <c r="D51" s="24" t="n">
        <f aca="false">228.57+3939.3</f>
        <v>4167.87</v>
      </c>
      <c r="E51" s="25" t="n">
        <v>365775.09</v>
      </c>
      <c r="F51" s="26"/>
      <c r="G51" s="26"/>
      <c r="H51" s="27" t="n">
        <v>785358</v>
      </c>
      <c r="I51" s="27"/>
      <c r="J51" s="31" t="n">
        <f aca="false">439874.4+47183.2</f>
        <v>487057.6</v>
      </c>
      <c r="K51" s="24" t="n">
        <v>590080</v>
      </c>
      <c r="L51" s="32" t="n">
        <v>113</v>
      </c>
      <c r="M51" s="92" t="n">
        <f aca="false">J51/L51</f>
        <v>4310.24424778761</v>
      </c>
      <c r="N51" s="93" t="n">
        <f aca="false">'$'!C98</f>
        <v>5.924601</v>
      </c>
      <c r="O51" s="36"/>
      <c r="P51" s="36"/>
      <c r="Q51" s="37"/>
      <c r="R51" s="35" t="n">
        <f aca="false">SUM(C51:E51)/N51</f>
        <v>62441.835323594</v>
      </c>
      <c r="S51" s="35" t="n">
        <f aca="false">C51/$N51</f>
        <v>0</v>
      </c>
      <c r="T51" s="35" t="n">
        <f aca="false">D51/$N51</f>
        <v>703.485348633604</v>
      </c>
      <c r="U51" s="35" t="n">
        <f aca="false">E51/$N51</f>
        <v>61738.3499749603</v>
      </c>
      <c r="V51" s="36" t="n">
        <f aca="false">C51/N51/J51</f>
        <v>0</v>
      </c>
      <c r="W51" s="94" t="n">
        <f aca="false">D51/N51/J51</f>
        <v>0.00144435760500114</v>
      </c>
      <c r="X51" s="36" t="n">
        <f aca="false">E51/N51/J51</f>
        <v>0.12675780025804</v>
      </c>
      <c r="Y51" s="36" t="n">
        <f aca="false">SUM(C51:E51)/N51/J51</f>
        <v>0.128202157863041</v>
      </c>
      <c r="Z51" s="36" t="n">
        <f aca="false">(K51/N51)/J51</f>
        <v>0.204489711905379</v>
      </c>
      <c r="AA51" s="113" t="n">
        <f aca="false">H51/J51</f>
        <v>1.61245405060921</v>
      </c>
      <c r="AB51" s="38"/>
      <c r="AC51" s="38"/>
      <c r="AD51" s="38"/>
      <c r="AE51" s="39"/>
      <c r="AF51" s="114" t="n">
        <f aca="false">AB51/$N51</f>
        <v>0</v>
      </c>
      <c r="AG51" s="114" t="n">
        <f aca="false">AC51/$N51</f>
        <v>0</v>
      </c>
      <c r="AH51" s="114" t="n">
        <f aca="false">AD51/$N51</f>
        <v>0</v>
      </c>
      <c r="AI51" s="114" t="n">
        <f aca="false">AE51/$N51</f>
        <v>0</v>
      </c>
    </row>
    <row r="52" customFormat="false" ht="18.75" hidden="false" customHeight="true" outlineLevel="0" collapsed="false">
      <c r="A52" s="18" t="n">
        <v>2020</v>
      </c>
      <c r="B52" s="18" t="n">
        <v>2</v>
      </c>
      <c r="C52" s="24"/>
      <c r="D52" s="24" t="n">
        <f aca="false">235.85+4075.53</f>
        <v>4311.38</v>
      </c>
      <c r="E52" s="25" t="n">
        <v>320847.55</v>
      </c>
      <c r="F52" s="26"/>
      <c r="G52" s="26"/>
      <c r="H52" s="27" t="n">
        <v>672184.8</v>
      </c>
      <c r="I52" s="27"/>
      <c r="J52" s="31" t="n">
        <v>448132</v>
      </c>
      <c r="K52" s="24" t="n">
        <v>609435</v>
      </c>
      <c r="L52" s="32" t="n">
        <v>117</v>
      </c>
      <c r="M52" s="92" t="n">
        <f aca="false">J52/L52</f>
        <v>3830.18803418803</v>
      </c>
      <c r="N52" s="93" t="n">
        <f aca="false">'$'!C99</f>
        <v>6.057833</v>
      </c>
      <c r="O52" s="36"/>
      <c r="P52" s="36"/>
      <c r="Q52" s="37"/>
      <c r="R52" s="35" t="n">
        <f aca="false">SUM(C52:E52)/N52</f>
        <v>53675.7830729239</v>
      </c>
      <c r="S52" s="35" t="n">
        <f aca="false">C52/$N52</f>
        <v>0</v>
      </c>
      <c r="T52" s="35" t="n">
        <f aca="false">D52/$N52</f>
        <v>711.7033434233</v>
      </c>
      <c r="U52" s="35" t="n">
        <f aca="false">E52/$N52</f>
        <v>52964.0797295006</v>
      </c>
      <c r="V52" s="36" t="n">
        <f aca="false">C52/N52/J52</f>
        <v>0</v>
      </c>
      <c r="W52" s="94" t="n">
        <f aca="false">D52/N52/J52</f>
        <v>0.0015881555957247</v>
      </c>
      <c r="X52" s="36" t="n">
        <f aca="false">E52/N52/J52</f>
        <v>0.118188568835746</v>
      </c>
      <c r="Y52" s="36" t="n">
        <f aca="false">SUM(C52:E52)/N52/J52</f>
        <v>0.119776724431471</v>
      </c>
      <c r="Z52" s="36" t="n">
        <f aca="false">(K52/N52)/J52</f>
        <v>0.224493690066865</v>
      </c>
      <c r="AA52" s="113" t="n">
        <f aca="false">H52/J52</f>
        <v>1.49997054439317</v>
      </c>
      <c r="AB52" s="38"/>
      <c r="AC52" s="38"/>
      <c r="AD52" s="38"/>
      <c r="AE52" s="39"/>
      <c r="AF52" s="114" t="n">
        <f aca="false">AB52/$N52</f>
        <v>0</v>
      </c>
      <c r="AG52" s="114" t="n">
        <f aca="false">AC52/$N52</f>
        <v>0</v>
      </c>
      <c r="AH52" s="114" t="n">
        <f aca="false">AD52/$N52</f>
        <v>0</v>
      </c>
      <c r="AI52" s="114" t="n">
        <f aca="false">AE52/$N52</f>
        <v>0</v>
      </c>
    </row>
    <row r="53" customFormat="false" ht="18.75" hidden="false" customHeight="true" outlineLevel="0" collapsed="false">
      <c r="A53" s="18" t="n">
        <v>2020</v>
      </c>
      <c r="B53" s="18" t="n">
        <v>3</v>
      </c>
      <c r="C53" s="24"/>
      <c r="D53" s="24" t="n">
        <f aca="false">200.01+5113.36</f>
        <v>5313.37</v>
      </c>
      <c r="E53" s="25" t="n">
        <v>326656.53</v>
      </c>
      <c r="F53" s="26"/>
      <c r="G53" s="26"/>
      <c r="H53" s="27" t="n">
        <v>735177.24</v>
      </c>
      <c r="I53" s="27"/>
      <c r="J53" s="31" t="n">
        <v>487842</v>
      </c>
      <c r="K53" s="24" t="n">
        <v>698522</v>
      </c>
      <c r="L53" s="32" t="n">
        <v>130</v>
      </c>
      <c r="M53" s="92" t="n">
        <f aca="false">J53/L53</f>
        <v>3752.63076923077</v>
      </c>
      <c r="N53" s="93" t="n">
        <f aca="false">'$'!C100</f>
        <v>6.335075</v>
      </c>
      <c r="O53" s="36"/>
      <c r="P53" s="36"/>
      <c r="Q53" s="37"/>
      <c r="R53" s="35" t="n">
        <f aca="false">SUM(C53:E53)/N53</f>
        <v>52401.8894803929</v>
      </c>
      <c r="S53" s="35" t="n">
        <f aca="false">C53/$N53</f>
        <v>0</v>
      </c>
      <c r="T53" s="35" t="n">
        <f aca="false">D53/$N53</f>
        <v>838.722509204706</v>
      </c>
      <c r="U53" s="35" t="n">
        <f aca="false">E53/$N53</f>
        <v>51563.1669711882</v>
      </c>
      <c r="V53" s="36" t="n">
        <f aca="false">C53/N53/J53</f>
        <v>0</v>
      </c>
      <c r="W53" s="94" t="n">
        <f aca="false">D53/N53/J53</f>
        <v>0.00171925030892114</v>
      </c>
      <c r="X53" s="36" t="n">
        <f aca="false">E53/N53/J53</f>
        <v>0.105696448791183</v>
      </c>
      <c r="Y53" s="36" t="n">
        <f aca="false">SUM(C53:E53)/N53/J53</f>
        <v>0.107415699100104</v>
      </c>
      <c r="Z53" s="36" t="n">
        <f aca="false">(K53/N53)/J53</f>
        <v>0.226021181338437</v>
      </c>
      <c r="AA53" s="113" t="n">
        <f aca="false">H53/J53</f>
        <v>1.50699865940202</v>
      </c>
      <c r="AB53" s="38"/>
      <c r="AC53" s="38"/>
      <c r="AD53" s="38"/>
      <c r="AE53" s="39"/>
      <c r="AF53" s="114" t="n">
        <f aca="false">AB53/$N53</f>
        <v>0</v>
      </c>
      <c r="AG53" s="114" t="n">
        <f aca="false">AC53/$N53</f>
        <v>0</v>
      </c>
      <c r="AH53" s="114" t="n">
        <f aca="false">AD53/$N53</f>
        <v>0</v>
      </c>
      <c r="AI53" s="114" t="n">
        <f aca="false">AE53/$N53</f>
        <v>0</v>
      </c>
    </row>
    <row r="54" customFormat="false" ht="18.75" hidden="false" customHeight="true" outlineLevel="0" collapsed="false">
      <c r="A54" s="18" t="n">
        <v>2020</v>
      </c>
      <c r="B54" s="18" t="n">
        <v>4</v>
      </c>
      <c r="C54" s="24" t="n">
        <v>10206.52</v>
      </c>
      <c r="D54" s="24" t="n">
        <f aca="false">100.3+3252.21</f>
        <v>3352.51</v>
      </c>
      <c r="E54" s="25" t="n">
        <v>264295.13</v>
      </c>
      <c r="F54" s="26" t="n">
        <v>5157.83</v>
      </c>
      <c r="G54" s="26"/>
      <c r="H54" s="27" t="n">
        <v>439178.04</v>
      </c>
      <c r="I54" s="27"/>
      <c r="J54" s="31" t="n">
        <v>242712</v>
      </c>
      <c r="K54" s="24" t="n">
        <v>410325</v>
      </c>
      <c r="L54" s="32" t="n">
        <v>136</v>
      </c>
      <c r="M54" s="92" t="n">
        <f aca="false">J54/L54</f>
        <v>1784.64705882353</v>
      </c>
      <c r="N54" s="93" t="n">
        <f aca="false">'$'!C101</f>
        <v>6.839434</v>
      </c>
      <c r="O54" s="36"/>
      <c r="P54" s="36"/>
      <c r="Q54" s="37"/>
      <c r="R54" s="35" t="n">
        <f aca="false">SUM(C54:E54)/N54</f>
        <v>40625.3149017887</v>
      </c>
      <c r="S54" s="35" t="n">
        <f aca="false">C54/$N54</f>
        <v>1492.30477258791</v>
      </c>
      <c r="T54" s="35" t="n">
        <f aca="false">D54/$N54</f>
        <v>490.173602084617</v>
      </c>
      <c r="U54" s="35" t="n">
        <f aca="false">E54/$N54</f>
        <v>38642.8365271161</v>
      </c>
      <c r="V54" s="36" t="n">
        <f aca="false">C54/N54/J54</f>
        <v>0.00614845896613232</v>
      </c>
      <c r="W54" s="94" t="n">
        <f aca="false">D54/N54/J54</f>
        <v>0.00201956888033808</v>
      </c>
      <c r="X54" s="36" t="n">
        <f aca="false">E54/N54/J54</f>
        <v>0.159212715181434</v>
      </c>
      <c r="Y54" s="36" t="n">
        <f aca="false">SUM(C54:E54)/N54/J54</f>
        <v>0.167380743027904</v>
      </c>
      <c r="Z54" s="36" t="n">
        <f aca="false">(K54/N54)/J54</f>
        <v>0.24718184310404</v>
      </c>
      <c r="AA54" s="113" t="n">
        <f aca="false">H54/J54</f>
        <v>1.80946158409967</v>
      </c>
      <c r="AB54" s="40" t="n">
        <f aca="false">C54/F54</f>
        <v>1.97883993850127</v>
      </c>
      <c r="AC54" s="40"/>
      <c r="AD54" s="40" t="n">
        <f aca="false">E54/H54</f>
        <v>0.601794957689597</v>
      </c>
      <c r="AE54" s="39"/>
      <c r="AF54" s="114" t="n">
        <f aca="false">AB54/$N54</f>
        <v>0.28932802604737</v>
      </c>
      <c r="AG54" s="114" t="n">
        <f aca="false">AC54/$N54</f>
        <v>0</v>
      </c>
      <c r="AH54" s="114" t="n">
        <f aca="false">AD54/$N54</f>
        <v>0.087988999921572</v>
      </c>
      <c r="AI54" s="114" t="n">
        <f aca="false">AE54/$N54</f>
        <v>0</v>
      </c>
    </row>
    <row r="55" customFormat="false" ht="18.75" hidden="false" customHeight="true" outlineLevel="0" collapsed="false">
      <c r="A55" s="18" t="n">
        <v>2020</v>
      </c>
      <c r="B55" s="18" t="n">
        <v>5</v>
      </c>
      <c r="C55" s="24" t="n">
        <v>25420.04</v>
      </c>
      <c r="D55" s="24" t="n">
        <f aca="false">78.3+3022.31</f>
        <v>3100.61</v>
      </c>
      <c r="E55" s="25" t="n">
        <v>217128.25</v>
      </c>
      <c r="F55" s="26" t="n">
        <f aca="false">12093.8+241.03</f>
        <v>12334.83</v>
      </c>
      <c r="G55" s="26"/>
      <c r="H55" s="27" t="n">
        <v>384441.12</v>
      </c>
      <c r="I55" s="27"/>
      <c r="J55" s="31" t="n">
        <v>230426</v>
      </c>
      <c r="K55" s="24" t="n">
        <v>372400</v>
      </c>
      <c r="L55" s="32" t="n">
        <v>135</v>
      </c>
      <c r="M55" s="92" t="n">
        <f aca="false">J55/L55</f>
        <v>1706.85925925926</v>
      </c>
      <c r="N55" s="93" t="n">
        <f aca="false">'$'!C102</f>
        <v>6.931656</v>
      </c>
      <c r="O55" s="36"/>
      <c r="P55" s="36"/>
      <c r="Q55" s="37"/>
      <c r="R55" s="35" t="n">
        <f aca="false">SUM(C55:E55)/N55</f>
        <v>35438.7032478242</v>
      </c>
      <c r="S55" s="35" t="n">
        <f aca="false">C55/$N55</f>
        <v>3667.23911284692</v>
      </c>
      <c r="T55" s="35" t="n">
        <f aca="false">D55/$N55</f>
        <v>447.311580378484</v>
      </c>
      <c r="U55" s="35" t="n">
        <f aca="false">E55/$N55</f>
        <v>31324.1525545988</v>
      </c>
      <c r="V55" s="36" t="n">
        <f aca="false">C55/N55/J55</f>
        <v>0.0159150404591796</v>
      </c>
      <c r="W55" s="94" t="n">
        <f aca="false">D55/N55/J55</f>
        <v>0.00194123744880562</v>
      </c>
      <c r="X55" s="36" t="n">
        <f aca="false">E55/N55/J55</f>
        <v>0.135940182768432</v>
      </c>
      <c r="Y55" s="36" t="n">
        <f aca="false">SUM(C55:E55)/N55/J55</f>
        <v>0.153796460676418</v>
      </c>
      <c r="Z55" s="36" t="n">
        <f aca="false">(K55/N55)/J55</f>
        <v>0.233153097595381</v>
      </c>
      <c r="AA55" s="113" t="n">
        <f aca="false">H55/J55</f>
        <v>1.66839297648703</v>
      </c>
      <c r="AB55" s="40" t="n">
        <f aca="false">C55/F55</f>
        <v>2.06083423930447</v>
      </c>
      <c r="AC55" s="40"/>
      <c r="AD55" s="40" t="n">
        <f aca="false">E55/H55</f>
        <v>0.564789349276685</v>
      </c>
      <c r="AE55" s="39"/>
      <c r="AF55" s="114" t="n">
        <f aca="false">AB55/$N55</f>
        <v>0.2973076331694</v>
      </c>
      <c r="AG55" s="114" t="n">
        <f aca="false">AC55/$N55</f>
        <v>0</v>
      </c>
      <c r="AH55" s="114" t="n">
        <f aca="false">AD55/$N55</f>
        <v>0.0814797141226693</v>
      </c>
      <c r="AI55" s="114" t="n">
        <f aca="false">AE55/$N55</f>
        <v>0</v>
      </c>
    </row>
    <row r="56" customFormat="false" ht="18.75" hidden="false" customHeight="true" outlineLevel="0" collapsed="false">
      <c r="A56" s="18" t="n">
        <v>2020</v>
      </c>
      <c r="B56" s="18" t="n">
        <v>6</v>
      </c>
      <c r="C56" s="24" t="n">
        <v>28076.01</v>
      </c>
      <c r="D56" s="24" t="n">
        <f aca="false">138.78+7030.8</f>
        <v>7169.58</v>
      </c>
      <c r="E56" s="25" t="n">
        <v>419642.42</v>
      </c>
      <c r="F56" s="26" t="n">
        <f aca="false">12546.52+565.4</f>
        <v>13111.92</v>
      </c>
      <c r="G56" s="26"/>
      <c r="H56" s="27" t="n">
        <v>763189.56</v>
      </c>
      <c r="I56" s="27"/>
      <c r="J56" s="31" t="n">
        <v>386098</v>
      </c>
      <c r="K56" s="24" t="n">
        <v>480554</v>
      </c>
      <c r="L56" s="32" t="n">
        <v>135</v>
      </c>
      <c r="M56" s="92" t="n">
        <f aca="false">J56/L56</f>
        <v>2859.98518518519</v>
      </c>
      <c r="N56" s="93" t="n">
        <f aca="false">'$'!C103</f>
        <v>6.816762</v>
      </c>
      <c r="O56" s="36"/>
      <c r="P56" s="36"/>
      <c r="Q56" s="37"/>
      <c r="R56" s="35" t="n">
        <f aca="false">SUM(C56:E56)/N56</f>
        <v>66730.8041559908</v>
      </c>
      <c r="S56" s="35" t="n">
        <f aca="false">C56/$N56</f>
        <v>4118.67247235564</v>
      </c>
      <c r="T56" s="35" t="n">
        <f aca="false">D56/$N56</f>
        <v>1051.75741796472</v>
      </c>
      <c r="U56" s="35" t="n">
        <f aca="false">E56/$N56</f>
        <v>61560.3742656704</v>
      </c>
      <c r="V56" s="36" t="n">
        <f aca="false">C56/N56/J56</f>
        <v>0.0106674276281039</v>
      </c>
      <c r="W56" s="94" t="n">
        <f aca="false">D56/N56/J56</f>
        <v>0.00272406854727224</v>
      </c>
      <c r="X56" s="36" t="n">
        <f aca="false">E56/N56/J56</f>
        <v>0.159442354701838</v>
      </c>
      <c r="Y56" s="36" t="n">
        <f aca="false">SUM(C56:E56)/N56/J56</f>
        <v>0.172833850877215</v>
      </c>
      <c r="Z56" s="36" t="n">
        <f aca="false">(K56/N56)/J56</f>
        <v>0.182585595901833</v>
      </c>
      <c r="AA56" s="113" t="n">
        <f aca="false">H56/J56</f>
        <v>1.97667317624023</v>
      </c>
      <c r="AB56" s="40" t="n">
        <f aca="false">C56/F56</f>
        <v>2.14125848845936</v>
      </c>
      <c r="AC56" s="40"/>
      <c r="AD56" s="40" t="n">
        <f aca="false">E56/H56</f>
        <v>0.549853459735482</v>
      </c>
      <c r="AE56" s="39"/>
      <c r="AF56" s="114" t="n">
        <f aca="false">AB56/$N56</f>
        <v>0.314116656626615</v>
      </c>
      <c r="AG56" s="114" t="n">
        <f aca="false">AC56/$N56</f>
        <v>0</v>
      </c>
      <c r="AH56" s="114" t="n">
        <f aca="false">AD56/$N56</f>
        <v>0.0806619711434082</v>
      </c>
      <c r="AI56" s="114" t="n">
        <f aca="false">AE56/$N56</f>
        <v>0</v>
      </c>
    </row>
    <row r="57" customFormat="false" ht="18.75" hidden="false" customHeight="true" outlineLevel="0" collapsed="false">
      <c r="A57" s="18" t="n">
        <v>2020</v>
      </c>
      <c r="B57" s="18" t="n">
        <v>7</v>
      </c>
      <c r="C57" s="24" t="n">
        <v>27819.81</v>
      </c>
      <c r="D57" s="24" t="n">
        <f aca="false">7114.85+171.5</f>
        <v>7286.35</v>
      </c>
      <c r="E57" s="25" t="n">
        <v>416489.04</v>
      </c>
      <c r="F57" s="26" t="n">
        <f aca="false">14888.45+599.23</f>
        <v>15487.68</v>
      </c>
      <c r="G57" s="26"/>
      <c r="H57" s="27" t="n">
        <v>867338.64</v>
      </c>
      <c r="I57" s="27"/>
      <c r="J57" s="31" t="n">
        <v>461462</v>
      </c>
      <c r="K57" s="24" t="n">
        <v>453890</v>
      </c>
      <c r="L57" s="32" t="n">
        <v>135</v>
      </c>
      <c r="M57" s="92" t="n">
        <f aca="false">J57/L57</f>
        <v>3418.23703703704</v>
      </c>
      <c r="N57" s="93" t="n">
        <f aca="false">'$'!C104</f>
        <v>6.867708</v>
      </c>
      <c r="O57" s="36"/>
      <c r="P57" s="36"/>
      <c r="Q57" s="37"/>
      <c r="R57" s="35" t="n">
        <f aca="false">SUM(C57:E57)/N57</f>
        <v>65756.3192843959</v>
      </c>
      <c r="S57" s="35" t="n">
        <f aca="false">C57/$N57</f>
        <v>4050.81433281671</v>
      </c>
      <c r="T57" s="35" t="n">
        <f aca="false">D57/$N57</f>
        <v>1060.95803723746</v>
      </c>
      <c r="U57" s="35" t="n">
        <f aca="false">E57/$N57</f>
        <v>60644.5469143417</v>
      </c>
      <c r="V57" s="36" t="n">
        <f aca="false">C57/N57/J57</f>
        <v>0.0087782186459919</v>
      </c>
      <c r="W57" s="94" t="n">
        <f aca="false">D57/N57/J57</f>
        <v>0.00229912330210821</v>
      </c>
      <c r="X57" s="36" t="n">
        <f aca="false">E57/N57/J57</f>
        <v>0.131418289944441</v>
      </c>
      <c r="Y57" s="36" t="n">
        <f aca="false">SUM(C57:E57)/N57/J57</f>
        <v>0.142495631892541</v>
      </c>
      <c r="Z57" s="36" t="n">
        <f aca="false">(K57/N57)/J57</f>
        <v>0.143219729438456</v>
      </c>
      <c r="AA57" s="113" t="n">
        <f aca="false">H57/J57</f>
        <v>1.87954509797123</v>
      </c>
      <c r="AB57" s="40" t="n">
        <f aca="false">C57/F57</f>
        <v>1.79625418397074</v>
      </c>
      <c r="AC57" s="40"/>
      <c r="AD57" s="40" t="n">
        <f aca="false">E57/H57</f>
        <v>0.480191958241362</v>
      </c>
      <c r="AE57" s="39"/>
      <c r="AF57" s="114" t="n">
        <f aca="false">AB57/$N57</f>
        <v>0.261550750843039</v>
      </c>
      <c r="AG57" s="114" t="n">
        <f aca="false">AC57/$N57</f>
        <v>0</v>
      </c>
      <c r="AH57" s="114" t="n">
        <f aca="false">AD57/$N57</f>
        <v>0.0699202642630354</v>
      </c>
      <c r="AI57" s="114" t="n">
        <f aca="false">AE57/$N57</f>
        <v>0</v>
      </c>
    </row>
    <row r="58" customFormat="false" ht="18.75" hidden="false" customHeight="true" outlineLevel="0" collapsed="false">
      <c r="A58" s="18" t="n">
        <v>2020</v>
      </c>
      <c r="B58" s="18" t="n">
        <v>8</v>
      </c>
      <c r="C58" s="24" t="n">
        <v>24407.83</v>
      </c>
      <c r="D58" s="24" t="n">
        <f aca="false">7707.54+175.61</f>
        <v>7883.15</v>
      </c>
      <c r="E58" s="25" t="n">
        <v>461682.43</v>
      </c>
      <c r="F58" s="26" t="n">
        <f aca="false">13438.05+310.16</f>
        <v>13748.21</v>
      </c>
      <c r="G58" s="26"/>
      <c r="H58" s="27" t="n">
        <v>897409.8</v>
      </c>
      <c r="I58" s="27"/>
      <c r="J58" s="31" t="n">
        <v>523750</v>
      </c>
      <c r="K58" s="24" t="n">
        <v>681013</v>
      </c>
      <c r="L58" s="32" t="n">
        <v>138</v>
      </c>
      <c r="M58" s="92" t="n">
        <f aca="false">J58/L58</f>
        <v>3795.28985507246</v>
      </c>
      <c r="N58" s="93" t="n">
        <f aca="false">'$'!C105</f>
        <v>7.26562</v>
      </c>
      <c r="O58" s="36"/>
      <c r="P58" s="36"/>
      <c r="Q58" s="37"/>
      <c r="R58" s="35" t="n">
        <f aca="false">SUM(C58:E58)/N58</f>
        <v>67987.7849378305</v>
      </c>
      <c r="S58" s="35" t="n">
        <f aca="false">C58/$N58</f>
        <v>3359.35955912916</v>
      </c>
      <c r="T58" s="35" t="n">
        <f aca="false">D58/$N58</f>
        <v>1084.99343483419</v>
      </c>
      <c r="U58" s="35" t="n">
        <f aca="false">E58/$N58</f>
        <v>63543.4319438672</v>
      </c>
      <c r="V58" s="36" t="n">
        <f aca="false">C58/N58/J58</f>
        <v>0.00641405166420842</v>
      </c>
      <c r="W58" s="94" t="n">
        <f aca="false">D58/N58/J58</f>
        <v>0.00207158651042328</v>
      </c>
      <c r="X58" s="36" t="n">
        <f aca="false">E58/N58/J58</f>
        <v>0.121323975071823</v>
      </c>
      <c r="Y58" s="36" t="n">
        <f aca="false">SUM(C58:E58)/N58/J58</f>
        <v>0.129809613246454</v>
      </c>
      <c r="Z58" s="36" t="n">
        <f aca="false">(K58/N58)/J58</f>
        <v>0.178961118870361</v>
      </c>
      <c r="AA58" s="113" t="n">
        <f aca="false">H58/J58</f>
        <v>1.71343159904535</v>
      </c>
      <c r="AB58" s="40" t="n">
        <f aca="false">C58/F58</f>
        <v>1.77534602686459</v>
      </c>
      <c r="AC58" s="40"/>
      <c r="AD58" s="40" t="n">
        <f aca="false">E58/H58</f>
        <v>0.51446109681441</v>
      </c>
      <c r="AE58" s="39"/>
      <c r="AF58" s="114" t="n">
        <f aca="false">AB58/$N58</f>
        <v>0.244348868625745</v>
      </c>
      <c r="AG58" s="114" t="n">
        <f aca="false">AC58/$N58</f>
        <v>0</v>
      </c>
      <c r="AH58" s="114" t="n">
        <f aca="false">AD58/$N58</f>
        <v>0.070807597536674</v>
      </c>
      <c r="AI58" s="114" t="n">
        <f aca="false">AE58/$N58</f>
        <v>0</v>
      </c>
    </row>
    <row r="59" customFormat="false" ht="18.75" hidden="false" customHeight="true" outlineLevel="0" collapsed="false">
      <c r="A59" s="18" t="n">
        <v>2020</v>
      </c>
      <c r="B59" s="18" t="n">
        <v>9</v>
      </c>
      <c r="C59" s="24" t="n">
        <v>27866.3</v>
      </c>
      <c r="D59" s="24" t="n">
        <f aca="false">7932.59+211.74</f>
        <v>8144.33</v>
      </c>
      <c r="E59" s="25" t="n">
        <v>493579.04</v>
      </c>
      <c r="F59" s="26" t="n">
        <f aca="false">15390.58+304.56</f>
        <v>15695.14</v>
      </c>
      <c r="G59" s="26" t="n">
        <f aca="false">3649+18</f>
        <v>3667</v>
      </c>
      <c r="H59" s="27" t="n">
        <v>985307.4</v>
      </c>
      <c r="I59" s="27"/>
      <c r="J59" s="31" t="n">
        <v>642311</v>
      </c>
      <c r="K59" s="24" t="n">
        <v>700838</v>
      </c>
      <c r="L59" s="32" t="n">
        <v>147</v>
      </c>
      <c r="M59" s="92" t="n">
        <f aca="false">J59/L59</f>
        <v>4369.46258503401</v>
      </c>
      <c r="N59" s="93" t="n">
        <f aca="false">'$'!C106</f>
        <v>7.537593</v>
      </c>
      <c r="O59" s="36"/>
      <c r="P59" s="36"/>
      <c r="Q59" s="37"/>
      <c r="R59" s="35" t="n">
        <f aca="false">SUM(C59:E59)/N59</f>
        <v>70259.7858494084</v>
      </c>
      <c r="S59" s="35" t="n">
        <f aca="false">C59/$N59</f>
        <v>3696.97594444274</v>
      </c>
      <c r="T59" s="35" t="n">
        <f aca="false">D59/$N59</f>
        <v>1080.49479455842</v>
      </c>
      <c r="U59" s="35" t="n">
        <f aca="false">E59/$N59</f>
        <v>65482.3151104073</v>
      </c>
      <c r="V59" s="36" t="n">
        <f aca="false">C59/N59/J59</f>
        <v>0.00575574129112337</v>
      </c>
      <c r="W59" s="94" t="n">
        <f aca="false">D59/N59/J59</f>
        <v>0.0016821988017618</v>
      </c>
      <c r="X59" s="36" t="n">
        <f aca="false">E59/N59/J59</f>
        <v>0.101947989541526</v>
      </c>
      <c r="Y59" s="36" t="n">
        <f aca="false">SUM(C59:E59)/N59/J59</f>
        <v>0.109385929634411</v>
      </c>
      <c r="Z59" s="36" t="n">
        <f aca="false">(K59/N59)/J59</f>
        <v>0.144757008106147</v>
      </c>
      <c r="AA59" s="113" t="n">
        <f aca="false">H59/J59</f>
        <v>1.53400362129872</v>
      </c>
      <c r="AB59" s="40" t="n">
        <f aca="false">C59/F59</f>
        <v>1.77547317195004</v>
      </c>
      <c r="AC59" s="40" t="n">
        <f aca="false">D59/G59</f>
        <v>2.22097900190892</v>
      </c>
      <c r="AD59" s="40" t="n">
        <f aca="false">E59/H59</f>
        <v>0.50093913838463</v>
      </c>
      <c r="AE59" s="39"/>
      <c r="AF59" s="114" t="n">
        <f aca="false">AB59/$N59</f>
        <v>0.235549090001283</v>
      </c>
      <c r="AG59" s="114" t="n">
        <f aca="false">AC59/$N59</f>
        <v>0.294653611823949</v>
      </c>
      <c r="AH59" s="114" t="n">
        <f aca="false">AD59/$N59</f>
        <v>0.0664587671932711</v>
      </c>
      <c r="AI59" s="114" t="n">
        <f aca="false">AE59/$N59</f>
        <v>0</v>
      </c>
    </row>
    <row r="60" customFormat="false" ht="18.75" hidden="false" customHeight="true" outlineLevel="0" collapsed="false">
      <c r="A60" s="18" t="n">
        <v>2020</v>
      </c>
      <c r="B60" s="18" t="n">
        <v>10</v>
      </c>
      <c r="C60" s="24" t="n">
        <v>36330.69</v>
      </c>
      <c r="D60" s="24" t="n">
        <f aca="false">9580.49+308.74</f>
        <v>9889.23</v>
      </c>
      <c r="E60" s="25" t="n">
        <v>606160.65</v>
      </c>
      <c r="F60" s="26" t="n">
        <f aca="false">20368.78+91.58</f>
        <v>20460.36</v>
      </c>
      <c r="G60" s="26" t="n">
        <f aca="false">4419+26</f>
        <v>4445</v>
      </c>
      <c r="H60" s="27" t="n">
        <v>1131134.76</v>
      </c>
      <c r="I60" s="27"/>
      <c r="J60" s="31" t="n">
        <v>754397</v>
      </c>
      <c r="K60" s="24" t="n">
        <v>756967</v>
      </c>
      <c r="L60" s="32" t="n">
        <v>159</v>
      </c>
      <c r="M60" s="92" t="n">
        <f aca="false">J60/L60</f>
        <v>4744.63522012579</v>
      </c>
      <c r="N60" s="93" t="n">
        <f aca="false">'$'!C107</f>
        <v>7.930235</v>
      </c>
      <c r="O60" s="116" t="n">
        <f aca="false">F60/(J60+'UT3b (1278)'!I4)</f>
        <v>0.0271214758277141</v>
      </c>
      <c r="P60" s="116" t="n">
        <f aca="false">G60/(J60+'UT3b (1278)'!I4)</f>
        <v>0.00589212311289679</v>
      </c>
      <c r="Q60" s="117" t="n">
        <f aca="false">(H60+'UT3b (1278)'!H4)/(J60+'UT3b (1278)'!I4)</f>
        <v>1.49938926056175</v>
      </c>
      <c r="R60" s="35" t="n">
        <f aca="false">SUM(C60:E60)/N60</f>
        <v>82264.973232193</v>
      </c>
      <c r="S60" s="35" t="n">
        <f aca="false">C60/$N60</f>
        <v>4581.2879441782</v>
      </c>
      <c r="T60" s="35" t="n">
        <f aca="false">D60/$N60</f>
        <v>1247.02861895013</v>
      </c>
      <c r="U60" s="35" t="n">
        <f aca="false">E60/$N60</f>
        <v>76436.6566690647</v>
      </c>
      <c r="V60" s="36" t="n">
        <f aca="false">C60/N60/J60</f>
        <v>0.00607278123345957</v>
      </c>
      <c r="W60" s="94" t="n">
        <f aca="false">D60/N60/J60</f>
        <v>0.00165301375661639</v>
      </c>
      <c r="X60" s="36" t="n">
        <f aca="false">E60/N60/J60</f>
        <v>0.101321527881294</v>
      </c>
      <c r="Y60" s="36" t="n">
        <f aca="false">SUM(C60:E60)/N60/J60</f>
        <v>0.10904732287137</v>
      </c>
      <c r="Z60" s="36" t="n">
        <f aca="false">(K60/N60)/J60</f>
        <v>0.126529250943161</v>
      </c>
      <c r="AA60" s="113" t="n">
        <f aca="false">H60/J60</f>
        <v>1.49938926056175</v>
      </c>
      <c r="AB60" s="40" t="n">
        <f aca="false">C60/F60</f>
        <v>1.77566230506208</v>
      </c>
      <c r="AC60" s="40" t="n">
        <f aca="false">D60/G60</f>
        <v>2.22479865016873</v>
      </c>
      <c r="AD60" s="40" t="n">
        <f aca="false">E60/H60</f>
        <v>0.535887209407303</v>
      </c>
      <c r="AE60" s="39"/>
      <c r="AF60" s="114" t="n">
        <f aca="false">AB60/$N60</f>
        <v>0.223910427000219</v>
      </c>
      <c r="AG60" s="114" t="n">
        <f aca="false">AC60/$N60</f>
        <v>0.280546370967409</v>
      </c>
      <c r="AH60" s="114" t="n">
        <f aca="false">AD60/$N60</f>
        <v>0.067575199146974</v>
      </c>
      <c r="AI60" s="114" t="n">
        <f aca="false">AE60/$N60</f>
        <v>0</v>
      </c>
    </row>
    <row r="61" customFormat="false" ht="18.75" hidden="false" customHeight="true" outlineLevel="0" collapsed="false">
      <c r="A61" s="18" t="n">
        <v>2020</v>
      </c>
      <c r="B61" s="18" t="n">
        <v>11</v>
      </c>
      <c r="C61" s="24" t="n">
        <v>43760.84</v>
      </c>
      <c r="D61" s="24" t="n">
        <f aca="false">7692.67+71.31</f>
        <v>7763.98</v>
      </c>
      <c r="E61" s="25" t="n">
        <v>511513.08</v>
      </c>
      <c r="F61" s="26" t="n">
        <f aca="false">23722.65+919.32</f>
        <v>24641.97</v>
      </c>
      <c r="G61" s="26" t="n">
        <f aca="false">3655+6</f>
        <v>3661</v>
      </c>
      <c r="H61" s="27" t="n">
        <v>1041276.6</v>
      </c>
      <c r="I61" s="27"/>
      <c r="J61" s="31" t="n">
        <v>648596</v>
      </c>
      <c r="K61" s="24" t="n">
        <v>778531</v>
      </c>
      <c r="L61" s="32" t="n">
        <v>158</v>
      </c>
      <c r="M61" s="92" t="n">
        <f aca="false">J61/L61</f>
        <v>4105.03797468354</v>
      </c>
      <c r="N61" s="93" t="n">
        <f aca="false">'$'!C108</f>
        <v>7.983238</v>
      </c>
      <c r="O61" s="116" t="n">
        <f aca="false">F61/(J61+'UT3b (1278)'!I5)</f>
        <v>0.0379927874979186</v>
      </c>
      <c r="P61" s="116" t="n">
        <f aca="false">G61/(J61+'UT3b (1278)'!I5)</f>
        <v>0.0056444998119014</v>
      </c>
      <c r="Q61" s="117" t="n">
        <f aca="false">(H61+'UT3b (1278)'!H5)/(J61+'UT3b (1278)'!I5)</f>
        <v>1.60543173254229</v>
      </c>
      <c r="R61" s="35" t="n">
        <f aca="false">SUM(C61:E61)/N61</f>
        <v>70527.5102658846</v>
      </c>
      <c r="S61" s="35" t="n">
        <f aca="false">C61/$N61</f>
        <v>5481.59030208043</v>
      </c>
      <c r="T61" s="35" t="n">
        <f aca="false">D61/$N61</f>
        <v>972.535204386992</v>
      </c>
      <c r="U61" s="35" t="n">
        <f aca="false">E61/$N61</f>
        <v>64073.3847594172</v>
      </c>
      <c r="V61" s="36" t="n">
        <f aca="false">C61/N61/J61</f>
        <v>0.00845147102677234</v>
      </c>
      <c r="W61" s="94" t="n">
        <f aca="false">D61/N61/J61</f>
        <v>0.00149944681186284</v>
      </c>
      <c r="X61" s="36" t="n">
        <f aca="false">E61/N61/J61</f>
        <v>0.0987878197821405</v>
      </c>
      <c r="Y61" s="36" t="n">
        <f aca="false">SUM(C61:E61)/N61/J61</f>
        <v>0.108738737620776</v>
      </c>
      <c r="Z61" s="36" t="n">
        <f aca="false">(K61/N61)/J61</f>
        <v>0.150356624551633</v>
      </c>
      <c r="AA61" s="113"/>
      <c r="AB61" s="40" t="n">
        <f aca="false">C61/F61</f>
        <v>1.77586613407938</v>
      </c>
      <c r="AC61" s="40" t="n">
        <f aca="false">D61/G61</f>
        <v>2.12072657743786</v>
      </c>
      <c r="AD61" s="40" t="n">
        <f aca="false">E61/H61</f>
        <v>0.491236507187427</v>
      </c>
      <c r="AE61" s="39"/>
      <c r="AF61" s="114" t="n">
        <f aca="false">AB61/$N61</f>
        <v>0.222449353768405</v>
      </c>
      <c r="AG61" s="114" t="n">
        <f aca="false">AC61/$N61</f>
        <v>0.265647419936354</v>
      </c>
      <c r="AH61" s="114" t="n">
        <f aca="false">AD61/$N61</f>
        <v>0.0615334914463815</v>
      </c>
      <c r="AI61" s="114" t="n">
        <f aca="false">AE61/$N61</f>
        <v>0</v>
      </c>
    </row>
    <row r="62" customFormat="false" ht="18.75" hidden="false" customHeight="true" outlineLevel="0" collapsed="false">
      <c r="A62" s="18" t="n">
        <v>2020</v>
      </c>
      <c r="B62" s="18" t="n">
        <v>12</v>
      </c>
      <c r="C62" s="24" t="n">
        <v>34772.36</v>
      </c>
      <c r="D62" s="24" t="n">
        <f aca="false">7333.44+183.46</f>
        <v>7516.9</v>
      </c>
      <c r="E62" s="25" t="n">
        <v>498328.5</v>
      </c>
      <c r="F62" s="26" t="n">
        <f aca="false">19018.21+557.17</f>
        <v>19575.38</v>
      </c>
      <c r="G62" s="26" t="n">
        <f aca="false">3272+15</f>
        <v>3287</v>
      </c>
      <c r="H62" s="27" t="n">
        <v>1013043.78</v>
      </c>
      <c r="I62" s="27"/>
      <c r="J62" s="31" t="n">
        <v>653247</v>
      </c>
      <c r="K62" s="24" t="n">
        <v>744692</v>
      </c>
      <c r="L62" s="32" t="n">
        <v>157</v>
      </c>
      <c r="M62" s="92" t="n">
        <f aca="false">J62/L62</f>
        <v>4160.80891719745</v>
      </c>
      <c r="N62" s="93" t="n">
        <f aca="false">'$'!C109</f>
        <v>7.718763</v>
      </c>
      <c r="O62" s="116" t="n">
        <f aca="false">F62/(J62+'UT3b (1278)'!I6)</f>
        <v>0.0299662761558798</v>
      </c>
      <c r="P62" s="116" t="n">
        <f aca="false">G62/(J62+'UT3b (1278)'!I6)</f>
        <v>0.00503178736373837</v>
      </c>
      <c r="Q62" s="117" t="n">
        <f aca="false">(H62+'UT3b (1278)'!H6)/(J62+'UT3b (1278)'!I6)</f>
        <v>1.55078213906838</v>
      </c>
      <c r="R62" s="35" t="n">
        <f aca="false">SUM(C62:E62)/N62</f>
        <v>70039.4298931059</v>
      </c>
      <c r="S62" s="35" t="n">
        <f aca="false">C62/$N62</f>
        <v>4504.91354638042</v>
      </c>
      <c r="T62" s="35" t="n">
        <f aca="false">D62/$N62</f>
        <v>973.847752547915</v>
      </c>
      <c r="U62" s="35" t="n">
        <f aca="false">E62/$N62</f>
        <v>64560.6685941776</v>
      </c>
      <c r="V62" s="36" t="n">
        <f aca="false">C62/N62/J62</f>
        <v>0.00689618711816575</v>
      </c>
      <c r="W62" s="94" t="n">
        <f aca="false">D62/N62/J62</f>
        <v>0.00149078029068318</v>
      </c>
      <c r="X62" s="36" t="n">
        <f aca="false">E62/N62/J62</f>
        <v>0.0988304096217473</v>
      </c>
      <c r="Y62" s="36" t="n">
        <f aca="false">SUM(C62:E62)/N62/J62</f>
        <v>0.107217377030596</v>
      </c>
      <c r="Z62" s="36" t="n">
        <f aca="false">(K62/N62)/J62</f>
        <v>0.147690159005632</v>
      </c>
      <c r="AA62" s="113"/>
      <c r="AB62" s="40" t="n">
        <f aca="false">C62/F62</f>
        <v>1.7763312896097</v>
      </c>
      <c r="AC62" s="40" t="n">
        <f aca="false">D62/G62</f>
        <v>2.28685731670216</v>
      </c>
      <c r="AD62" s="40" t="n">
        <f aca="false">E62/H62</f>
        <v>0.491912106700857</v>
      </c>
      <c r="AE62" s="39"/>
      <c r="AF62" s="114" t="n">
        <f aca="false">AB62/$N62</f>
        <v>0.230131601347224</v>
      </c>
      <c r="AG62" s="114" t="n">
        <f aca="false">AC62/$N62</f>
        <v>0.296272513704872</v>
      </c>
      <c r="AH62" s="114" t="n">
        <f aca="false">AD62/$N62</f>
        <v>0.0637293963684152</v>
      </c>
      <c r="AI62" s="114" t="n">
        <f aca="false">AE62/$N62</f>
        <v>0</v>
      </c>
    </row>
    <row r="63" customFormat="false" ht="18.75" hidden="false" customHeight="true" outlineLevel="0" collapsed="false">
      <c r="A63" s="18" t="n">
        <v>2021</v>
      </c>
      <c r="B63" s="18" t="n">
        <v>1</v>
      </c>
      <c r="C63" s="24" t="n">
        <v>35691.92</v>
      </c>
      <c r="D63" s="24" t="n">
        <f aca="false">7537.39+227.3</f>
        <v>7764.69</v>
      </c>
      <c r="E63" s="25" t="n">
        <v>603148.86</v>
      </c>
      <c r="F63" s="26" t="n">
        <v>20127.52</v>
      </c>
      <c r="G63" s="26" t="n">
        <f aca="false">2915+18</f>
        <v>2933</v>
      </c>
      <c r="H63" s="27" t="n">
        <v>1185899.4</v>
      </c>
      <c r="I63" s="27"/>
      <c r="J63" s="55" t="n">
        <v>929423</v>
      </c>
      <c r="K63" s="24" t="n">
        <v>947455</v>
      </c>
      <c r="L63" s="32" t="n">
        <v>163</v>
      </c>
      <c r="M63" s="92" t="n">
        <f aca="false">J63/L63</f>
        <v>5701.98159509202</v>
      </c>
      <c r="N63" s="93" t="n">
        <f aca="false">'$'!C110</f>
        <v>7.403641</v>
      </c>
      <c r="O63" s="116" t="n">
        <f aca="false">F63/(J63+'UT3b (1278)'!I7)</f>
        <v>0.021655930615016</v>
      </c>
      <c r="P63" s="116" t="n">
        <f aca="false">G63/(J63+'UT3b (1278)'!I7)</f>
        <v>0.00315572134539386</v>
      </c>
      <c r="Q63" s="117" t="n">
        <f aca="false">(H63+'UT3b (1278)'!H7)/(J63+'UT3b (1278)'!I7)</f>
        <v>1.27595228437428</v>
      </c>
      <c r="R63" s="35" t="n">
        <f aca="false">SUM(C63:E63)/N63</f>
        <v>87336.1458233861</v>
      </c>
      <c r="S63" s="35" t="n">
        <f aca="false">C63/$N63</f>
        <v>4820.86043880302</v>
      </c>
      <c r="T63" s="35" t="n">
        <f aca="false">D63/$N63</f>
        <v>1048.76641101318</v>
      </c>
      <c r="U63" s="35" t="n">
        <f aca="false">E63/$N63</f>
        <v>81466.5189735699</v>
      </c>
      <c r="V63" s="36" t="n">
        <f aca="false">C63/N63/J63</f>
        <v>0.005186939035082</v>
      </c>
      <c r="W63" s="94" t="n">
        <f aca="false">D63/N63/J63</f>
        <v>0.0011284059152971</v>
      </c>
      <c r="X63" s="36" t="n">
        <f aca="false">E63/N63/J63</f>
        <v>0.0876527899283425</v>
      </c>
      <c r="Y63" s="36" t="n">
        <f aca="false">SUM(C63:E63)/N63/J63</f>
        <v>0.0939681348787216</v>
      </c>
      <c r="Z63" s="36" t="n">
        <f aca="false">(K63/N63)/J63</f>
        <v>0.137689183531836</v>
      </c>
      <c r="AA63" s="113"/>
      <c r="AB63" s="40" t="n">
        <f aca="false">C63/F63</f>
        <v>1.77328950610905</v>
      </c>
      <c r="AC63" s="40" t="n">
        <f aca="false">D63/G63</f>
        <v>2.64735424480055</v>
      </c>
      <c r="AD63" s="40" t="n">
        <f aca="false">E63/H63</f>
        <v>0.508600358512704</v>
      </c>
      <c r="AE63" s="39"/>
      <c r="AF63" s="114" t="n">
        <f aca="false">AB63/$N63</f>
        <v>0.239515868760931</v>
      </c>
      <c r="AG63" s="114" t="n">
        <f aca="false">AC63/$N63</f>
        <v>0.357574637235996</v>
      </c>
      <c r="AH63" s="114" t="n">
        <f aca="false">AD63/$N63</f>
        <v>0.0686959778996177</v>
      </c>
      <c r="AI63" s="114" t="n">
        <f aca="false">AE63/$N63</f>
        <v>0</v>
      </c>
    </row>
    <row r="64" customFormat="false" ht="18.75" hidden="false" customHeight="true" outlineLevel="0" collapsed="false">
      <c r="A64" s="18" t="n">
        <v>2021</v>
      </c>
      <c r="B64" s="18" t="n">
        <v>2</v>
      </c>
      <c r="C64" s="24" t="n">
        <v>35279.38</v>
      </c>
      <c r="D64" s="24" t="n">
        <f aca="false">7154.54+227.62</f>
        <v>7382.16</v>
      </c>
      <c r="E64" s="25" t="n">
        <v>604946.92</v>
      </c>
      <c r="F64" s="26" t="n">
        <v>19700.26</v>
      </c>
      <c r="G64" s="26" t="n">
        <f aca="false">2902+18</f>
        <v>2920</v>
      </c>
      <c r="H64" s="27" t="n">
        <v>1155300.3</v>
      </c>
      <c r="I64" s="27"/>
      <c r="J64" s="31" t="n">
        <v>871486</v>
      </c>
      <c r="K64" s="24" t="n">
        <v>968993</v>
      </c>
      <c r="L64" s="32" t="n">
        <v>168</v>
      </c>
      <c r="M64" s="92" t="n">
        <f aca="false">J64/L64</f>
        <v>5187.41666666667</v>
      </c>
      <c r="N64" s="93" t="n">
        <f aca="false">'$'!C111</f>
        <v>7.099851</v>
      </c>
      <c r="O64" s="116" t="n">
        <f aca="false">F64/(J64+'UT3b (1278)'!I8)</f>
        <v>0.0226053660070271</v>
      </c>
      <c r="P64" s="116" t="n">
        <f aca="false">G64/(J64+'UT3b (1278)'!I8)</f>
        <v>0.00335059886217335</v>
      </c>
      <c r="Q64" s="117" t="n">
        <f aca="false">(H64+'UT3b (1278)'!H8)/(J64+'UT3b (1278)'!I8)</f>
        <v>1.32566707898922</v>
      </c>
      <c r="R64" s="35" t="n">
        <f aca="false">SUM(C64:E64)/N64</f>
        <v>91214.3733720609</v>
      </c>
      <c r="S64" s="35" t="n">
        <f aca="false">C64/$N64</f>
        <v>4969.03104022887</v>
      </c>
      <c r="T64" s="35" t="n">
        <f aca="false">D64/$N64</f>
        <v>1039.76266544185</v>
      </c>
      <c r="U64" s="35" t="n">
        <f aca="false">E64/$N64</f>
        <v>85205.5796663902</v>
      </c>
      <c r="V64" s="36" t="n">
        <f aca="false">C64/N64/J64</f>
        <v>0.00570179101010099</v>
      </c>
      <c r="W64" s="94" t="n">
        <f aca="false">D64/N64/J64</f>
        <v>0.00119309164512322</v>
      </c>
      <c r="X64" s="36" t="n">
        <f aca="false">E64/N64/J64</f>
        <v>0.0977704514661052</v>
      </c>
      <c r="Y64" s="36" t="n">
        <f aca="false">SUM(C64:E64)/N64/J64</f>
        <v>0.104665334121329</v>
      </c>
      <c r="Z64" s="36" t="n">
        <f aca="false">(K64/N64)/J64</f>
        <v>0.156606935162999</v>
      </c>
      <c r="AA64" s="113"/>
      <c r="AB64" s="40" t="n">
        <f aca="false">C64/F64</f>
        <v>1.79080783705393</v>
      </c>
      <c r="AC64" s="40" t="n">
        <f aca="false">D64/G64</f>
        <v>2.52813698630137</v>
      </c>
      <c r="AD64" s="40" t="n">
        <f aca="false">E64/H64</f>
        <v>0.523627423969335</v>
      </c>
      <c r="AE64" s="39"/>
      <c r="AF64" s="114" t="n">
        <f aca="false">AB64/$N64</f>
        <v>0.252231749237262</v>
      </c>
      <c r="AG64" s="114" t="n">
        <f aca="false">AC64/$N64</f>
        <v>0.356083104603374</v>
      </c>
      <c r="AH64" s="114" t="n">
        <f aca="false">AD64/$N64</f>
        <v>0.073751889155045</v>
      </c>
      <c r="AI64" s="114" t="n">
        <f aca="false">AE64/$N64</f>
        <v>0</v>
      </c>
    </row>
    <row r="65" customFormat="false" ht="18.75" hidden="false" customHeight="true" outlineLevel="0" collapsed="false">
      <c r="A65" s="18" t="n">
        <v>2021</v>
      </c>
      <c r="B65" s="18" t="n">
        <v>3</v>
      </c>
      <c r="C65" s="24" t="n">
        <v>44688.38</v>
      </c>
      <c r="D65" s="24" t="n">
        <f aca="false">7589.11+51.52</f>
        <v>7640.63</v>
      </c>
      <c r="E65" s="25" t="n">
        <v>743228.32</v>
      </c>
      <c r="F65" s="26" t="n">
        <v>24708.78</v>
      </c>
      <c r="G65" s="26" t="n">
        <f aca="false">3035+4</f>
        <v>3039</v>
      </c>
      <c r="H65" s="27" t="n">
        <v>1289161.44</v>
      </c>
      <c r="I65" s="27"/>
      <c r="J65" s="31" t="n">
        <v>925885</v>
      </c>
      <c r="K65" s="24" t="n">
        <v>1081280</v>
      </c>
      <c r="L65" s="32" t="n">
        <v>176</v>
      </c>
      <c r="M65" s="92" t="n">
        <f aca="false">J65/L65</f>
        <v>5260.71022727273</v>
      </c>
      <c r="N65" s="93" t="n">
        <f aca="false">'$'!C112</f>
        <v>7.64142</v>
      </c>
      <c r="O65" s="116" t="n">
        <f aca="false">F65/(J65+'UT3b (1278)'!I9)</f>
        <v>0.0266866619504582</v>
      </c>
      <c r="P65" s="116" t="n">
        <f aca="false">G65/(J65+'UT3b (1278)'!I9)</f>
        <v>0.00328226507611636</v>
      </c>
      <c r="Q65" s="117" t="n">
        <f aca="false">(H65+'UT3b (1278)'!H9)/(J65+'UT3b (1278)'!I9)</f>
        <v>1.39235589733066</v>
      </c>
      <c r="R65" s="35" t="n">
        <f aca="false">SUM(C65:E65)/N65</f>
        <v>104111.190066768</v>
      </c>
      <c r="S65" s="35" t="n">
        <f aca="false">C65/$N65</f>
        <v>5848.1774329902</v>
      </c>
      <c r="T65" s="35" t="n">
        <f aca="false">D65/$N65</f>
        <v>999.896616073976</v>
      </c>
      <c r="U65" s="35" t="n">
        <f aca="false">E65/$N65</f>
        <v>97263.1160177035</v>
      </c>
      <c r="V65" s="36" t="n">
        <f aca="false">C65/N65/J65</f>
        <v>0.00631631080856716</v>
      </c>
      <c r="W65" s="94" t="n">
        <f aca="false">D65/N65/J65</f>
        <v>0.00107993607853457</v>
      </c>
      <c r="X65" s="36" t="n">
        <f aca="false">E65/N65/J65</f>
        <v>0.105048808456454</v>
      </c>
      <c r="Y65" s="36" t="n">
        <f aca="false">SUM(C65:E65)/N65/J65</f>
        <v>0.112445055343555</v>
      </c>
      <c r="Z65" s="36" t="n">
        <f aca="false">(K65/N65)/J65</f>
        <v>0.152829450319915</v>
      </c>
      <c r="AA65" s="113"/>
      <c r="AB65" s="40" t="n">
        <f aca="false">C65/F65</f>
        <v>1.80860325762745</v>
      </c>
      <c r="AC65" s="40" t="n">
        <f aca="false">D65/G65</f>
        <v>2.51419216847647</v>
      </c>
      <c r="AD65" s="40" t="n">
        <f aca="false">E65/H65</f>
        <v>0.576520749798412</v>
      </c>
      <c r="AE65" s="39"/>
      <c r="AF65" s="114" t="n">
        <f aca="false">AB65/$N65</f>
        <v>0.236684184042685</v>
      </c>
      <c r="AG65" s="114" t="n">
        <f aca="false">AC65/$N65</f>
        <v>0.329021591337274</v>
      </c>
      <c r="AH65" s="114" t="n">
        <f aca="false">AD65/$N65</f>
        <v>0.0754468082893509</v>
      </c>
      <c r="AI65" s="114" t="n">
        <f aca="false">AE65/$N65</f>
        <v>0</v>
      </c>
    </row>
    <row r="66" customFormat="false" ht="18.75" hidden="false" customHeight="true" outlineLevel="0" collapsed="false">
      <c r="A66" s="18" t="n">
        <v>2021</v>
      </c>
      <c r="B66" s="18" t="n">
        <v>4</v>
      </c>
      <c r="C66" s="24" t="n">
        <v>41343.72</v>
      </c>
      <c r="D66" s="24" t="n">
        <f aca="false">9747.67+349.51</f>
        <v>10097.18</v>
      </c>
      <c r="E66" s="25" t="n">
        <v>746448.2</v>
      </c>
      <c r="F66" s="26" t="n">
        <v>21990.7</v>
      </c>
      <c r="G66" s="26" t="n">
        <f aca="false">4075+27</f>
        <v>4102</v>
      </c>
      <c r="H66" s="27" t="n">
        <v>1288987.56</v>
      </c>
      <c r="I66" s="27"/>
      <c r="J66" s="31" t="n">
        <v>816095</v>
      </c>
      <c r="K66" s="24" t="n">
        <v>1044409</v>
      </c>
      <c r="L66" s="32" t="n">
        <v>181</v>
      </c>
      <c r="M66" s="92" t="n">
        <f aca="false">J66/L66</f>
        <v>4508.81215469613</v>
      </c>
      <c r="N66" s="93" t="n">
        <f aca="false">'$'!C113</f>
        <v>8.183046</v>
      </c>
      <c r="O66" s="116" t="n">
        <f aca="false">F66/(J66+'UT3b (1278)'!I10)</f>
        <v>0.0269462501301932</v>
      </c>
      <c r="P66" s="116" t="n">
        <f aca="false">G66/(J66+'UT3b (1278)'!I10)</f>
        <v>0.00502637560578119</v>
      </c>
      <c r="Q66" s="117" t="n">
        <f aca="false">(H66+'UT3b (1278)'!H10)/(J66+'UT3b (1278)'!I10)</f>
        <v>1.5794577347</v>
      </c>
      <c r="R66" s="35" t="n">
        <f aca="false">SUM(C66:E66)/N66</f>
        <v>97505.1466165533</v>
      </c>
      <c r="S66" s="35" t="n">
        <f aca="false">C66/$N66</f>
        <v>5052.36314203782</v>
      </c>
      <c r="T66" s="35" t="n">
        <f aca="false">D66/$N66</f>
        <v>1233.91460832556</v>
      </c>
      <c r="U66" s="35" t="n">
        <f aca="false">E66/$N66</f>
        <v>91218.8688661899</v>
      </c>
      <c r="V66" s="36" t="n">
        <f aca="false">C66/N66/J66</f>
        <v>0.00619090074321962</v>
      </c>
      <c r="W66" s="94" t="n">
        <f aca="false">D66/N66/J66</f>
        <v>0.00151197422888947</v>
      </c>
      <c r="X66" s="36" t="n">
        <f aca="false">E66/N66/J66</f>
        <v>0.111774816493411</v>
      </c>
      <c r="Y66" s="36" t="n">
        <f aca="false">SUM(C66:E66)/N66/J66</f>
        <v>0.11947769146552</v>
      </c>
      <c r="Z66" s="36" t="n">
        <f aca="false">(K66/N66)/J66</f>
        <v>0.156392130517652</v>
      </c>
      <c r="AA66" s="113"/>
      <c r="AB66" s="40" t="n">
        <f aca="false">C66/F66</f>
        <v>1.88005475041722</v>
      </c>
      <c r="AC66" s="40" t="n">
        <f aca="false">D66/G66</f>
        <v>2.46152608483666</v>
      </c>
      <c r="AD66" s="40" t="n">
        <f aca="false">E66/H66</f>
        <v>0.579096511994266</v>
      </c>
      <c r="AE66" s="39"/>
      <c r="AF66" s="114" t="n">
        <f aca="false">AB66/$N66</f>
        <v>0.22974999168002</v>
      </c>
      <c r="AG66" s="114" t="n">
        <f aca="false">AC66/$N66</f>
        <v>0.300808046885801</v>
      </c>
      <c r="AH66" s="114" t="n">
        <f aca="false">AD66/$N66</f>
        <v>0.0707678426828184</v>
      </c>
      <c r="AI66" s="114" t="n">
        <f aca="false">AE66/$N66</f>
        <v>0</v>
      </c>
    </row>
    <row r="67" customFormat="false" ht="18.75" hidden="false" customHeight="true" outlineLevel="0" collapsed="false">
      <c r="A67" s="18" t="n">
        <v>2021</v>
      </c>
      <c r="B67" s="18" t="n">
        <v>5</v>
      </c>
      <c r="C67" s="24" t="n">
        <v>44920.23</v>
      </c>
      <c r="D67" s="24" t="n">
        <f aca="false">10142.98+879.42</f>
        <v>11022.4</v>
      </c>
      <c r="E67" s="25" t="n">
        <v>823815.22</v>
      </c>
      <c r="F67" s="26" t="n">
        <v>24354.82</v>
      </c>
      <c r="G67" s="26" t="n">
        <f aca="false">4149+67</f>
        <v>4216</v>
      </c>
      <c r="H67" s="27" t="n">
        <v>1234211.58</v>
      </c>
      <c r="I67" s="27"/>
      <c r="J67" s="31" t="n">
        <v>651379</v>
      </c>
      <c r="K67" s="24" t="n">
        <v>1127507</v>
      </c>
      <c r="L67" s="32" t="n">
        <v>174</v>
      </c>
      <c r="M67" s="92" t="n">
        <f aca="false">J67/L67</f>
        <v>3743.55747126437</v>
      </c>
      <c r="N67" s="93" t="n">
        <f aca="false">'$'!C114</f>
        <v>8.384721</v>
      </c>
      <c r="O67" s="116" t="n">
        <f aca="false">F67/(J67+'UT3b (1278)'!I11)</f>
        <v>0.037389630307394</v>
      </c>
      <c r="P67" s="116" t="n">
        <f aca="false">G67/(J67+'UT3b (1278)'!I11)</f>
        <v>0.00647242235319223</v>
      </c>
      <c r="Q67" s="117" t="n">
        <f aca="false">(H67+'UT3b (1278)'!H11)/(J67+'UT3b (1278)'!I11)</f>
        <v>1.89476722461117</v>
      </c>
      <c r="R67" s="35" t="n">
        <f aca="false">SUM(C67:E67)/N67</f>
        <v>104923.926508706</v>
      </c>
      <c r="S67" s="35" t="n">
        <f aca="false">C67/$N67</f>
        <v>5357.39114038499</v>
      </c>
      <c r="T67" s="35" t="n">
        <f aca="false">D67/$N67</f>
        <v>1314.58160623353</v>
      </c>
      <c r="U67" s="35" t="n">
        <f aca="false">E67/$N67</f>
        <v>98251.953762087</v>
      </c>
      <c r="V67" s="36" t="n">
        <f aca="false">C67/N67/J67</f>
        <v>0.00822469121722529</v>
      </c>
      <c r="W67" s="94" t="n">
        <f aca="false">D67/N67/J67</f>
        <v>0.00201815165400409</v>
      </c>
      <c r="X67" s="36" t="n">
        <f aca="false">E67/N67/J67</f>
        <v>0.15083684577195</v>
      </c>
      <c r="Y67" s="36" t="n">
        <f aca="false">SUM(C67:E67)/N67/J67</f>
        <v>0.161079688643179</v>
      </c>
      <c r="Z67" s="36" t="n">
        <f aca="false">(K67/N67)/J67</f>
        <v>0.206441438974378</v>
      </c>
      <c r="AA67" s="113"/>
      <c r="AB67" s="40" t="n">
        <f aca="false">C67/F67</f>
        <v>1.84440821159836</v>
      </c>
      <c r="AC67" s="40" t="n">
        <f aca="false">D67/G67</f>
        <v>2.61442125237192</v>
      </c>
      <c r="AD67" s="40" t="n">
        <f aca="false">E67/H67</f>
        <v>0.667482977270396</v>
      </c>
      <c r="AE67" s="39"/>
      <c r="AF67" s="114" t="n">
        <f aca="false">AB67/$N67</f>
        <v>0.219972520445029</v>
      </c>
      <c r="AG67" s="114" t="n">
        <f aca="false">AC67/$N67</f>
        <v>0.311807781364689</v>
      </c>
      <c r="AH67" s="114" t="n">
        <f aca="false">AD67/$N67</f>
        <v>0.079607058752509</v>
      </c>
      <c r="AI67" s="114" t="n">
        <f aca="false">AE67/$N67</f>
        <v>0</v>
      </c>
    </row>
    <row r="68" customFormat="false" ht="18.75" hidden="false" customHeight="true" outlineLevel="0" collapsed="false">
      <c r="A68" s="18" t="n">
        <v>2021</v>
      </c>
      <c r="B68" s="18" t="n">
        <v>6</v>
      </c>
      <c r="C68" s="24" t="n">
        <v>40815.3</v>
      </c>
      <c r="D68" s="24" t="n">
        <f aca="false">7339.4+758.38</f>
        <v>8097.78</v>
      </c>
      <c r="E68" s="25" t="n">
        <v>859456.07</v>
      </c>
      <c r="F68" s="26" t="n">
        <v>21911.37</v>
      </c>
      <c r="G68" s="26" t="n">
        <f aca="false">2926+57</f>
        <v>2983</v>
      </c>
      <c r="H68" s="27" t="n">
        <v>1286473.86</v>
      </c>
      <c r="I68" s="27"/>
      <c r="J68" s="31" t="n">
        <v>714360</v>
      </c>
      <c r="K68" s="24" t="n">
        <v>1076371</v>
      </c>
      <c r="L68" s="32" t="n">
        <v>183</v>
      </c>
      <c r="M68" s="92" t="n">
        <f aca="false">J68/L68</f>
        <v>3903.60655737705</v>
      </c>
      <c r="N68" s="93" t="n">
        <f aca="false">'$'!C115</f>
        <v>8.631709</v>
      </c>
      <c r="O68" s="116" t="n">
        <f aca="false">F68/(J68+'UT3b (1278)'!I12)</f>
        <v>0.0306727280362842</v>
      </c>
      <c r="P68" s="116" t="n">
        <f aca="false">G68/(J68+'UT3b (1278)'!I12)</f>
        <v>0.00417576572036508</v>
      </c>
      <c r="Q68" s="117" t="n">
        <f aca="false">(H68+'UT3b (1278)'!H12)/(J68+'UT3b (1278)'!I12)</f>
        <v>1.80087611288426</v>
      </c>
      <c r="R68" s="35" t="n">
        <f aca="false">SUM(C68:E68)/N68</f>
        <v>105236.30372618</v>
      </c>
      <c r="S68" s="35" t="n">
        <f aca="false">C68/$N68</f>
        <v>4728.53058415199</v>
      </c>
      <c r="T68" s="35" t="n">
        <f aca="false">D68/$N68</f>
        <v>938.143303950585</v>
      </c>
      <c r="U68" s="35" t="n">
        <f aca="false">E68/$N68</f>
        <v>99569.6298380772</v>
      </c>
      <c r="V68" s="36" t="n">
        <f aca="false">C68/N68/J68</f>
        <v>0.00661925441535359</v>
      </c>
      <c r="W68" s="94" t="n">
        <f aca="false">D68/N68/J68</f>
        <v>0.00131326404607003</v>
      </c>
      <c r="X68" s="36" t="n">
        <f aca="false">E68/N68/J68</f>
        <v>0.13938298594277</v>
      </c>
      <c r="Y68" s="36" t="n">
        <f aca="false">SUM(C68:E68)/N68/J68</f>
        <v>0.147315504404194</v>
      </c>
      <c r="Z68" s="36" t="n">
        <f aca="false">(K68/N68)/J68</f>
        <v>0.174561340828282</v>
      </c>
      <c r="AA68" s="113"/>
      <c r="AB68" s="40" t="n">
        <f aca="false">C68/F68</f>
        <v>1.86274523226982</v>
      </c>
      <c r="AC68" s="40" t="n">
        <f aca="false">D68/G68</f>
        <v>2.71464297686892</v>
      </c>
      <c r="AD68" s="40" t="n">
        <f aca="false">E68/H68</f>
        <v>0.668071149148728</v>
      </c>
      <c r="AE68" s="39"/>
      <c r="AF68" s="114" t="n">
        <f aca="false">AB68/$N68</f>
        <v>0.215802598566497</v>
      </c>
      <c r="AG68" s="114" t="n">
        <f aca="false">AC68/$N68</f>
        <v>0.3144965819479</v>
      </c>
      <c r="AH68" s="114" t="n">
        <f aca="false">AD68/$N68</f>
        <v>0.0773973206405276</v>
      </c>
      <c r="AI68" s="114" t="n">
        <f aca="false">AE68/$N68</f>
        <v>0</v>
      </c>
    </row>
    <row r="69" customFormat="false" ht="18.75" hidden="false" customHeight="true" outlineLevel="0" collapsed="false">
      <c r="A69" s="18" t="n">
        <v>2021</v>
      </c>
      <c r="B69" s="18" t="n">
        <v>7</v>
      </c>
      <c r="C69" s="24" t="n">
        <v>38915.53</v>
      </c>
      <c r="D69" s="24" t="n">
        <f aca="false">11742.01+362.59</f>
        <v>12104.6</v>
      </c>
      <c r="E69" s="25" t="n">
        <v>857821.82</v>
      </c>
      <c r="F69" s="26" t="n">
        <v>17488.82</v>
      </c>
      <c r="G69" s="26" t="n">
        <f aca="false">4855+27</f>
        <v>4882</v>
      </c>
      <c r="H69" s="27" t="n">
        <v>1125937.26</v>
      </c>
      <c r="I69" s="27"/>
      <c r="J69" s="31" t="n">
        <v>530882</v>
      </c>
      <c r="K69" s="24" t="n">
        <v>1114698</v>
      </c>
      <c r="L69" s="32" t="n">
        <v>172</v>
      </c>
      <c r="M69" s="92" t="n">
        <f aca="false">J69/L69</f>
        <v>3086.52325581395</v>
      </c>
      <c r="N69" s="93" t="n">
        <f aca="false">'$'!C116</f>
        <v>8.605101</v>
      </c>
      <c r="O69" s="116" t="n">
        <f aca="false">F69/(J69+'UT3b (1278)'!I13)</f>
        <v>0.0329429515410204</v>
      </c>
      <c r="P69" s="116" t="n">
        <f aca="false">G69/(J69+'UT3b (1278)'!I13)</f>
        <v>0.00919601719402805</v>
      </c>
      <c r="Q69" s="117" t="n">
        <f aca="false">(H69+'UT3b (1278)'!H13)/(J69+'UT3b (1278)'!I13)</f>
        <v>2.12088045931111</v>
      </c>
      <c r="R69" s="35" t="n">
        <f aca="false">SUM(C69:E69)/N69</f>
        <v>105616.651100318</v>
      </c>
      <c r="S69" s="35" t="n">
        <f aca="false">C69/$N69</f>
        <v>4522.3792259963</v>
      </c>
      <c r="T69" s="35" t="n">
        <f aca="false">D69/$N69</f>
        <v>1406.67727200413</v>
      </c>
      <c r="U69" s="35" t="n">
        <f aca="false">E69/$N69</f>
        <v>99687.5946023179</v>
      </c>
      <c r="V69" s="36" t="n">
        <f aca="false">C69/N69/J69</f>
        <v>0.00851861473170366</v>
      </c>
      <c r="W69" s="94" t="n">
        <f aca="false">D69/N69/J69</f>
        <v>0.00264969856202344</v>
      </c>
      <c r="X69" s="36" t="n">
        <f aca="false">E69/N69/J69</f>
        <v>0.187777311346623</v>
      </c>
      <c r="Y69" s="36" t="n">
        <f aca="false">SUM(C69:E69)/N69/J69</f>
        <v>0.19894562464035</v>
      </c>
      <c r="Z69" s="36" t="n">
        <f aca="false">(K69/N69)/J69</f>
        <v>0.24400754157018</v>
      </c>
      <c r="AA69" s="113"/>
      <c r="AB69" s="40" t="n">
        <f aca="false">C69/F69</f>
        <v>2.22516613470777</v>
      </c>
      <c r="AC69" s="40" t="n">
        <f aca="false">D69/G69</f>
        <v>2.47943465792708</v>
      </c>
      <c r="AD69" s="40" t="n">
        <f aca="false">E69/H69</f>
        <v>0.76187355235051</v>
      </c>
      <c r="AE69" s="39"/>
      <c r="AF69" s="114" t="n">
        <f aca="false">AB69/$N69</f>
        <v>0.25858687012596</v>
      </c>
      <c r="AG69" s="114" t="n">
        <f aca="false">AC69/$N69</f>
        <v>0.2881354510455</v>
      </c>
      <c r="AH69" s="114" t="n">
        <f aca="false">AD69/$N69</f>
        <v>0.088537432895966</v>
      </c>
      <c r="AI69" s="114" t="n">
        <f aca="false">AE69/$N69</f>
        <v>0</v>
      </c>
    </row>
    <row r="70" customFormat="false" ht="18.75" hidden="false" customHeight="true" outlineLevel="0" collapsed="false">
      <c r="A70" s="18" t="n">
        <v>2021</v>
      </c>
      <c r="B70" s="18" t="n">
        <v>8</v>
      </c>
      <c r="C70" s="24" t="n">
        <v>38649.7</v>
      </c>
      <c r="D70" s="24" t="n">
        <f aca="false">8591.09+137.26</f>
        <v>8728.35</v>
      </c>
      <c r="E70" s="25" t="n">
        <v>930490.23</v>
      </c>
      <c r="F70" s="26" t="n">
        <v>17365.6</v>
      </c>
      <c r="G70" s="26" t="n">
        <f aca="false">3362+0</f>
        <v>3362</v>
      </c>
      <c r="H70" s="27" t="n">
        <v>1159182.36</v>
      </c>
      <c r="I70" s="27"/>
      <c r="J70" s="31" t="n">
        <v>487049</v>
      </c>
      <c r="K70" s="24" t="n">
        <v>1244203</v>
      </c>
      <c r="L70" s="32" t="n">
        <v>171</v>
      </c>
      <c r="M70" s="92" t="n">
        <f aca="false">J70/L70</f>
        <v>2848.23976608187</v>
      </c>
      <c r="N70" s="93" t="n">
        <f aca="false">'$'!C117</f>
        <v>8.484798</v>
      </c>
      <c r="O70" s="116" t="n">
        <f aca="false">F70/(J70+'UT3b (1278)'!I14)</f>
        <v>0.0356547287849888</v>
      </c>
      <c r="P70" s="116" t="n">
        <f aca="false">G70/(J70+'UT3b (1278)'!I14)</f>
        <v>0.00690279622789493</v>
      </c>
      <c r="Q70" s="117" t="n">
        <f aca="false">(H70+'UT3b (1278)'!H14)/(J70+'UT3b (1278)'!I14)</f>
        <v>2.38182269135138</v>
      </c>
      <c r="R70" s="35" t="n">
        <f aca="false">SUM(C70:E70)/N70</f>
        <v>115249.44730564</v>
      </c>
      <c r="S70" s="35" t="n">
        <f aca="false">C70/$N70</f>
        <v>4555.1703175491</v>
      </c>
      <c r="T70" s="35" t="n">
        <f aca="false">D70/$N70</f>
        <v>1028.704513649</v>
      </c>
      <c r="U70" s="35" t="n">
        <f aca="false">E70/$N70</f>
        <v>109665.572474442</v>
      </c>
      <c r="V70" s="36" t="n">
        <f aca="false">C70/N70/J70</f>
        <v>0.00935259145907107</v>
      </c>
      <c r="W70" s="94" t="n">
        <f aca="false">D70/N70/J70</f>
        <v>0.00211211708400797</v>
      </c>
      <c r="X70" s="36" t="n">
        <f aca="false">E70/N70/J70</f>
        <v>0.225163325403485</v>
      </c>
      <c r="Y70" s="36" t="n">
        <f aca="false">SUM(C70:E70)/N70/J70</f>
        <v>0.236628033946564</v>
      </c>
      <c r="Z70" s="36" t="n">
        <f aca="false">(K70/N70)/J70</f>
        <v>0.301076653923591</v>
      </c>
      <c r="AA70" s="113"/>
      <c r="AB70" s="40" t="n">
        <f aca="false">C70/F70</f>
        <v>2.22564725664532</v>
      </c>
      <c r="AC70" s="40" t="n">
        <f aca="false">D70/G70</f>
        <v>2.59617787031529</v>
      </c>
      <c r="AD70" s="40" t="n">
        <f aca="false">E70/H70</f>
        <v>0.802712551629926</v>
      </c>
      <c r="AE70" s="39"/>
      <c r="AF70" s="114" t="n">
        <f aca="false">AB70/$N70</f>
        <v>0.262309987420481</v>
      </c>
      <c r="AG70" s="114" t="n">
        <f aca="false">AC70/$N70</f>
        <v>0.305979926724866</v>
      </c>
      <c r="AH70" s="114" t="n">
        <f aca="false">AD70/$N70</f>
        <v>0.094605970776196</v>
      </c>
      <c r="AI70" s="114" t="n">
        <f aca="false">AE70/$N70</f>
        <v>0</v>
      </c>
    </row>
    <row r="71" customFormat="false" ht="18.75" hidden="false" customHeight="true" outlineLevel="0" collapsed="false">
      <c r="A71" s="18" t="n">
        <v>2021</v>
      </c>
      <c r="B71" s="18" t="n">
        <v>9</v>
      </c>
      <c r="C71" s="24" t="n">
        <v>51066.29</v>
      </c>
      <c r="D71" s="24" t="n">
        <f aca="false">10623.54+209.89</f>
        <v>10833.43</v>
      </c>
      <c r="E71" s="25" t="n">
        <v>862246.18</v>
      </c>
      <c r="F71" s="26" t="n">
        <v>20009.67</v>
      </c>
      <c r="G71" s="26" t="n">
        <f aca="false">4155+15</f>
        <v>4170</v>
      </c>
      <c r="H71" s="27" t="n">
        <v>1179707.76</v>
      </c>
      <c r="I71" s="27"/>
      <c r="J71" s="31" t="n">
        <v>576278</v>
      </c>
      <c r="K71" s="24" t="n">
        <v>1028308</v>
      </c>
      <c r="L71" s="32" t="n">
        <v>162</v>
      </c>
      <c r="M71" s="92" t="n">
        <f aca="false">J71/L71</f>
        <v>3557.27160493827</v>
      </c>
      <c r="N71" s="93" t="n">
        <f aca="false">'$'!C118</f>
        <v>8.554109</v>
      </c>
      <c r="O71" s="116" t="n">
        <f aca="false">F71/(J71+'UT3b (1278)'!I15)</f>
        <v>0.0347222521074898</v>
      </c>
      <c r="P71" s="116" t="n">
        <f aca="false">G71/(J71+'UT3b (1278)'!I15)</f>
        <v>0.00723609091445448</v>
      </c>
      <c r="Q71" s="117" t="n">
        <f aca="false">(H71+'UT3b (1278)'!H15)/(J71+'UT3b (1278)'!I15)</f>
        <v>2.08956555690136</v>
      </c>
      <c r="R71" s="35" t="n">
        <f aca="false">SUM(C71:E71)/N71</f>
        <v>108035.319634108</v>
      </c>
      <c r="S71" s="35" t="n">
        <f aca="false">C71/$N71</f>
        <v>5969.79650364521</v>
      </c>
      <c r="T71" s="35" t="n">
        <f aca="false">D71/$N71</f>
        <v>1266.45919522419</v>
      </c>
      <c r="U71" s="35" t="n">
        <f aca="false">E71/$N71</f>
        <v>100799.063935239</v>
      </c>
      <c r="V71" s="36" t="n">
        <f aca="false">C71/N71/J71</f>
        <v>0.0103592302736617</v>
      </c>
      <c r="W71" s="94" t="n">
        <f aca="false">D71/N71/J71</f>
        <v>0.00219765320769523</v>
      </c>
      <c r="X71" s="36" t="n">
        <f aca="false">E71/N71/J71</f>
        <v>0.174913954610862</v>
      </c>
      <c r="Y71" s="36" t="n">
        <f aca="false">SUM(C71:E71)/N71/J71</f>
        <v>0.187470838092219</v>
      </c>
      <c r="Z71" s="36" t="n">
        <f aca="false">(K71/N71)/J71</f>
        <v>0.208601003993995</v>
      </c>
      <c r="AA71" s="113"/>
      <c r="AB71" s="40" t="n">
        <f aca="false">C71/F71</f>
        <v>2.55208056904487</v>
      </c>
      <c r="AC71" s="40" t="n">
        <f aca="false">D71/G71</f>
        <v>2.5979448441247</v>
      </c>
      <c r="AD71" s="40" t="n">
        <f aca="false">E71/H71</f>
        <v>0.730898116665775</v>
      </c>
      <c r="AE71" s="39"/>
      <c r="AF71" s="114" t="n">
        <f aca="false">AB71/$N71</f>
        <v>0.298345575096701</v>
      </c>
      <c r="AG71" s="114" t="n">
        <f aca="false">AC71/$N71</f>
        <v>0.303707241060957</v>
      </c>
      <c r="AH71" s="114" t="n">
        <f aca="false">AD71/$N71</f>
        <v>0.0854440967102214</v>
      </c>
      <c r="AI71" s="114" t="n">
        <f aca="false">AE71/$N71</f>
        <v>0</v>
      </c>
    </row>
    <row r="72" customFormat="false" ht="18.75" hidden="false" customHeight="true" outlineLevel="0" collapsed="false">
      <c r="A72" s="18" t="n">
        <v>2021</v>
      </c>
      <c r="B72" s="18" t="n">
        <v>10</v>
      </c>
      <c r="C72" s="24" t="n">
        <v>73426.64</v>
      </c>
      <c r="D72" s="24" t="n">
        <f aca="false">11016.2+209.89</f>
        <v>11226.09</v>
      </c>
      <c r="E72" s="25" t="n">
        <v>1087559.83</v>
      </c>
      <c r="F72" s="26" t="n">
        <v>25083.85</v>
      </c>
      <c r="G72" s="26" t="n">
        <f aca="false">4294+14</f>
        <v>4308</v>
      </c>
      <c r="H72" s="27" t="n">
        <v>1195882.38</v>
      </c>
      <c r="I72" s="27"/>
      <c r="J72" s="31" t="n">
        <v>589455</v>
      </c>
      <c r="K72" s="24" t="n">
        <v>1054003</v>
      </c>
      <c r="L72" s="32" t="n">
        <v>153</v>
      </c>
      <c r="M72" s="92" t="n">
        <f aca="false">J72/L72</f>
        <v>3852.64705882353</v>
      </c>
      <c r="N72" s="93" t="n">
        <f aca="false">'$'!C119</f>
        <v>9.219938</v>
      </c>
      <c r="O72" s="116" t="n">
        <f aca="false">F72/(J72+'UT3b (1278)'!I16)</f>
        <v>0.0425543086410328</v>
      </c>
      <c r="P72" s="116" t="n">
        <f aca="false">G72/(J72+'UT3b (1278)'!I16)</f>
        <v>0.00730844593734891</v>
      </c>
      <c r="Q72" s="117" t="n">
        <f aca="false">(H72+'UT3b (1278)'!H16)/(J72+'UT3b (1278)'!I16)</f>
        <v>2.08214703412474</v>
      </c>
      <c r="R72" s="35" t="n">
        <f aca="false">SUM(C72:E72)/N72</f>
        <v>127138.876638867</v>
      </c>
      <c r="S72" s="35" t="n">
        <f aca="false">C72/$N72</f>
        <v>7963.8973711103</v>
      </c>
      <c r="T72" s="35" t="n">
        <f aca="false">D72/$N72</f>
        <v>1217.58844799173</v>
      </c>
      <c r="U72" s="35" t="n">
        <f aca="false">E72/$N72</f>
        <v>117957.390819765</v>
      </c>
      <c r="V72" s="36" t="n">
        <f aca="false">C72/N72/J72</f>
        <v>0.0135106112784018</v>
      </c>
      <c r="W72" s="94" t="n">
        <f aca="false">D72/N72/J72</f>
        <v>0.00206561730410588</v>
      </c>
      <c r="X72" s="36" t="n">
        <f aca="false">E72/N72/J72</f>
        <v>0.200112630853525</v>
      </c>
      <c r="Y72" s="36" t="n">
        <f aca="false">SUM(C72:E72)/N72/J72</f>
        <v>0.215688859436033</v>
      </c>
      <c r="Z72" s="36" t="n">
        <f aca="false">(K72/N72)/J72</f>
        <v>0.19393812408234</v>
      </c>
      <c r="AA72" s="113"/>
      <c r="AB72" s="40" t="n">
        <f aca="false">C72/F72</f>
        <v>2.92724761151099</v>
      </c>
      <c r="AC72" s="40" t="n">
        <f aca="false">D72/G72</f>
        <v>2.6058704735376</v>
      </c>
      <c r="AD72" s="40" t="n">
        <f aca="false">E72/H72</f>
        <v>0.909420398016066</v>
      </c>
      <c r="AE72" s="39"/>
      <c r="AF72" s="114" t="n">
        <f aca="false">AB72/$N72</f>
        <v>0.317491029930027</v>
      </c>
      <c r="AG72" s="114" t="n">
        <f aca="false">AC72/$N72</f>
        <v>0.282634272978582</v>
      </c>
      <c r="AH72" s="114" t="n">
        <f aca="false">AD72/$N72</f>
        <v>0.0986362812869312</v>
      </c>
      <c r="AI72" s="114" t="n">
        <f aca="false">AE72/$N72</f>
        <v>0</v>
      </c>
    </row>
    <row r="73" customFormat="false" ht="18.75" hidden="false" customHeight="true" outlineLevel="0" collapsed="false">
      <c r="A73" s="18" t="n">
        <v>2021</v>
      </c>
      <c r="B73" s="18" t="n">
        <v>11</v>
      </c>
      <c r="C73" s="24" t="n">
        <v>102119.63</v>
      </c>
      <c r="D73" s="24" t="n">
        <f aca="false">11206.44+437.43</f>
        <v>11643.87</v>
      </c>
      <c r="E73" s="25" t="n">
        <v>1003532.59</v>
      </c>
      <c r="F73" s="26" t="n">
        <v>23646.37</v>
      </c>
      <c r="G73" s="26" t="n">
        <f aca="false">4281+26</f>
        <v>4307</v>
      </c>
      <c r="H73" s="27" t="n">
        <v>948984.12</v>
      </c>
      <c r="I73" s="27"/>
      <c r="J73" s="31" t="n">
        <v>472740</v>
      </c>
      <c r="K73" s="24" t="n">
        <v>1060568</v>
      </c>
      <c r="L73" s="32" t="n">
        <v>164</v>
      </c>
      <c r="M73" s="92" t="n">
        <f aca="false">J73/L73</f>
        <v>2882.56097560976</v>
      </c>
      <c r="N73" s="93" t="n">
        <f aca="false">'$'!C120</f>
        <v>10.680956</v>
      </c>
      <c r="O73" s="116" t="n">
        <f aca="false">F73/(J73+'UT3b (1278)'!I17)</f>
        <v>0.0500198206202141</v>
      </c>
      <c r="P73" s="116" t="n">
        <f aca="false">G73/(J73+'UT3b (1278)'!I17)</f>
        <v>0.00911071624994712</v>
      </c>
      <c r="Q73" s="117" t="n">
        <f aca="false">(H73+'UT3b (1278)'!H17)/(J73+'UT3b (1278)'!I17)</f>
        <v>2.14534896560477</v>
      </c>
      <c r="R73" s="35" t="n">
        <f aca="false">SUM(C73:E73)/N73</f>
        <v>104606.375122227</v>
      </c>
      <c r="S73" s="35" t="n">
        <f aca="false">C73/$N73</f>
        <v>9560.90728208224</v>
      </c>
      <c r="T73" s="35" t="n">
        <f aca="false">D73/$N73</f>
        <v>1090.15241706828</v>
      </c>
      <c r="U73" s="35" t="n">
        <f aca="false">E73/$N73</f>
        <v>93955.3154230764</v>
      </c>
      <c r="V73" s="36" t="n">
        <f aca="false">C73/N73/J73</f>
        <v>0.0202244516691675</v>
      </c>
      <c r="W73" s="94" t="n">
        <f aca="false">D73/N73/J73</f>
        <v>0.00230602956607921</v>
      </c>
      <c r="X73" s="36" t="n">
        <f aca="false">E73/N73/J73</f>
        <v>0.198746277918256</v>
      </c>
      <c r="Y73" s="36" t="n">
        <f aca="false">SUM(C73:E73)/N73/J73</f>
        <v>0.221276759153503</v>
      </c>
      <c r="Z73" s="36" t="n">
        <f aca="false">(K73/N73)/J73</f>
        <v>0.210041950385696</v>
      </c>
      <c r="AA73" s="113"/>
      <c r="AB73" s="40" t="n">
        <f aca="false">C73/F73</f>
        <v>4.31861761445837</v>
      </c>
      <c r="AC73" s="40" t="n">
        <f aca="false">D73/G73</f>
        <v>2.70347573717205</v>
      </c>
      <c r="AD73" s="40" t="n">
        <f aca="false">E73/H73</f>
        <v>1.05748090916421</v>
      </c>
      <c r="AE73" s="39"/>
      <c r="AF73" s="114" t="n">
        <f aca="false">AB73/$N73</f>
        <v>0.404328752450471</v>
      </c>
      <c r="AG73" s="114" t="n">
        <f aca="false">AC73/$N73</f>
        <v>0.253111775497628</v>
      </c>
      <c r="AH73" s="114" t="n">
        <f aca="false">AD73/$N73</f>
        <v>0.099006204048047</v>
      </c>
      <c r="AI73" s="114" t="n">
        <f aca="false">AE73/$N73</f>
        <v>0</v>
      </c>
    </row>
    <row r="74" customFormat="false" ht="18.75" hidden="false" customHeight="true" outlineLevel="0" collapsed="false">
      <c r="A74" s="18" t="n">
        <v>2021</v>
      </c>
      <c r="B74" s="18" t="n">
        <v>12</v>
      </c>
      <c r="C74" s="24" t="n">
        <v>241489.62</v>
      </c>
      <c r="D74" s="24" t="n">
        <f aca="false">9445.46+1630.21</f>
        <v>11075.67</v>
      </c>
      <c r="E74" s="25" t="n">
        <v>1452016.67</v>
      </c>
      <c r="F74" s="26" t="n">
        <v>35376.18</v>
      </c>
      <c r="G74" s="26" t="n">
        <f aca="false">3780+85</f>
        <v>3865</v>
      </c>
      <c r="H74" s="27" t="n">
        <v>1103710.86</v>
      </c>
      <c r="I74" s="27"/>
      <c r="J74" s="31" t="n">
        <v>716335</v>
      </c>
      <c r="K74" s="24" t="n">
        <v>1222460</v>
      </c>
      <c r="L74" s="32" t="n">
        <v>169</v>
      </c>
      <c r="M74" s="92" t="n">
        <f aca="false">J74/L74</f>
        <v>4238.66863905325</v>
      </c>
      <c r="N74" s="93" t="n">
        <f aca="false">'$'!C121</f>
        <v>13.466856</v>
      </c>
      <c r="O74" s="116" t="n">
        <f aca="false">F74/(J74+'UT3b (1278)'!I18)</f>
        <v>0.0493849665310225</v>
      </c>
      <c r="P74" s="116" t="n">
        <f aca="false">G74/(J74+'UT3b (1278)'!I18)</f>
        <v>0.00539552025239588</v>
      </c>
      <c r="Q74" s="117" t="n">
        <f aca="false">(H74+'UT3b (1278)'!H18)/(J74+'UT3b (1278)'!I18)</f>
        <v>1.67421333593919</v>
      </c>
      <c r="R74" s="35" t="n">
        <f aca="false">SUM(C74:E74)/N74</f>
        <v>126576.088732218</v>
      </c>
      <c r="S74" s="35" t="n">
        <f aca="false">C74/$N74</f>
        <v>17932.1454094408</v>
      </c>
      <c r="T74" s="35" t="n">
        <f aca="false">D74/$N74</f>
        <v>822.43917956797</v>
      </c>
      <c r="U74" s="35" t="n">
        <f aca="false">E74/$N74</f>
        <v>107821.504143209</v>
      </c>
      <c r="V74" s="36" t="n">
        <f aca="false">C74/N74/J74</f>
        <v>0.0250331833701282</v>
      </c>
      <c r="W74" s="94" t="n">
        <f aca="false">D74/N74/J74</f>
        <v>0.00114812089255442</v>
      </c>
      <c r="X74" s="36" t="n">
        <f aca="false">E74/N74/J74</f>
        <v>0.150518268887056</v>
      </c>
      <c r="Y74" s="36" t="n">
        <f aca="false">SUM(C74:E74)/N74/J74</f>
        <v>0.176699573149738</v>
      </c>
      <c r="Z74" s="36" t="n">
        <f aca="false">(K74/N74)/J74</f>
        <v>0.126722073365501</v>
      </c>
      <c r="AA74" s="113"/>
      <c r="AB74" s="40" t="n">
        <f aca="false">C74/F74</f>
        <v>6.8263339908379</v>
      </c>
      <c r="AC74" s="40" t="n">
        <f aca="false">D74/G74</f>
        <v>2.86563260025873</v>
      </c>
      <c r="AD74" s="40" t="n">
        <f aca="false">E74/H74</f>
        <v>1.31557704342965</v>
      </c>
      <c r="AE74" s="39"/>
      <c r="AF74" s="114" t="n">
        <f aca="false">AB74/$N74</f>
        <v>0.506898862721774</v>
      </c>
      <c r="AG74" s="114" t="n">
        <f aca="false">AC74/$N74</f>
        <v>0.212791508297017</v>
      </c>
      <c r="AH74" s="114" t="n">
        <f aca="false">AD74/$N74</f>
        <v>0.097689991147871</v>
      </c>
      <c r="AI74" s="114" t="n">
        <f aca="false">AE74/$N74</f>
        <v>0</v>
      </c>
    </row>
    <row r="75" customFormat="false" ht="18.75" hidden="false" customHeight="true" outlineLevel="0" collapsed="false">
      <c r="A75" s="18" t="n">
        <v>2022</v>
      </c>
      <c r="B75" s="18" t="n">
        <v>1</v>
      </c>
      <c r="C75" s="24" t="n">
        <v>304358.62</v>
      </c>
      <c r="D75" s="24" t="n">
        <f aca="false">11120.56+260.8</f>
        <v>11381.36</v>
      </c>
      <c r="E75" s="25" t="n">
        <v>1254893.9</v>
      </c>
      <c r="F75" s="26" t="n">
        <v>32840.77</v>
      </c>
      <c r="G75" s="26" t="n">
        <f aca="false">3925+12</f>
        <v>3937</v>
      </c>
      <c r="H75" s="27" t="n">
        <v>773535.42</v>
      </c>
      <c r="I75" s="27"/>
      <c r="J75" s="31" t="n">
        <v>635383</v>
      </c>
      <c r="K75" s="24" t="n">
        <v>1682713</v>
      </c>
      <c r="L75" s="32" t="n">
        <v>182</v>
      </c>
      <c r="M75" s="92" t="n">
        <f aca="false">J75/L75</f>
        <v>3491.11538461538</v>
      </c>
      <c r="N75" s="93" t="n">
        <f aca="false">'$'!C122</f>
        <v>13.535066</v>
      </c>
      <c r="O75" s="116" t="n">
        <f aca="false">F75/(J75+'UT3b (1278)'!I19)</f>
        <v>0.0516865732951621</v>
      </c>
      <c r="P75" s="116" t="n">
        <f aca="false">G75/(J75+'UT3b (1278)'!I19)</f>
        <v>0.00619626272657594</v>
      </c>
      <c r="Q75" s="117" t="n">
        <f aca="false">(H75+'UT3b (1278)'!H19)/(J75+'UT3b (1278)'!I19)</f>
        <v>1.41214302239751</v>
      </c>
      <c r="R75" s="35" t="n">
        <f aca="false">SUM(C75:E75)/N75</f>
        <v>116041.833855853</v>
      </c>
      <c r="S75" s="35" t="n">
        <f aca="false">C75/$N75</f>
        <v>22486.6742430366</v>
      </c>
      <c r="T75" s="35" t="n">
        <f aca="false">D75/$N75</f>
        <v>840.879534684205</v>
      </c>
      <c r="U75" s="35" t="n">
        <f aca="false">E75/$N75</f>
        <v>92714.2800781319</v>
      </c>
      <c r="V75" s="36" t="n">
        <f aca="false">C75/N75/J75</f>
        <v>0.0353907395115018</v>
      </c>
      <c r="W75" s="94" t="n">
        <f aca="false">D75/N75/J75</f>
        <v>0.00132342151849232</v>
      </c>
      <c r="X75" s="36" t="n">
        <f aca="false">E75/N75/J75</f>
        <v>0.145918729456299</v>
      </c>
      <c r="Y75" s="36" t="n">
        <f aca="false">SUM(C75:E75)/N75/J75</f>
        <v>0.182632890486294</v>
      </c>
      <c r="Z75" s="36" t="n">
        <f aca="false">(K75/N75)/J75</f>
        <v>0.195665420797406</v>
      </c>
      <c r="AA75" s="113"/>
      <c r="AB75" s="40" t="n">
        <f aca="false">C75/F75</f>
        <v>9.26770657326244</v>
      </c>
      <c r="AC75" s="40" t="n">
        <f aca="false">D75/G75</f>
        <v>2.89087122174244</v>
      </c>
      <c r="AD75" s="40" t="n">
        <f aca="false">E75/H75</f>
        <v>1.62228369581318</v>
      </c>
      <c r="AE75" s="39"/>
      <c r="AF75" s="114" t="n">
        <f aca="false">AB75/$N75</f>
        <v>0.684718240255529</v>
      </c>
      <c r="AG75" s="114" t="n">
        <f aca="false">AC75/$N75</f>
        <v>0.213583828977446</v>
      </c>
      <c r="AH75" s="114" t="n">
        <f aca="false">AD75/$N75</f>
        <v>0.119857834148218</v>
      </c>
      <c r="AI75" s="114" t="n">
        <f aca="false">AE75/$N75</f>
        <v>0</v>
      </c>
    </row>
    <row r="76" customFormat="false" ht="18.75" hidden="false" customHeight="true" outlineLevel="0" collapsed="false">
      <c r="A76" s="18" t="n">
        <v>2022</v>
      </c>
      <c r="B76" s="18" t="n">
        <v>2</v>
      </c>
      <c r="C76" s="24" t="n">
        <v>290964.57</v>
      </c>
      <c r="D76" s="24" t="n">
        <f aca="false">13646.71+209.72</f>
        <v>13856.43</v>
      </c>
      <c r="E76" s="25" t="n">
        <v>1396245.81</v>
      </c>
      <c r="F76" s="26" t="n">
        <v>31954.75</v>
      </c>
      <c r="G76" s="26" t="n">
        <f aca="false">2848+9</f>
        <v>2857</v>
      </c>
      <c r="H76" s="27" t="n">
        <v>790802.46</v>
      </c>
      <c r="I76" s="27"/>
      <c r="J76" s="31" t="n">
        <v>677047</v>
      </c>
      <c r="K76" s="24" t="n">
        <v>1578112</v>
      </c>
      <c r="L76" s="32" t="n">
        <v>202</v>
      </c>
      <c r="M76" s="92" t="n">
        <f aca="false">J76/L76</f>
        <v>3351.71782178218</v>
      </c>
      <c r="N76" s="93" t="n">
        <f aca="false">'$'!C123</f>
        <v>13.629202</v>
      </c>
      <c r="O76" s="116" t="n">
        <f aca="false">F76/(J76+'UT3b (1278)'!I20)</f>
        <v>0.0450165811079618</v>
      </c>
      <c r="P76" s="116" t="n">
        <f aca="false">G76/(J76+'UT3b (1278)'!I20)</f>
        <v>0.00402482799037535</v>
      </c>
      <c r="Q76" s="117" t="n">
        <f aca="false">(H76+'UT3b (1278)'!H20)/(J76+'UT3b (1278)'!I20)</f>
        <v>1.30193318531959</v>
      </c>
      <c r="R76" s="35" t="n">
        <f aca="false">SUM(C76:E76)/N76</f>
        <v>124810.448183247</v>
      </c>
      <c r="S76" s="35" t="n">
        <f aca="false">C76/$N76</f>
        <v>21348.6138073234</v>
      </c>
      <c r="T76" s="35" t="n">
        <f aca="false">D76/$N76</f>
        <v>1016.67214265369</v>
      </c>
      <c r="U76" s="35" t="n">
        <f aca="false">E76/$N76</f>
        <v>102445.162233269</v>
      </c>
      <c r="V76" s="36" t="n">
        <f aca="false">C76/N76/J76</f>
        <v>0.0315319524454335</v>
      </c>
      <c r="W76" s="94" t="n">
        <f aca="false">D76/N76/J76</f>
        <v>0.001501627128772</v>
      </c>
      <c r="X76" s="36" t="n">
        <f aca="false">E76/N76/J76</f>
        <v>0.151311743842406</v>
      </c>
      <c r="Y76" s="36" t="n">
        <f aca="false">SUM(C76:E76)/N76/J76</f>
        <v>0.184345323416611</v>
      </c>
      <c r="Z76" s="36" t="n">
        <f aca="false">(K76/N76)/J76</f>
        <v>0.17102065910488</v>
      </c>
      <c r="AA76" s="113"/>
      <c r="AB76" s="40" t="n">
        <f aca="false">C76/F76</f>
        <v>9.10551858487392</v>
      </c>
      <c r="AC76" s="40" t="n">
        <f aca="false">D76/G76</f>
        <v>4.84999299964998</v>
      </c>
      <c r="AD76" s="40" t="n">
        <f aca="false">E76/H76</f>
        <v>1.76560630577705</v>
      </c>
      <c r="AE76" s="39"/>
      <c r="AF76" s="114" t="n">
        <f aca="false">AB76/$N76</f>
        <v>0.668088900940343</v>
      </c>
      <c r="AG76" s="114" t="n">
        <f aca="false">AC76/$N76</f>
        <v>0.355853042580922</v>
      </c>
      <c r="AH76" s="114" t="n">
        <f aca="false">AD76/$N76</f>
        <v>0.12954583150041</v>
      </c>
      <c r="AI76" s="114" t="n">
        <f aca="false">AE76/$N76</f>
        <v>0</v>
      </c>
    </row>
    <row r="77" customFormat="false" ht="18.75" hidden="false" customHeight="true" outlineLevel="0" collapsed="false">
      <c r="A77" s="18" t="n">
        <v>2022</v>
      </c>
      <c r="B77" s="18" t="n">
        <v>3</v>
      </c>
      <c r="C77" s="24" t="n">
        <v>283909.52</v>
      </c>
      <c r="D77" s="24" t="n">
        <f aca="false">15567.54+366.65</f>
        <v>15934.19</v>
      </c>
      <c r="E77" s="25" t="n">
        <v>1824347.05</v>
      </c>
      <c r="F77" s="26" t="n">
        <v>31167.87</v>
      </c>
      <c r="G77" s="26" t="n">
        <f aca="false">3299+15</f>
        <v>3314</v>
      </c>
      <c r="H77" s="27" t="n">
        <v>886020.66</v>
      </c>
      <c r="I77" s="27"/>
      <c r="J77" s="31" t="n">
        <v>645730</v>
      </c>
      <c r="K77" s="24" t="n">
        <v>2155339</v>
      </c>
      <c r="L77" s="32" t="n">
        <v>204</v>
      </c>
      <c r="M77" s="92" t="n">
        <f aca="false">J77/L77</f>
        <v>3165.3431372549</v>
      </c>
      <c r="N77" s="93" t="n">
        <f aca="false">'$'!C124</f>
        <v>14.600894</v>
      </c>
      <c r="O77" s="116" t="n">
        <f aca="false">F77/(J77+'UT3b (1278)'!I21)</f>
        <v>0.0392094053651492</v>
      </c>
      <c r="P77" s="116" t="n">
        <f aca="false">G77/(J77+'UT3b (1278)'!I21)</f>
        <v>0.00416903591359</v>
      </c>
      <c r="Q77" s="117" t="n">
        <f aca="false">(H77+'UT3b (1278)'!H21)/(J77+'UT3b (1278)'!I21)</f>
        <v>1.22045778882588</v>
      </c>
      <c r="R77" s="35" t="n">
        <f aca="false">SUM(C77:E77)/N77</f>
        <v>145483.609428299</v>
      </c>
      <c r="S77" s="35" t="n">
        <f aca="false">C77/$N77</f>
        <v>19444.6668813567</v>
      </c>
      <c r="T77" s="35" t="n">
        <f aca="false">D77/$N77</f>
        <v>1091.31605229104</v>
      </c>
      <c r="U77" s="35" t="n">
        <f aca="false">E77/$N77</f>
        <v>124947.626494652</v>
      </c>
      <c r="V77" s="36" t="n">
        <f aca="false">C77/N77/J77</f>
        <v>0.0301126893304581</v>
      </c>
      <c r="W77" s="94" t="n">
        <f aca="false">D77/N77/J77</f>
        <v>0.00169005010188631</v>
      </c>
      <c r="X77" s="36" t="n">
        <f aca="false">E77/N77/J77</f>
        <v>0.193498252357257</v>
      </c>
      <c r="Y77" s="36" t="n">
        <f aca="false">SUM(C77:E77)/N77/J77</f>
        <v>0.225300991789601</v>
      </c>
      <c r="Z77" s="36" t="n">
        <f aca="false">(K77/N77)/J77</f>
        <v>0.228604710785395</v>
      </c>
      <c r="AA77" s="113"/>
      <c r="AB77" s="40" t="n">
        <f aca="false">C77/F77</f>
        <v>9.10904466683158</v>
      </c>
      <c r="AC77" s="40" t="n">
        <f aca="false">D77/G77</f>
        <v>4.80814423657212</v>
      </c>
      <c r="AD77" s="40" t="n">
        <f aca="false">E77/H77</f>
        <v>2.05903443605931</v>
      </c>
      <c r="AE77" s="39"/>
      <c r="AF77" s="114" t="n">
        <f aca="false">AB77/$N77</f>
        <v>0.623868967669485</v>
      </c>
      <c r="AG77" s="114" t="n">
        <f aca="false">AC77/$N77</f>
        <v>0.329304783431214</v>
      </c>
      <c r="AH77" s="114" t="n">
        <f aca="false">AD77/$N77</f>
        <v>0.141021120765572</v>
      </c>
      <c r="AI77" s="114" t="n">
        <f aca="false">AE77/$N77</f>
        <v>0</v>
      </c>
    </row>
    <row r="78" customFormat="false" ht="18.75" hidden="false" customHeight="true" outlineLevel="0" collapsed="false">
      <c r="A78" s="18" t="n">
        <v>2022</v>
      </c>
      <c r="B78" s="18" t="n">
        <v>4</v>
      </c>
      <c r="C78" s="24" t="n">
        <v>477262.07</v>
      </c>
      <c r="D78" s="24" t="n">
        <f aca="false">16036.57+380.57</f>
        <v>16417.14</v>
      </c>
      <c r="E78" s="25" t="n">
        <v>1732957.17</v>
      </c>
      <c r="F78" s="26" t="n">
        <v>34308.28</v>
      </c>
      <c r="G78" s="26" t="n">
        <f aca="false">3166+13</f>
        <v>3179</v>
      </c>
      <c r="H78" s="27" t="n">
        <v>752787</v>
      </c>
      <c r="I78" s="27"/>
      <c r="J78" s="31" t="n">
        <v>651565</v>
      </c>
      <c r="K78" s="24" t="n">
        <v>1347094</v>
      </c>
      <c r="L78" s="32" t="n">
        <v>181</v>
      </c>
      <c r="M78" s="92" t="n">
        <f aca="false">J78/L78</f>
        <v>3599.80662983425</v>
      </c>
      <c r="N78" s="93" t="n">
        <f aca="false">'$'!C125</f>
        <v>14.709928</v>
      </c>
      <c r="O78" s="116" t="n">
        <f aca="false">F78/(J78+'UT3b (1278)'!I22)</f>
        <v>0.041685029573433</v>
      </c>
      <c r="P78" s="116" t="n">
        <f aca="false">G78/(J78+'UT3b (1278)'!I22)</f>
        <v>0.00386252849207082</v>
      </c>
      <c r="Q78" s="117" t="n">
        <f aca="false">(H78+'UT3b (1278)'!H22)/(J78+'UT3b (1278)'!I22)</f>
        <v>1.03777963539869</v>
      </c>
      <c r="R78" s="35" t="n">
        <f aca="false">SUM(C78:E78)/N78</f>
        <v>151369.63144891</v>
      </c>
      <c r="S78" s="35" t="n">
        <f aca="false">C78/$N78</f>
        <v>32444.895039595</v>
      </c>
      <c r="T78" s="35" t="n">
        <f aca="false">D78/$N78</f>
        <v>1116.05848784576</v>
      </c>
      <c r="U78" s="35" t="n">
        <f aca="false">E78/$N78</f>
        <v>117808.677921469</v>
      </c>
      <c r="V78" s="36" t="n">
        <f aca="false">C78/N78/J78</f>
        <v>0.0497953313017044</v>
      </c>
      <c r="W78" s="94" t="n">
        <f aca="false">D78/N78/J78</f>
        <v>0.00171288894867858</v>
      </c>
      <c r="X78" s="36" t="n">
        <f aca="false">E78/N78/J78</f>
        <v>0.18080878795127</v>
      </c>
      <c r="Y78" s="36" t="n">
        <f aca="false">SUM(C78:E78)/N78/J78</f>
        <v>0.232317008201653</v>
      </c>
      <c r="Z78" s="36" t="n">
        <f aca="false">(K78/N78)/J78</f>
        <v>0.140549597885577</v>
      </c>
      <c r="AA78" s="113"/>
      <c r="AB78" s="40" t="n">
        <f aca="false">C78/F78</f>
        <v>13.9109879597578</v>
      </c>
      <c r="AC78" s="40" t="n">
        <f aca="false">D78/G78</f>
        <v>5.16424661843347</v>
      </c>
      <c r="AD78" s="40" t="n">
        <f aca="false">E78/H78</f>
        <v>2.30205512316233</v>
      </c>
      <c r="AE78" s="39"/>
      <c r="AF78" s="114" t="n">
        <f aca="false">AB78/$N78</f>
        <v>0.945687018981862</v>
      </c>
      <c r="AG78" s="114" t="n">
        <f aca="false">AC78/$N78</f>
        <v>0.351072188690078</v>
      </c>
      <c r="AH78" s="114" t="n">
        <f aca="false">AD78/$N78</f>
        <v>0.156496695508117</v>
      </c>
      <c r="AI78" s="114" t="n">
        <f aca="false">AE78/$N78</f>
        <v>0</v>
      </c>
    </row>
    <row r="79" customFormat="false" ht="18.75" hidden="false" customHeight="true" outlineLevel="0" collapsed="false">
      <c r="A79" s="18" t="n">
        <v>2022</v>
      </c>
      <c r="B79" s="18" t="n">
        <v>5</v>
      </c>
      <c r="C79" s="24" t="n">
        <v>419452.75</v>
      </c>
      <c r="D79" s="24" t="n">
        <f aca="false">20186.24+2147.3</f>
        <v>22333.54</v>
      </c>
      <c r="E79" s="25" t="n">
        <v>1660222.72</v>
      </c>
      <c r="F79" s="26" t="n">
        <f aca="false">18364.48+12242.99</f>
        <v>30607.47</v>
      </c>
      <c r="G79" s="26" t="n">
        <f aca="false">2599+49</f>
        <v>2648</v>
      </c>
      <c r="H79" s="27" t="n">
        <v>683968.32</v>
      </c>
      <c r="I79" s="27"/>
      <c r="J79" s="31" t="n">
        <v>436231</v>
      </c>
      <c r="K79" s="24" t="n">
        <v>1546385</v>
      </c>
      <c r="L79" s="32" t="n">
        <v>166</v>
      </c>
      <c r="M79" s="92" t="n">
        <f aca="false">J79/L79</f>
        <v>2627.89759036145</v>
      </c>
      <c r="N79" s="93" t="n">
        <f aca="false">'$'!C126</f>
        <v>15.570749</v>
      </c>
      <c r="O79" s="116" t="n">
        <f aca="false">F79/(J79+'UT3b (1278)'!I23)</f>
        <v>0.0474720626850532</v>
      </c>
      <c r="P79" s="116" t="n">
        <f aca="false">G79/(J79+'UT3b (1278)'!I23)</f>
        <v>0.00410703733402404</v>
      </c>
      <c r="Q79" s="117" t="n">
        <f aca="false">(H79+'UT3b (1278)'!H23)/(J79+'UT3b (1278)'!I23)</f>
        <v>1.16735141070839</v>
      </c>
      <c r="R79" s="35" t="n">
        <f aca="false">SUM(C79:E79)/N79</f>
        <v>134997.295891161</v>
      </c>
      <c r="S79" s="35" t="n">
        <f aca="false">C79/$N79</f>
        <v>26938.5082246204</v>
      </c>
      <c r="T79" s="35" t="n">
        <f aca="false">D79/$N79</f>
        <v>1434.3266338697</v>
      </c>
      <c r="U79" s="35" t="n">
        <f aca="false">E79/$N79</f>
        <v>106624.461032671</v>
      </c>
      <c r="V79" s="36" t="n">
        <f aca="false">C79/N79/J79</f>
        <v>0.0617528516419521</v>
      </c>
      <c r="W79" s="94" t="n">
        <f aca="false">D79/N79/J79</f>
        <v>0.00328799795032838</v>
      </c>
      <c r="X79" s="36" t="n">
        <f aca="false">E79/N79/J79</f>
        <v>0.244422017308882</v>
      </c>
      <c r="Y79" s="36" t="n">
        <f aca="false">SUM(C79:E79)/N79/J79</f>
        <v>0.309462866901163</v>
      </c>
      <c r="Z79" s="36" t="n">
        <f aca="false">(K79/N79)/J79</f>
        <v>0.227662551947365</v>
      </c>
      <c r="AA79" s="113"/>
      <c r="AB79" s="40" t="n">
        <f aca="false">C79/F79</f>
        <v>13.7042607572596</v>
      </c>
      <c r="AC79" s="40" t="n">
        <f aca="false">D79/G79</f>
        <v>8.4341163141994</v>
      </c>
      <c r="AD79" s="40" t="n">
        <f aca="false">E79/H79</f>
        <v>2.42733862293505</v>
      </c>
      <c r="AE79" s="39"/>
      <c r="AF79" s="114" t="n">
        <f aca="false">AB79/$N79</f>
        <v>0.880128551122337</v>
      </c>
      <c r="AG79" s="114" t="n">
        <f aca="false">AC79/$N79</f>
        <v>0.541664136657742</v>
      </c>
      <c r="AH79" s="114" t="n">
        <f aca="false">AD79/$N79</f>
        <v>0.15589093517178</v>
      </c>
      <c r="AI79" s="114" t="n">
        <f aca="false">AE79/$N79</f>
        <v>0</v>
      </c>
    </row>
    <row r="80" customFormat="false" ht="18.75" hidden="false" customHeight="true" outlineLevel="0" collapsed="false">
      <c r="A80" s="18" t="n">
        <v>2022</v>
      </c>
      <c r="B80" s="18" t="n">
        <v>6</v>
      </c>
      <c r="C80" s="24" t="n">
        <v>423929.09</v>
      </c>
      <c r="D80" s="24" t="n">
        <f aca="false">27486.42+629.4</f>
        <v>28115.82</v>
      </c>
      <c r="E80" s="25" t="n">
        <v>2437246.78</v>
      </c>
      <c r="F80" s="26" t="n">
        <f aca="false">17306.53+11537.69</f>
        <v>28844.22</v>
      </c>
      <c r="G80" s="26" t="n">
        <f aca="false">4309+20</f>
        <v>4329</v>
      </c>
      <c r="H80" s="27" t="n">
        <v>873561.06</v>
      </c>
      <c r="I80" s="27"/>
      <c r="J80" s="31" t="n">
        <v>498501</v>
      </c>
      <c r="K80" s="24" t="n">
        <v>1603509</v>
      </c>
      <c r="L80" s="32" t="n">
        <v>153</v>
      </c>
      <c r="M80" s="92" t="n">
        <f aca="false">J80/L80</f>
        <v>3258.17647058824</v>
      </c>
      <c r="N80" s="93" t="n">
        <f aca="false">'$'!C127</f>
        <v>16.965875</v>
      </c>
      <c r="O80" s="116" t="n">
        <f aca="false">F80/(J80+'UT3b (1278)'!I24)</f>
        <v>0.0407187990558686</v>
      </c>
      <c r="P80" s="116" t="n">
        <f aca="false">G80/(J80+'UT3b (1278)'!I24)</f>
        <v>0.00611116130416615</v>
      </c>
      <c r="Q80" s="117" t="n">
        <f aca="false">(H80+'UT3b (1278)'!H24)/(J80+'UT3b (1278)'!I24)</f>
        <v>1.35966359673394</v>
      </c>
      <c r="R80" s="35" t="n">
        <f aca="false">SUM(C80:E80)/N80</f>
        <v>170300.187287717</v>
      </c>
      <c r="S80" s="35" t="n">
        <f aca="false">C80/$N80</f>
        <v>24987.1633499598</v>
      </c>
      <c r="T80" s="35" t="n">
        <f aca="false">D80/$N80</f>
        <v>1657.19834668121</v>
      </c>
      <c r="U80" s="35" t="n">
        <f aca="false">E80/$N80</f>
        <v>143655.825591076</v>
      </c>
      <c r="V80" s="36" t="n">
        <f aca="false">C80/N80/J80</f>
        <v>0.0501246002514736</v>
      </c>
      <c r="W80" s="94" t="n">
        <f aca="false">D80/N80/J80</f>
        <v>0.00332436313403826</v>
      </c>
      <c r="X80" s="36" t="n">
        <f aca="false">E80/N80/J80</f>
        <v>0.288175601635857</v>
      </c>
      <c r="Y80" s="36" t="n">
        <f aca="false">SUM(C80:E80)/N80/J80</f>
        <v>0.341624565021368</v>
      </c>
      <c r="Z80" s="36" t="n">
        <f aca="false">(K80/N80)/J80</f>
        <v>0.189595971403237</v>
      </c>
      <c r="AA80" s="113"/>
      <c r="AB80" s="40" t="n">
        <f aca="false">C80/F80</f>
        <v>14.6971937532025</v>
      </c>
      <c r="AC80" s="40" t="n">
        <f aca="false">D80/G80</f>
        <v>6.49476091476091</v>
      </c>
      <c r="AD80" s="40" t="n">
        <f aca="false">E80/H80</f>
        <v>2.79001307590336</v>
      </c>
      <c r="AE80" s="39"/>
      <c r="AF80" s="114" t="n">
        <f aca="false">AB80/$N80</f>
        <v>0.866279738192256</v>
      </c>
      <c r="AG80" s="114" t="n">
        <f aca="false">AC80/$N80</f>
        <v>0.382813200896559</v>
      </c>
      <c r="AH80" s="114" t="n">
        <f aca="false">AD80/$N80</f>
        <v>0.164448522454831</v>
      </c>
      <c r="AI80" s="114" t="n">
        <f aca="false">AE80/$N80</f>
        <v>0</v>
      </c>
    </row>
    <row r="81" customFormat="false" ht="18.75" hidden="false" customHeight="true" outlineLevel="0" collapsed="false">
      <c r="A81" s="18" t="n">
        <v>2022</v>
      </c>
      <c r="B81" s="18" t="n">
        <v>7</v>
      </c>
      <c r="C81" s="24" t="n">
        <v>471586.46</v>
      </c>
      <c r="D81" s="24" t="n">
        <f aca="false">27744.59+820.55</f>
        <v>28565.14</v>
      </c>
      <c r="E81" s="25" t="n">
        <v>2738657.16</v>
      </c>
      <c r="F81" s="26" t="n">
        <f aca="false">18734.3+12489.53</f>
        <v>31223.83</v>
      </c>
      <c r="G81" s="26" t="n">
        <f aca="false">3943+506+8+21</f>
        <v>4478</v>
      </c>
      <c r="H81" s="27" t="n">
        <v>943650.54</v>
      </c>
      <c r="I81" s="27"/>
      <c r="J81" s="31" t="n">
        <v>594296</v>
      </c>
      <c r="K81" s="24" t="n">
        <v>1852115</v>
      </c>
      <c r="L81" s="32" t="n">
        <v>138</v>
      </c>
      <c r="M81" s="92" t="n">
        <f aca="false">J81/L81</f>
        <v>4306.49275362319</v>
      </c>
      <c r="N81" s="93" t="n">
        <f aca="false">'$'!C128</f>
        <v>17.410362</v>
      </c>
      <c r="O81" s="116" t="n">
        <f aca="false">F81/(J81+'UT3b (1278)'!I25)</f>
        <v>0.0364879459642644</v>
      </c>
      <c r="P81" s="116" t="n">
        <f aca="false">G81/(J81+'UT3b (1278)'!I25)</f>
        <v>0.00523295899407523</v>
      </c>
      <c r="Q81" s="117" t="n">
        <f aca="false">(H81+'UT3b (1278)'!H25)/(J81+'UT3b (1278)'!I25)</f>
        <v>1.23439232000748</v>
      </c>
      <c r="R81" s="35" t="n">
        <f aca="false">SUM(C81:E81)/N81</f>
        <v>186027.651808733</v>
      </c>
      <c r="S81" s="35" t="n">
        <f aca="false">C81/$N81</f>
        <v>27086.5396135933</v>
      </c>
      <c r="T81" s="35" t="n">
        <f aca="false">D81/$N81</f>
        <v>1640.69764890586</v>
      </c>
      <c r="U81" s="35" t="n">
        <f aca="false">E81/$N81</f>
        <v>157300.414546234</v>
      </c>
      <c r="V81" s="36" t="n">
        <f aca="false">C81/N81/J81</f>
        <v>0.0455775230080521</v>
      </c>
      <c r="W81" s="94" t="n">
        <f aca="false">D81/N81/J81</f>
        <v>0.00276074153099779</v>
      </c>
      <c r="X81" s="36" t="n">
        <f aca="false">E81/N81/J81</f>
        <v>0.264683616491166</v>
      </c>
      <c r="Y81" s="36" t="n">
        <f aca="false">SUM(C81:E81)/N81/J81</f>
        <v>0.313021881030216</v>
      </c>
      <c r="Z81" s="36" t="n">
        <f aca="false">(K81/N81)/J81</f>
        <v>0.179001776314906</v>
      </c>
      <c r="AA81" s="113"/>
      <c r="AB81" s="40" t="n">
        <f aca="false">C81/F81</f>
        <v>15.1034149237938</v>
      </c>
      <c r="AC81" s="40" t="n">
        <f aca="false">D81/G81</f>
        <v>6.37899508709245</v>
      </c>
      <c r="AD81" s="40" t="n">
        <f aca="false">E81/H81</f>
        <v>2.90219423813396</v>
      </c>
      <c r="AE81" s="39"/>
      <c r="AF81" s="114" t="n">
        <f aca="false">AB81/$N81</f>
        <v>0.867495743270231</v>
      </c>
      <c r="AG81" s="114" t="n">
        <f aca="false">AC81/$N81</f>
        <v>0.366390721059818</v>
      </c>
      <c r="AH81" s="114" t="n">
        <f aca="false">AD81/$N81</f>
        <v>0.166693503451218</v>
      </c>
      <c r="AI81" s="114" t="n">
        <f aca="false">AE81/$N81</f>
        <v>0</v>
      </c>
    </row>
    <row r="82" customFormat="false" ht="18.75" hidden="false" customHeight="true" outlineLevel="0" collapsed="false">
      <c r="A82" s="18" t="n">
        <v>2022</v>
      </c>
      <c r="B82" s="18" t="n">
        <v>8</v>
      </c>
      <c r="C82" s="24" t="n">
        <v>627945.98</v>
      </c>
      <c r="D82" s="24" t="n">
        <f aca="false">26746.91+366.96</f>
        <v>27113.87</v>
      </c>
      <c r="E82" s="25" t="n">
        <v>3165702.15</v>
      </c>
      <c r="F82" s="26" t="n">
        <f aca="false">10419.36+25665.77</f>
        <v>36085.13</v>
      </c>
      <c r="G82" s="26" t="n">
        <f aca="false">4239+4</f>
        <v>4243</v>
      </c>
      <c r="H82" s="27" t="n">
        <v>848451.24</v>
      </c>
      <c r="I82" s="27"/>
      <c r="J82" s="31" t="n">
        <v>599739</v>
      </c>
      <c r="K82" s="24" t="n">
        <v>1662083</v>
      </c>
      <c r="L82" s="32" t="n">
        <v>137</v>
      </c>
      <c r="M82" s="92" t="n">
        <f aca="false">J82/L82</f>
        <v>4377.65693430657</v>
      </c>
      <c r="N82" s="93" t="n">
        <f aca="false">'$'!C129</f>
        <v>18.018529</v>
      </c>
      <c r="O82" s="116" t="n">
        <f aca="false">F82/(J82+'UT3b (1278)'!I26)</f>
        <v>0.0450016711104903</v>
      </c>
      <c r="P82" s="116" t="n">
        <f aca="false">G82/(J82+'UT3b (1278)'!I26)</f>
        <v>0.00529143418692992</v>
      </c>
      <c r="Q82" s="117" t="n">
        <f aca="false">(H82+'UT3b (1278)'!H26)/(J82+'UT3b (1278)'!I26)</f>
        <v>1.21486644834149</v>
      </c>
      <c r="R82" s="35" t="n">
        <f aca="false">SUM(C82:E82)/N82</f>
        <v>212046.277473594</v>
      </c>
      <c r="S82" s="35" t="n">
        <f aca="false">C82/$N82</f>
        <v>34850.0135610404</v>
      </c>
      <c r="T82" s="35" t="n">
        <f aca="false">D82/$N82</f>
        <v>1504.77711027354</v>
      </c>
      <c r="U82" s="35" t="n">
        <f aca="false">E82/$N82</f>
        <v>175691.48680228</v>
      </c>
      <c r="V82" s="36" t="n">
        <f aca="false">C82/N82/J82</f>
        <v>0.0581086331905052</v>
      </c>
      <c r="W82" s="94" t="n">
        <f aca="false">D82/N82/J82</f>
        <v>0.00250905328863646</v>
      </c>
      <c r="X82" s="36" t="n">
        <f aca="false">E82/N82/J82</f>
        <v>0.292946576431214</v>
      </c>
      <c r="Y82" s="36" t="n">
        <f aca="false">SUM(C82:E82)/N82/J82</f>
        <v>0.353564262910356</v>
      </c>
      <c r="Z82" s="36" t="n">
        <f aca="false">(K82/N82)/J82</f>
        <v>0.153805222830114</v>
      </c>
      <c r="AA82" s="113"/>
      <c r="AB82" s="40" t="n">
        <f aca="false">C82/F82</f>
        <v>17.4017934811375</v>
      </c>
      <c r="AC82" s="40" t="n">
        <f aca="false">D82/G82</f>
        <v>6.39025925053029</v>
      </c>
      <c r="AD82" s="40" t="n">
        <f aca="false">E82/H82</f>
        <v>3.73115389636298</v>
      </c>
      <c r="AE82" s="39"/>
      <c r="AF82" s="114" t="n">
        <f aca="false">AB82/$N82</f>
        <v>0.965772149387862</v>
      </c>
      <c r="AG82" s="114" t="n">
        <f aca="false">AC82/$N82</f>
        <v>0.354649330726736</v>
      </c>
      <c r="AH82" s="114" t="n">
        <f aca="false">AD82/$N82</f>
        <v>0.207073168756616</v>
      </c>
      <c r="AI82" s="114" t="n">
        <f aca="false">AE82/$N82</f>
        <v>0</v>
      </c>
    </row>
    <row r="83" customFormat="false" ht="18.75" hidden="false" customHeight="true" outlineLevel="0" collapsed="false">
      <c r="A83" s="18" t="n">
        <v>2022</v>
      </c>
      <c r="B83" s="18" t="n">
        <v>9</v>
      </c>
      <c r="C83" s="24" t="n">
        <v>910485.53</v>
      </c>
      <c r="D83" s="24" t="n">
        <f aca="false">25707.23+59.65</f>
        <v>25766.88</v>
      </c>
      <c r="E83" s="25" t="n">
        <v>3240025.17</v>
      </c>
      <c r="F83" s="26" t="n">
        <v>39717.77</v>
      </c>
      <c r="G83" s="26" t="n">
        <f aca="false">3882+2</f>
        <v>3884</v>
      </c>
      <c r="H83" s="27" t="n">
        <v>692821.08</v>
      </c>
      <c r="I83" s="27"/>
      <c r="J83" s="31" t="n">
        <v>529031</v>
      </c>
      <c r="K83" s="24" t="n">
        <v>1651729</v>
      </c>
      <c r="L83" s="32" t="n">
        <v>136</v>
      </c>
      <c r="M83" s="92" t="n">
        <f aca="false">J83/L83</f>
        <v>3889.93382352941</v>
      </c>
      <c r="N83" s="93" t="n">
        <f aca="false">'$'!C130</f>
        <v>18.301932</v>
      </c>
      <c r="O83" s="116" t="n">
        <f aca="false">F83/(J83+'UT3b (1278)'!I27)</f>
        <v>0.057233185006715</v>
      </c>
      <c r="P83" s="116" t="n">
        <f aca="false">G83/(J83+'UT3b (1278)'!I27)</f>
        <v>0.00559683211232859</v>
      </c>
      <c r="Q83" s="117" t="n">
        <f aca="false">(H83+'UT3b (1278)'!H27)/(J83+'UT3b (1278)'!I27)</f>
        <v>1.18106138070563</v>
      </c>
      <c r="R83" s="35" t="n">
        <f aca="false">SUM(C83:E83)/N83</f>
        <v>228187.798971169</v>
      </c>
      <c r="S83" s="35" t="n">
        <f aca="false">C83/$N83</f>
        <v>49748.0555604731</v>
      </c>
      <c r="T83" s="35" t="n">
        <f aca="false">D83/$N83</f>
        <v>1407.87759456215</v>
      </c>
      <c r="U83" s="35" t="n">
        <f aca="false">E83/$N83</f>
        <v>177031.865816134</v>
      </c>
      <c r="V83" s="36" t="n">
        <f aca="false">C83/N83/J83</f>
        <v>0.0940361823040107</v>
      </c>
      <c r="W83" s="94" t="n">
        <f aca="false">D83/N83/J83</f>
        <v>0.00266123836705627</v>
      </c>
      <c r="X83" s="36" t="n">
        <f aca="false">E83/N83/J83</f>
        <v>0.334634200672803</v>
      </c>
      <c r="Y83" s="36" t="n">
        <f aca="false">SUM(C83:E83)/N83/J83</f>
        <v>0.43133162134387</v>
      </c>
      <c r="Z83" s="36" t="n">
        <f aca="false">(K83/N83)/J83</f>
        <v>0.170592814759858</v>
      </c>
      <c r="AA83" s="113"/>
      <c r="AB83" s="40" t="n">
        <f aca="false">C83/F83</f>
        <v>22.9238834405859</v>
      </c>
      <c r="AC83" s="40" t="n">
        <f aca="false">D83/G83</f>
        <v>6.63410916580845</v>
      </c>
      <c r="AD83" s="40" t="n">
        <f aca="false">E83/H83</f>
        <v>4.67656840060352</v>
      </c>
      <c r="AE83" s="39"/>
      <c r="AF83" s="114" t="n">
        <f aca="false">AB83/$N83</f>
        <v>1.25253899099756</v>
      </c>
      <c r="AG83" s="114" t="n">
        <f aca="false">AC83/$N83</f>
        <v>0.36248135802321</v>
      </c>
      <c r="AH83" s="114" t="n">
        <f aca="false">AD83/$N83</f>
        <v>0.255523209276677</v>
      </c>
      <c r="AI83" s="114" t="n">
        <f aca="false">AE83/$N83</f>
        <v>0</v>
      </c>
    </row>
    <row r="84" customFormat="false" ht="18.75" hidden="false" customHeight="true" outlineLevel="0" collapsed="false">
      <c r="A84" s="18" t="n">
        <v>2022</v>
      </c>
      <c r="B84" s="18" t="n">
        <v>10</v>
      </c>
      <c r="C84" s="24" t="n">
        <v>917614.72</v>
      </c>
      <c r="D84" s="24" t="n">
        <v>27494.56</v>
      </c>
      <c r="E84" s="25" t="n">
        <v>2947456.24</v>
      </c>
      <c r="F84" s="26" t="n">
        <v>38111.91</v>
      </c>
      <c r="G84" s="26" t="n">
        <v>3049</v>
      </c>
      <c r="H84" s="27" t="n">
        <v>688617.72</v>
      </c>
      <c r="I84" s="27"/>
      <c r="J84" s="31" t="n">
        <f aca="false">262227.34+61883.71</f>
        <v>324111.05</v>
      </c>
      <c r="K84" s="24" t="n">
        <v>1766393</v>
      </c>
      <c r="L84" s="32" t="n">
        <v>141</v>
      </c>
      <c r="M84" s="92" t="n">
        <f aca="false">J84/L84</f>
        <v>2298.65992907801</v>
      </c>
      <c r="N84" s="93" t="n">
        <f aca="false">'$'!C131</f>
        <v>18.578678</v>
      </c>
      <c r="O84" s="116" t="n">
        <f aca="false">F84/(J84+'UT3b (1278)'!I28)</f>
        <v>0.0828139828454793</v>
      </c>
      <c r="P84" s="116" t="n">
        <f aca="false">G84/(J84+'UT3b (1278)'!I28)</f>
        <v>0.00662522118927827</v>
      </c>
      <c r="Q84" s="117" t="n">
        <f aca="false">(H84+'UT3b (1278)'!H28)/(J84+'UT3b (1278)'!I28)</f>
        <v>1.74513567199223</v>
      </c>
      <c r="R84" s="35" t="n">
        <f aca="false">SUM(C84:E84)/N84</f>
        <v>209517.895729718</v>
      </c>
      <c r="S84" s="35" t="n">
        <f aca="false">C84/$N84</f>
        <v>49390.7435179188</v>
      </c>
      <c r="T84" s="35" t="n">
        <f aca="false">D84/$N84</f>
        <v>1479.89862357268</v>
      </c>
      <c r="U84" s="35" t="n">
        <f aca="false">E84/$N84</f>
        <v>158647.253588226</v>
      </c>
      <c r="V84" s="36" t="n">
        <f aca="false">C84/N84/J84</f>
        <v>0.152388335781575</v>
      </c>
      <c r="W84" s="94" t="n">
        <f aca="false">D84/N84/J84</f>
        <v>0.00456602335394822</v>
      </c>
      <c r="X84" s="36" t="n">
        <f aca="false">E84/N84/J84</f>
        <v>0.489484248032353</v>
      </c>
      <c r="Y84" s="36" t="n">
        <f aca="false">SUM(C84:E84)/N84/J84</f>
        <v>0.646438607167876</v>
      </c>
      <c r="Z84" s="36" t="n">
        <f aca="false">(K84/N84)/J84</f>
        <v>0.293344999529021</v>
      </c>
      <c r="AA84" s="113"/>
      <c r="AB84" s="40" t="n">
        <f aca="false">C84/F84</f>
        <v>24.076849467791</v>
      </c>
      <c r="AC84" s="40" t="n">
        <f aca="false">D84/G84</f>
        <v>9.0175664152181</v>
      </c>
      <c r="AD84" s="40" t="n">
        <f aca="false">E84/H84</f>
        <v>4.28025035428946</v>
      </c>
      <c r="AE84" s="39"/>
      <c r="AF84" s="114" t="n">
        <f aca="false">AB84/$N84</f>
        <v>1.2959398654625</v>
      </c>
      <c r="AG84" s="114" t="n">
        <f aca="false">AC84/$N84</f>
        <v>0.485371801762112</v>
      </c>
      <c r="AH84" s="114" t="n">
        <f aca="false">AD84/$N84</f>
        <v>0.230385087372173</v>
      </c>
      <c r="AI84" s="114" t="n">
        <f aca="false">AE84/$N84</f>
        <v>0</v>
      </c>
    </row>
    <row r="85" customFormat="false" ht="18.75" hidden="false" customHeight="true" outlineLevel="0" collapsed="false">
      <c r="A85" s="18" t="n">
        <v>2022</v>
      </c>
      <c r="B85" s="18" t="n">
        <v>11</v>
      </c>
      <c r="C85" s="24" t="n">
        <v>484769.32</v>
      </c>
      <c r="D85" s="24" t="n">
        <v>26053.03</v>
      </c>
      <c r="E85" s="25" t="n">
        <v>2991366.16</v>
      </c>
      <c r="F85" s="26" t="n">
        <f aca="false">12136.61+8091.08</f>
        <v>20227.69</v>
      </c>
      <c r="G85" s="26" t="n">
        <v>2822</v>
      </c>
      <c r="H85" s="27" t="n">
        <v>697878.72</v>
      </c>
      <c r="I85" s="27"/>
      <c r="J85" s="31" t="n">
        <v>326060</v>
      </c>
      <c r="K85" s="24" t="n">
        <v>2064436</v>
      </c>
      <c r="L85" s="32" t="n">
        <v>147</v>
      </c>
      <c r="M85" s="92" t="n">
        <f aca="false">J85/L85</f>
        <v>2218.09523809524</v>
      </c>
      <c r="N85" s="93" t="n">
        <f aca="false">'$'!C132</f>
        <v>18.598286</v>
      </c>
      <c r="O85" s="116" t="n">
        <f aca="false">F85/(J85+'UT3b (1278)'!I29)</f>
        <v>0.0482162709763539</v>
      </c>
      <c r="P85" s="116" t="n">
        <f aca="false">G85/(J85+'UT3b (1278)'!I29)</f>
        <v>0.00672673531655225</v>
      </c>
      <c r="Q85" s="117" t="n">
        <f aca="false">(H85+'UT3b (1278)'!H29)/(J85+'UT3b (1278)'!I29)</f>
        <v>1.87640808543097</v>
      </c>
      <c r="R85" s="35" t="n">
        <f aca="false">SUM(C85:E85)/N85</f>
        <v>188307.057435293</v>
      </c>
      <c r="S85" s="35" t="n">
        <f aca="false">C85/$N85</f>
        <v>26065.2685951813</v>
      </c>
      <c r="T85" s="35" t="n">
        <f aca="false">D85/$N85</f>
        <v>1400.82962483747</v>
      </c>
      <c r="U85" s="35" t="n">
        <f aca="false">E85/$N85</f>
        <v>160840.959215274</v>
      </c>
      <c r="V85" s="36" t="n">
        <f aca="false">C85/N85/J85</f>
        <v>0.0799400987400518</v>
      </c>
      <c r="W85" s="94" t="n">
        <f aca="false">D85/N85/J85</f>
        <v>0.00429623267140242</v>
      </c>
      <c r="X85" s="36" t="n">
        <f aca="false">E85/N85/J85</f>
        <v>0.493286386601466</v>
      </c>
      <c r="Y85" s="36" t="n">
        <f aca="false">SUM(C85:E85)/N85/J85</f>
        <v>0.57752271801292</v>
      </c>
      <c r="Z85" s="36" t="n">
        <f aca="false">(K85/N85)/J85</f>
        <v>0.340432471433047</v>
      </c>
      <c r="AA85" s="113"/>
      <c r="AB85" s="40" t="n">
        <f aca="false">C85/F85</f>
        <v>23.9656292933103</v>
      </c>
      <c r="AC85" s="40" t="n">
        <f aca="false">D85/G85</f>
        <v>9.23211552090716</v>
      </c>
      <c r="AD85" s="40" t="n">
        <f aca="false">E85/H85</f>
        <v>4.28636964313799</v>
      </c>
      <c r="AE85" s="39"/>
      <c r="AF85" s="114" t="n">
        <f aca="false">AB85/$N85</f>
        <v>1.28859343776681</v>
      </c>
      <c r="AG85" s="114" t="n">
        <f aca="false">AC85/$N85</f>
        <v>0.49639603998493</v>
      </c>
      <c r="AH85" s="114" t="n">
        <f aca="false">AD85/$N85</f>
        <v>0.230471218860598</v>
      </c>
      <c r="AI85" s="114" t="n">
        <f aca="false">AE85/$N85</f>
        <v>0</v>
      </c>
    </row>
    <row r="86" customFormat="false" ht="18.75" hidden="false" customHeight="true" outlineLevel="0" collapsed="false">
      <c r="A86" s="18" t="n">
        <v>2022</v>
      </c>
      <c r="B86" s="18" t="n">
        <v>12</v>
      </c>
      <c r="C86" s="24" t="n">
        <v>404583.26</v>
      </c>
      <c r="D86" s="24" t="n">
        <v>29653.96</v>
      </c>
      <c r="E86" s="25" t="n">
        <v>3609576.66</v>
      </c>
      <c r="F86" s="26" t="n">
        <f aca="false">11301.71+7534.48</f>
        <v>18836.19</v>
      </c>
      <c r="G86" s="26" t="n">
        <v>3256</v>
      </c>
      <c r="H86" s="27" t="n">
        <v>776907.18</v>
      </c>
      <c r="I86" s="27"/>
      <c r="J86" s="31" t="n">
        <v>331158</v>
      </c>
      <c r="K86" s="24" t="n">
        <v>1292228</v>
      </c>
      <c r="L86" s="32" t="n">
        <v>137</v>
      </c>
      <c r="M86" s="92" t="n">
        <f aca="false">J86/L86</f>
        <v>2417.21167883212</v>
      </c>
      <c r="N86" s="93" t="n">
        <f aca="false">'$'!C133</f>
        <v>18.653721</v>
      </c>
      <c r="O86" s="116" t="n">
        <f aca="false">F86/(J86+'UT3b (1278)'!I30)</f>
        <v>0.045481564650489</v>
      </c>
      <c r="P86" s="116" t="n">
        <f aca="false">G86/(J86+'UT3b (1278)'!I30)</f>
        <v>0.00786188579017264</v>
      </c>
      <c r="Q86" s="117" t="n">
        <f aca="false">(H86+'UT3b (1278)'!H30)/(J86+'UT3b (1278)'!I30)</f>
        <v>2.11974207412773</v>
      </c>
      <c r="R86" s="35" t="n">
        <f aca="false">SUM(C86:E86)/N86</f>
        <v>216783.229469337</v>
      </c>
      <c r="S86" s="35" t="n">
        <f aca="false">C86/$N86</f>
        <v>21689.1450236658</v>
      </c>
      <c r="T86" s="35" t="n">
        <f aca="false">D86/$N86</f>
        <v>1589.70749053232</v>
      </c>
      <c r="U86" s="35" t="n">
        <f aca="false">E86/$N86</f>
        <v>193504.376955139</v>
      </c>
      <c r="V86" s="36" t="n">
        <f aca="false">C86/N86/J86</f>
        <v>0.0654948544914083</v>
      </c>
      <c r="W86" s="94" t="n">
        <f aca="false">D86/N86/J86</f>
        <v>0.00480045020966523</v>
      </c>
      <c r="X86" s="36" t="n">
        <f aca="false">E86/N86/J86</f>
        <v>0.584326445247101</v>
      </c>
      <c r="Y86" s="36" t="n">
        <f aca="false">SUM(C86:E86)/N86/J86</f>
        <v>0.654621749948174</v>
      </c>
      <c r="Z86" s="36" t="n">
        <f aca="false">(K86/N86)/J86</f>
        <v>0.209188795477409</v>
      </c>
      <c r="AA86" s="113"/>
      <c r="AB86" s="40" t="n">
        <f aca="false">C86/F86</f>
        <v>21.4790390200991</v>
      </c>
      <c r="AC86" s="40" t="n">
        <f aca="false">D86/G86</f>
        <v>9.10748157248157</v>
      </c>
      <c r="AD86" s="40" t="n">
        <f aca="false">E86/H86</f>
        <v>4.64608482573169</v>
      </c>
      <c r="AE86" s="39"/>
      <c r="AF86" s="114" t="n">
        <f aca="false">AB86/$N86</f>
        <v>1.15146136366568</v>
      </c>
      <c r="AG86" s="114" t="n">
        <f aca="false">AC86/$N86</f>
        <v>0.488239401269139</v>
      </c>
      <c r="AH86" s="114" t="n">
        <f aca="false">AD86/$N86</f>
        <v>0.249070135965456</v>
      </c>
      <c r="AI86" s="114" t="n">
        <f aca="false">AE86/$N86</f>
        <v>0</v>
      </c>
    </row>
    <row r="87" customFormat="false" ht="18.75" hidden="false" customHeight="true" outlineLevel="0" collapsed="false">
      <c r="A87" s="18" t="n">
        <v>2023</v>
      </c>
      <c r="B87" s="18" t="n">
        <v>1</v>
      </c>
      <c r="C87" s="24" t="n">
        <v>455154.91</v>
      </c>
      <c r="D87" s="24" t="n">
        <v>38016.44</v>
      </c>
      <c r="E87" s="25" t="n">
        <v>2949444.2</v>
      </c>
      <c r="F87" s="26" t="n">
        <v>21841.39</v>
      </c>
      <c r="G87" s="26" t="n">
        <v>3233</v>
      </c>
      <c r="H87" s="27" t="n">
        <v>732756</v>
      </c>
      <c r="I87" s="27" t="n">
        <v>46871</v>
      </c>
      <c r="J87" s="31" t="n">
        <v>288839</v>
      </c>
      <c r="K87" s="24" t="n">
        <v>2392295</v>
      </c>
      <c r="L87" s="32" t="n">
        <v>134</v>
      </c>
      <c r="M87" s="92" t="n">
        <f aca="false">J87/L87</f>
        <v>2155.51492537313</v>
      </c>
      <c r="N87" s="93" t="n">
        <f aca="false">'$'!C134</f>
        <v>18.779415</v>
      </c>
      <c r="O87" s="116" t="n">
        <f aca="false">F87/(J87+'UT3b (1278)'!I31)</f>
        <v>0.0590941902527847</v>
      </c>
      <c r="P87" s="116" t="n">
        <f aca="false">G87/(J87+'UT3b (1278)'!I31)</f>
        <v>0.00874722337210466</v>
      </c>
      <c r="Q87" s="117" t="n">
        <f aca="false">(H87+'UT3b (1278)'!H31)/(J87+'UT3b (1278)'!I31)</f>
        <v>2.25612075659559</v>
      </c>
      <c r="R87" s="35" t="n">
        <f aca="false">SUM(C87:E87)/N87</f>
        <v>183318.572490144</v>
      </c>
      <c r="S87" s="35" t="n">
        <f aca="false">C87/$N87</f>
        <v>24236.9056757093</v>
      </c>
      <c r="T87" s="35" t="n">
        <f aca="false">D87/$N87</f>
        <v>2024.36763871505</v>
      </c>
      <c r="U87" s="35" t="n">
        <f aca="false">E87/$N87</f>
        <v>157057.29917572</v>
      </c>
      <c r="V87" s="36" t="n">
        <f aca="false">C87/N87/J87</f>
        <v>0.0839114720508978</v>
      </c>
      <c r="W87" s="94" t="n">
        <f aca="false">D87/N87/J87</f>
        <v>0.00700863677936515</v>
      </c>
      <c r="X87" s="36" t="n">
        <f aca="false">E87/N87/J87</f>
        <v>0.543753783857858</v>
      </c>
      <c r="Y87" s="36" t="n">
        <f aca="false">SUM(C87:E87)/N87/J87</f>
        <v>0.634673892688121</v>
      </c>
      <c r="Z87" s="36" t="n">
        <f aca="false">(K87/N87)/J87</f>
        <v>0.441038843302828</v>
      </c>
      <c r="AA87" s="113"/>
      <c r="AB87" s="40" t="n">
        <f aca="false">C87/F87</f>
        <v>20.8390999840212</v>
      </c>
      <c r="AC87" s="40" t="n">
        <f aca="false">D87/G87</f>
        <v>11.7588741107331</v>
      </c>
      <c r="AD87" s="40" t="n">
        <f aca="false">E87/H87</f>
        <v>4.02513824520031</v>
      </c>
      <c r="AE87" s="41" t="n">
        <f aca="false">E87/(H87-I87)</f>
        <v>4.30020222048886</v>
      </c>
      <c r="AF87" s="114" t="n">
        <f aca="false">AB87/$N87</f>
        <v>1.10967780327668</v>
      </c>
      <c r="AG87" s="114" t="n">
        <f aca="false">AC87/$N87</f>
        <v>0.626157636472332</v>
      </c>
      <c r="AH87" s="114" t="n">
        <f aca="false">AD87/$N87</f>
        <v>0.21433778662436</v>
      </c>
      <c r="AI87" s="114" t="n">
        <f aca="false">AE87/$N87</f>
        <v>0.228984886935448</v>
      </c>
    </row>
    <row r="88" customFormat="false" ht="18.75" hidden="false" customHeight="true" outlineLevel="0" collapsed="false">
      <c r="A88" s="18" t="n">
        <v>2023</v>
      </c>
      <c r="B88" s="18" t="n">
        <v>2</v>
      </c>
      <c r="C88" s="24" t="n">
        <v>280722.18</v>
      </c>
      <c r="D88" s="24" t="n">
        <v>26995.68</v>
      </c>
      <c r="E88" s="25" t="n">
        <v>1855898.35</v>
      </c>
      <c r="F88" s="26" t="n">
        <v>15486</v>
      </c>
      <c r="G88" s="26" t="n">
        <v>2153</v>
      </c>
      <c r="H88" s="27" t="n">
        <v>601491</v>
      </c>
      <c r="I88" s="27" t="n">
        <v>93742</v>
      </c>
      <c r="J88" s="31" t="n">
        <v>243787</v>
      </c>
      <c r="K88" s="24" t="n">
        <v>1905892</v>
      </c>
      <c r="L88" s="32" t="n">
        <v>136</v>
      </c>
      <c r="M88" s="92" t="n">
        <f aca="false">J88/L88</f>
        <v>1792.55147058824</v>
      </c>
      <c r="N88" s="93" t="n">
        <f aca="false">'$'!C135</f>
        <v>18.848094</v>
      </c>
      <c r="O88" s="116" t="n">
        <f aca="false">F88/(J88+'UT3b (1278)'!I32)</f>
        <v>0.0419878477635493</v>
      </c>
      <c r="P88" s="116" t="n">
        <f aca="false">G88/(J88+'UT3b (1278)'!I32)</f>
        <v>0.00583752009782523</v>
      </c>
      <c r="Q88" s="117" t="n">
        <f aca="false">(H88+'UT3b (1278)'!H32)/(J88+'UT3b (1278)'!I32)</f>
        <v>1.82124933233194</v>
      </c>
      <c r="R88" s="35" t="n">
        <f aca="false">SUM(C88:E88)/N88</f>
        <v>114792.307911877</v>
      </c>
      <c r="S88" s="35" t="n">
        <f aca="false">C88/$N88</f>
        <v>14893.9293278143</v>
      </c>
      <c r="T88" s="35" t="n">
        <f aca="false">D88/$N88</f>
        <v>1432.27638826504</v>
      </c>
      <c r="U88" s="35" t="n">
        <f aca="false">E88/$N88</f>
        <v>98466.1021957976</v>
      </c>
      <c r="V88" s="36" t="n">
        <f aca="false">C88/N88/J88</f>
        <v>0.0610940260465663</v>
      </c>
      <c r="W88" s="94" t="n">
        <f aca="false">D88/N88/J88</f>
        <v>0.00587511388328763</v>
      </c>
      <c r="X88" s="36" t="n">
        <f aca="false">E88/N88/J88</f>
        <v>0.40390218590736</v>
      </c>
      <c r="Y88" s="36" t="n">
        <f aca="false">SUM(C88:E88)/N88/J88</f>
        <v>0.470871325837214</v>
      </c>
      <c r="Z88" s="36" t="n">
        <f aca="false">(K88/N88)/J88</f>
        <v>0.414782385524159</v>
      </c>
      <c r="AA88" s="113"/>
      <c r="AB88" s="40" t="n">
        <f aca="false">C88/F88</f>
        <v>18.1274815962805</v>
      </c>
      <c r="AC88" s="40" t="n">
        <f aca="false">D88/G88</f>
        <v>12.5386344635392</v>
      </c>
      <c r="AD88" s="40" t="n">
        <f aca="false">E88/H88</f>
        <v>3.08549645796861</v>
      </c>
      <c r="AE88" s="41" t="n">
        <f aca="false">E88/(H88-I88)</f>
        <v>3.65514919773353</v>
      </c>
      <c r="AF88" s="114" t="n">
        <f aca="false">AB88/$N88</f>
        <v>0.961767359409419</v>
      </c>
      <c r="AG88" s="114" t="n">
        <f aca="false">AC88/$N88</f>
        <v>0.665246812942425</v>
      </c>
      <c r="AH88" s="114" t="n">
        <f aca="false">AD88/$N88</f>
        <v>0.163703367458196</v>
      </c>
      <c r="AI88" s="114" t="n">
        <f aca="false">AE88/$N88</f>
        <v>0.193926727961646</v>
      </c>
    </row>
    <row r="89" customFormat="false" ht="18.75" hidden="false" customHeight="true" outlineLevel="0" collapsed="false">
      <c r="A89" s="18" t="n">
        <v>2023</v>
      </c>
      <c r="B89" s="18" t="n">
        <v>3</v>
      </c>
      <c r="C89" s="24" t="n">
        <v>307018.68</v>
      </c>
      <c r="D89" s="24" t="n">
        <v>36344.66</v>
      </c>
      <c r="E89" s="25" t="n">
        <v>1932668.76</v>
      </c>
      <c r="F89" s="26" t="n">
        <v>21406.08</v>
      </c>
      <c r="G89" s="26" t="n">
        <v>3128</v>
      </c>
      <c r="H89" s="27" t="n">
        <v>810833.56</v>
      </c>
      <c r="I89" s="27" t="n">
        <v>111179</v>
      </c>
      <c r="J89" s="31" t="n">
        <v>391073</v>
      </c>
      <c r="K89" s="24" t="n">
        <v>2195518</v>
      </c>
      <c r="L89" s="32" t="n">
        <v>143</v>
      </c>
      <c r="M89" s="92" t="n">
        <f aca="false">J89/L89</f>
        <v>2734.77622377622</v>
      </c>
      <c r="N89" s="93" t="n">
        <f aca="false">'$'!C136</f>
        <v>18.992986</v>
      </c>
      <c r="O89" s="116" t="n">
        <f aca="false">F89/(J89+'UT3b (1278)'!I33)</f>
        <v>0.0401900034170575</v>
      </c>
      <c r="P89" s="116" t="n">
        <f aca="false">G89/(J89+'UT3b (1278)'!I33)</f>
        <v>0.0058728328908682</v>
      </c>
      <c r="Q89" s="117" t="n">
        <f aca="false">(H89+'UT3b (1278)'!H33)/(J89+'UT3b (1278)'!I33)</f>
        <v>1.72730484283413</v>
      </c>
      <c r="R89" s="35" t="n">
        <f aca="false">SUM(C89:E89)/N89</f>
        <v>119835.401342369</v>
      </c>
      <c r="S89" s="35" t="n">
        <f aca="false">C89/$N89</f>
        <v>16164.8452749873</v>
      </c>
      <c r="T89" s="35" t="n">
        <f aca="false">D89/$N89</f>
        <v>1913.58325647163</v>
      </c>
      <c r="U89" s="35" t="n">
        <f aca="false">E89/$N89</f>
        <v>101756.97281091</v>
      </c>
      <c r="V89" s="36" t="n">
        <f aca="false">C89/N89/J89</f>
        <v>0.0413345980801214</v>
      </c>
      <c r="W89" s="94" t="n">
        <f aca="false">D89/N89/J89</f>
        <v>0.00489316126777258</v>
      </c>
      <c r="X89" s="36" t="n">
        <f aca="false">E89/N89/J89</f>
        <v>0.26019943287036</v>
      </c>
      <c r="Y89" s="36" t="n">
        <f aca="false">SUM(C89:E89)/N89/J89</f>
        <v>0.306427192218254</v>
      </c>
      <c r="Z89" s="36" t="n">
        <f aca="false">(K89/N89)/J89</f>
        <v>0.295587402394121</v>
      </c>
      <c r="AA89" s="113"/>
      <c r="AB89" s="40" t="n">
        <f aca="false">C89/F89</f>
        <v>14.3425923849673</v>
      </c>
      <c r="AC89" s="40" t="n">
        <f aca="false">D89/G89</f>
        <v>11.6191368286445</v>
      </c>
      <c r="AD89" s="40" t="n">
        <f aca="false">E89/H89</f>
        <v>2.3835579277207</v>
      </c>
      <c r="AE89" s="41" t="n">
        <f aca="false">E89/(H89-I89)</f>
        <v>2.76231853616447</v>
      </c>
      <c r="AF89" s="114" t="n">
        <f aca="false">AB89/$N89</f>
        <v>0.755152053761702</v>
      </c>
      <c r="AG89" s="114" t="n">
        <f aca="false">AC89/$N89</f>
        <v>0.611759353091952</v>
      </c>
      <c r="AH89" s="114" t="n">
        <f aca="false">AD89/$N89</f>
        <v>0.125496745362772</v>
      </c>
      <c r="AI89" s="114" t="n">
        <f aca="false">AE89/$N89</f>
        <v>0.145438876023205</v>
      </c>
    </row>
    <row r="90" customFormat="false" ht="18.75" hidden="false" customHeight="true" outlineLevel="0" collapsed="false">
      <c r="A90" s="18" t="n">
        <v>2023</v>
      </c>
      <c r="B90" s="18" t="n">
        <v>4</v>
      </c>
      <c r="C90" s="24" t="n">
        <v>205241.36</v>
      </c>
      <c r="D90" s="24" t="n">
        <v>33300.36</v>
      </c>
      <c r="E90" s="25" t="n">
        <v>1320188.28</v>
      </c>
      <c r="F90" s="26" t="n">
        <v>17861.57</v>
      </c>
      <c r="G90" s="26" t="n">
        <v>2732</v>
      </c>
      <c r="H90" s="27" t="n">
        <v>673098</v>
      </c>
      <c r="I90" s="27" t="n">
        <v>145229</v>
      </c>
      <c r="J90" s="31" t="n">
        <f aca="false">246414+57740</f>
        <v>304154</v>
      </c>
      <c r="K90" s="24" t="n">
        <v>2071356</v>
      </c>
      <c r="L90" s="32" t="n">
        <v>137</v>
      </c>
      <c r="M90" s="92" t="n">
        <f aca="false">J90/L90</f>
        <v>2220.10218978102</v>
      </c>
      <c r="N90" s="93" t="n">
        <f aca="false">'$'!C137</f>
        <v>19.335863</v>
      </c>
      <c r="O90" s="116" t="n">
        <f aca="false">F90/(J90+'UT3b (1278)'!I34)</f>
        <v>0.0372303744804672</v>
      </c>
      <c r="P90" s="116" t="n">
        <f aca="false">G90/(J90+'UT3b (1278)'!I34)</f>
        <v>0.0056945376627383</v>
      </c>
      <c r="Q90" s="117" t="n">
        <f aca="false">(H90+'UT3b (1278)'!H34)/(J90+'UT3b (1278)'!I34)</f>
        <v>1.59837668157696</v>
      </c>
      <c r="R90" s="35" t="n">
        <f aca="false">SUM(C90:E90)/N90</f>
        <v>80613.4176685054</v>
      </c>
      <c r="S90" s="35" t="n">
        <f aca="false">C90/$N90</f>
        <v>10614.5435556717</v>
      </c>
      <c r="T90" s="35" t="n">
        <f aca="false">D90/$N90</f>
        <v>1722.20707190571</v>
      </c>
      <c r="U90" s="35" t="n">
        <f aca="false">E90/$N90</f>
        <v>68276.6670409281</v>
      </c>
      <c r="V90" s="36" t="n">
        <f aca="false">C90/N90/J90</f>
        <v>0.0348985828089443</v>
      </c>
      <c r="W90" s="94" t="n">
        <f aca="false">D90/N90/J90</f>
        <v>0.00566228644668724</v>
      </c>
      <c r="X90" s="36" t="n">
        <f aca="false">E90/N90/J90</f>
        <v>0.224480582339631</v>
      </c>
      <c r="Y90" s="36" t="n">
        <f aca="false">SUM(C90:E90)/N90/J90</f>
        <v>0.265041451595262</v>
      </c>
      <c r="Z90" s="36" t="n">
        <f aca="false">(K90/N90)/J90</f>
        <v>0.352206733052264</v>
      </c>
      <c r="AA90" s="113"/>
      <c r="AB90" s="40" t="n">
        <f aca="false">C90/F90</f>
        <v>11.4906673937397</v>
      </c>
      <c r="AC90" s="40" t="n">
        <f aca="false">D90/G90</f>
        <v>12.1890043923865</v>
      </c>
      <c r="AD90" s="40" t="n">
        <f aca="false">E90/H90</f>
        <v>1.96136116880454</v>
      </c>
      <c r="AE90" s="41" t="n">
        <f aca="false">E90/(H90-I90)</f>
        <v>2.50097709848466</v>
      </c>
      <c r="AF90" s="114" t="n">
        <f aca="false">AB90/$N90</f>
        <v>0.594267108416094</v>
      </c>
      <c r="AG90" s="114" t="n">
        <f aca="false">AC90/$N90</f>
        <v>0.630383262044551</v>
      </c>
      <c r="AH90" s="114" t="n">
        <f aca="false">AD90/$N90</f>
        <v>0.101436443193901</v>
      </c>
      <c r="AI90" s="114" t="n">
        <f aca="false">AE90/$N90</f>
        <v>0.129343960416179</v>
      </c>
    </row>
    <row r="91" customFormat="false" ht="18.75" hidden="false" customHeight="true" outlineLevel="0" collapsed="false">
      <c r="A91" s="18" t="n">
        <v>2023</v>
      </c>
      <c r="B91" s="18" t="n">
        <v>5</v>
      </c>
      <c r="C91" s="24" t="n">
        <v>165785.15</v>
      </c>
      <c r="D91" s="24" t="n">
        <v>25711.22</v>
      </c>
      <c r="E91" s="25" t="n">
        <v>1612373.95</v>
      </c>
      <c r="F91" s="26" t="n">
        <v>14426.16</v>
      </c>
      <c r="G91" s="26" t="n">
        <v>2092</v>
      </c>
      <c r="H91" s="27" t="n">
        <v>817261</v>
      </c>
      <c r="I91" s="27" t="n">
        <v>198501</v>
      </c>
      <c r="J91" s="31" t="n">
        <v>469866.1086</v>
      </c>
      <c r="K91" s="24" t="n">
        <v>2423536</v>
      </c>
      <c r="L91" s="32" t="n">
        <v>135</v>
      </c>
      <c r="M91" s="92" t="n">
        <f aca="false">J91/L91</f>
        <v>3480.48969333333</v>
      </c>
      <c r="N91" s="93" t="n">
        <f aca="false">'$'!C138</f>
        <v>19.735976</v>
      </c>
      <c r="O91" s="116" t="n">
        <f aca="false">F91/(J91+'UT3b (1278)'!I35)</f>
        <v>0.0204990973643872</v>
      </c>
      <c r="P91" s="116" t="n">
        <f aca="false">G91/(J91+'UT3b (1278)'!I35)</f>
        <v>0.00297266297381271</v>
      </c>
      <c r="Q91" s="117" t="n">
        <f aca="false">(H91+'UT3b (1278)'!H35)/(J91+'UT3b (1278)'!I35)</f>
        <v>1.23250415085848</v>
      </c>
      <c r="R91" s="35" t="n">
        <f aca="false">SUM(C91:E91)/N91</f>
        <v>91400.1070937662</v>
      </c>
      <c r="S91" s="35" t="n">
        <f aca="false">C91/$N91</f>
        <v>8400.14955429617</v>
      </c>
      <c r="T91" s="35" t="n">
        <f aca="false">D91/$N91</f>
        <v>1302.75898187148</v>
      </c>
      <c r="U91" s="35" t="n">
        <f aca="false">E91/$N91</f>
        <v>81697.1985575986</v>
      </c>
      <c r="V91" s="36" t="n">
        <f aca="false">C91/N91/J91</f>
        <v>0.0178777515563424</v>
      </c>
      <c r="W91" s="94" t="n">
        <f aca="false">D91/N91/J91</f>
        <v>0.00277261747129016</v>
      </c>
      <c r="X91" s="36" t="n">
        <f aca="false">E91/N91/J91</f>
        <v>0.173873358946916</v>
      </c>
      <c r="Y91" s="36" t="n">
        <f aca="false">SUM(C91:E91)/N91/J91</f>
        <v>0.194523727974549</v>
      </c>
      <c r="Z91" s="36" t="n">
        <f aca="false">(K91/N91)/J91</f>
        <v>0.261346534933025</v>
      </c>
      <c r="AA91" s="113"/>
      <c r="AB91" s="40" t="n">
        <f aca="false">C91/F91</f>
        <v>11.4919805409062</v>
      </c>
      <c r="AC91" s="40" t="n">
        <f aca="false">D91/G91</f>
        <v>12.290258126195</v>
      </c>
      <c r="AD91" s="40" t="n">
        <f aca="false">E91/H91</f>
        <v>1.97289966118535</v>
      </c>
      <c r="AE91" s="41" t="n">
        <f aca="false">E91/(H91-I91)</f>
        <v>2.60581477471071</v>
      </c>
      <c r="AF91" s="114" t="n">
        <f aca="false">AB91/$N91</f>
        <v>0.582285899663956</v>
      </c>
      <c r="AG91" s="114" t="n">
        <f aca="false">AC91/$N91</f>
        <v>0.622733738944303</v>
      </c>
      <c r="AH91" s="114" t="n">
        <f aca="false">AD91/$N91</f>
        <v>0.0999646362148672</v>
      </c>
      <c r="AI91" s="114" t="n">
        <f aca="false">AE91/$N91</f>
        <v>0.132033742578057</v>
      </c>
    </row>
    <row r="92" customFormat="false" ht="18.75" hidden="false" customHeight="true" outlineLevel="0" collapsed="false">
      <c r="A92" s="18" t="n">
        <v>2023</v>
      </c>
      <c r="B92" s="18" t="n">
        <v>6</v>
      </c>
      <c r="C92" s="24" t="n">
        <v>130417.6</v>
      </c>
      <c r="D92" s="24" t="n">
        <f aca="false">136.37+20147.73</f>
        <v>20284.1</v>
      </c>
      <c r="E92" s="25" t="n">
        <v>1389816.31</v>
      </c>
      <c r="F92" s="26" t="n">
        <v>10909.78</v>
      </c>
      <c r="G92" s="26" t="n">
        <f aca="false">3+1817</f>
        <v>1820</v>
      </c>
      <c r="H92" s="27" t="n">
        <v>740204</v>
      </c>
      <c r="I92" s="27" t="n">
        <v>190838</v>
      </c>
      <c r="J92" s="31" t="n">
        <v>383787.2435</v>
      </c>
      <c r="K92" s="24" t="n">
        <v>1859738</v>
      </c>
      <c r="L92" s="32" t="n">
        <v>131</v>
      </c>
      <c r="M92" s="92" t="n">
        <f aca="false">J92/L92</f>
        <v>2929.67361450382</v>
      </c>
      <c r="N92" s="93" t="n">
        <f aca="false">'$'!C139</f>
        <v>23.541627</v>
      </c>
      <c r="O92" s="116" t="n">
        <f aca="false">F92/(J92+'UT3b (1278)'!I36)</f>
        <v>0.0178892771074215</v>
      </c>
      <c r="P92" s="116" t="n">
        <f aca="false">G92/(J92+'UT3b (1278)'!I36)</f>
        <v>0.0029843392199941</v>
      </c>
      <c r="Q92" s="117" t="n">
        <f aca="false">(H92+'UT3b (1278)'!H36)/(J92+'UT3b (1278)'!I36)</f>
        <v>1.26875738469718</v>
      </c>
      <c r="R92" s="35" t="n">
        <f aca="false">SUM(C92:E92)/N92</f>
        <v>65438.0434283493</v>
      </c>
      <c r="S92" s="35" t="n">
        <f aca="false">C92/$N92</f>
        <v>5539.87198930643</v>
      </c>
      <c r="T92" s="35" t="n">
        <f aca="false">D92/$N92</f>
        <v>861.62693852893</v>
      </c>
      <c r="U92" s="35" t="n">
        <f aca="false">E92/$N92</f>
        <v>59036.5445005139</v>
      </c>
      <c r="V92" s="36" t="n">
        <f aca="false">C92/N92/J92</f>
        <v>0.0144347475929237</v>
      </c>
      <c r="W92" s="94" t="n">
        <f aca="false">D92/N92/J92</f>
        <v>0.00224506403774968</v>
      </c>
      <c r="X92" s="36" t="n">
        <f aca="false">E92/N92/J92</f>
        <v>0.153826229246502</v>
      </c>
      <c r="Y92" s="36" t="n">
        <f aca="false">SUM(C92:E92)/N92/J92</f>
        <v>0.170506040877175</v>
      </c>
      <c r="Z92" s="36" t="n">
        <f aca="false">(K92/N92)/J92</f>
        <v>0.205837621754799</v>
      </c>
      <c r="AA92" s="113"/>
      <c r="AB92" s="40" t="n">
        <f aca="false">C92/F92</f>
        <v>11.9541915602331</v>
      </c>
      <c r="AC92" s="40" t="n">
        <f aca="false">D92/G92</f>
        <v>11.1451098901099</v>
      </c>
      <c r="AD92" s="40" t="n">
        <f aca="false">E92/H92</f>
        <v>1.87761253654398</v>
      </c>
      <c r="AE92" s="41" t="n">
        <f aca="false">E92/(H92-I92)</f>
        <v>2.52985497828406</v>
      </c>
      <c r="AF92" s="114" t="n">
        <f aca="false">AB92/$N92</f>
        <v>0.507789523648179</v>
      </c>
      <c r="AG92" s="114" t="n">
        <f aca="false">AC92/$N92</f>
        <v>0.473421394796115</v>
      </c>
      <c r="AH92" s="114" t="n">
        <f aca="false">AD92/$N92</f>
        <v>0.0797571270899832</v>
      </c>
      <c r="AI92" s="114" t="n">
        <f aca="false">AE92/$N92</f>
        <v>0.10746304740467</v>
      </c>
    </row>
    <row r="93" customFormat="false" ht="18.75" hidden="false" customHeight="true" outlineLevel="0" collapsed="false">
      <c r="A93" s="18" t="n">
        <v>2023</v>
      </c>
      <c r="B93" s="18" t="n">
        <v>7</v>
      </c>
      <c r="C93" s="24" t="n">
        <v>101718.79</v>
      </c>
      <c r="D93" s="24" t="n">
        <f aca="false">20294.71+166.5</f>
        <v>20461.21</v>
      </c>
      <c r="E93" s="25" t="n">
        <v>1575232.33</v>
      </c>
      <c r="F93" s="26" t="n">
        <v>8678.51</v>
      </c>
      <c r="G93" s="26" t="n">
        <f aca="false">1703+5</f>
        <v>1708</v>
      </c>
      <c r="H93" s="27" t="n">
        <v>735861</v>
      </c>
      <c r="I93" s="27" t="n">
        <v>196005</v>
      </c>
      <c r="J93" s="31" t="n">
        <f aca="false">-5869.2+338058.035</f>
        <v>332188.835</v>
      </c>
      <c r="K93" s="24" t="n">
        <v>2417948</v>
      </c>
      <c r="L93" s="32" t="n">
        <v>124</v>
      </c>
      <c r="M93" s="92" t="n">
        <f aca="false">J93/L93</f>
        <v>2678.94221774194</v>
      </c>
      <c r="N93" s="93" t="n">
        <f aca="false">'$'!C140</f>
        <v>26.43329</v>
      </c>
      <c r="O93" s="116" t="n">
        <f aca="false">F93/(J93+'UT3b (1278)'!I37)</f>
        <v>0.0150661818840122</v>
      </c>
      <c r="P93" s="116" t="n">
        <f aca="false">G93/(J93+'UT3b (1278)'!I37)</f>
        <v>0.00296514478382727</v>
      </c>
      <c r="Q93" s="117" t="n">
        <f aca="false">(H93+'UT3b (1278)'!H37)/(J93+'UT3b (1278)'!I37)</f>
        <v>1.33983400241067</v>
      </c>
      <c r="R93" s="35" t="n">
        <f aca="false">SUM(C93:E93)/N93</f>
        <v>64214.9475150464</v>
      </c>
      <c r="S93" s="35" t="n">
        <f aca="false">C93/$N93</f>
        <v>3848.13203350775</v>
      </c>
      <c r="T93" s="35" t="n">
        <f aca="false">D93/$N93</f>
        <v>774.069743115594</v>
      </c>
      <c r="U93" s="35" t="n">
        <f aca="false">E93/$N93</f>
        <v>59592.745738423</v>
      </c>
      <c r="V93" s="36" t="n">
        <f aca="false">C93/N93/J93</f>
        <v>0.0115841702912976</v>
      </c>
      <c r="W93" s="94" t="n">
        <f aca="false">D93/N93/J93</f>
        <v>0.00233020999370913</v>
      </c>
      <c r="X93" s="36" t="n">
        <f aca="false">E93/N93/J93</f>
        <v>0.179394186256811</v>
      </c>
      <c r="Y93" s="36" t="n">
        <f aca="false">SUM(C93:E93)/N93/J93</f>
        <v>0.193308566541818</v>
      </c>
      <c r="Z93" s="36" t="n">
        <f aca="false">(K93/N93)/J93</f>
        <v>0.275366246369057</v>
      </c>
      <c r="AA93" s="113"/>
      <c r="AB93" s="40" t="n">
        <f aca="false">C93/F93</f>
        <v>11.7207665832038</v>
      </c>
      <c r="AC93" s="40" t="n">
        <f aca="false">D93/G93</f>
        <v>11.979631147541</v>
      </c>
      <c r="AD93" s="40" t="n">
        <f aca="false">E93/H93</f>
        <v>2.14066560124806</v>
      </c>
      <c r="AE93" s="41" t="n">
        <f aca="false">E93/(H93-I93)</f>
        <v>2.91787500740938</v>
      </c>
      <c r="AF93" s="114" t="n">
        <f aca="false">AB93/$N93</f>
        <v>0.44340929877453</v>
      </c>
      <c r="AG93" s="114" t="n">
        <f aca="false">AC93/$N93</f>
        <v>0.453202425711706</v>
      </c>
      <c r="AH93" s="114" t="n">
        <f aca="false">AD93/$N93</f>
        <v>0.0809836990116653</v>
      </c>
      <c r="AI93" s="114" t="n">
        <f aca="false">AE93/$N93</f>
        <v>0.110386372918747</v>
      </c>
    </row>
    <row r="94" customFormat="false" ht="18.75" hidden="false" customHeight="true" outlineLevel="0" collapsed="false">
      <c r="A94" s="18" t="n">
        <v>2023</v>
      </c>
      <c r="B94" s="18" t="n">
        <v>8</v>
      </c>
      <c r="C94" s="24" t="n">
        <v>112746.01</v>
      </c>
      <c r="D94" s="24" t="n">
        <v>21710.1</v>
      </c>
      <c r="E94" s="25" t="n">
        <v>1931418.31</v>
      </c>
      <c r="F94" s="26" t="n">
        <v>9593.24</v>
      </c>
      <c r="G94" s="26" t="n">
        <v>1933</v>
      </c>
      <c r="H94" s="27" t="n">
        <v>795286.46</v>
      </c>
      <c r="I94" s="27" t="n">
        <v>168124</v>
      </c>
      <c r="J94" s="31" t="n">
        <f aca="false">375266.76-5687</f>
        <v>369579.76</v>
      </c>
      <c r="K94" s="24" t="n">
        <v>2507431</v>
      </c>
      <c r="L94" s="32" t="n">
        <v>123</v>
      </c>
      <c r="M94" s="92" t="n">
        <f aca="false">J94/L94</f>
        <v>3004.71349593496</v>
      </c>
      <c r="N94" s="93" t="n">
        <f aca="false">'$'!C141</f>
        <v>26.916173</v>
      </c>
      <c r="O94" s="116" t="n">
        <f aca="false">F94/(J94+'UT3b (1278)'!I38)</f>
        <v>0.0169995022015337</v>
      </c>
      <c r="P94" s="116" t="n">
        <f aca="false">G94/(J94+'UT3b (1278)'!I38)</f>
        <v>0.00342533260458038</v>
      </c>
      <c r="Q94" s="117" t="n">
        <f aca="false">(H94+'UT3b (1278)'!H38)/(J94+'UT3b (1278)'!I38)</f>
        <v>1.51113245500694</v>
      </c>
      <c r="R94" s="35" t="n">
        <f aca="false">SUM(C94:E94)/N94</f>
        <v>76752.1601232092</v>
      </c>
      <c r="S94" s="35" t="n">
        <f aca="false">C94/$N94</f>
        <v>4188.78307848593</v>
      </c>
      <c r="T94" s="35" t="n">
        <f aca="false">D94/$N94</f>
        <v>806.581975825464</v>
      </c>
      <c r="U94" s="35" t="n">
        <f aca="false">E94/$N94</f>
        <v>71756.7950688978</v>
      </c>
      <c r="V94" s="36" t="n">
        <f aca="false">C94/N94/J94</f>
        <v>0.0113339082164184</v>
      </c>
      <c r="W94" s="94" t="n">
        <f aca="false">D94/N94/J94</f>
        <v>0.00218243005468011</v>
      </c>
      <c r="X94" s="36" t="n">
        <f aca="false">E94/N94/J94</f>
        <v>0.1941578052567</v>
      </c>
      <c r="Y94" s="36" t="n">
        <f aca="false">SUM(C94:E94)/N94/J94</f>
        <v>0.207674143527798</v>
      </c>
      <c r="Z94" s="36" t="n">
        <f aca="false">(K94/N94)/J94</f>
        <v>0.252062071314117</v>
      </c>
      <c r="AA94" s="113"/>
      <c r="AB94" s="40" t="n">
        <f aca="false">C94/F94</f>
        <v>11.7526518673566</v>
      </c>
      <c r="AC94" s="40" t="n">
        <f aca="false">D94/G94</f>
        <v>11.2312984997413</v>
      </c>
      <c r="AD94" s="40" t="n">
        <f aca="false">E94/H94</f>
        <v>2.4285819099699</v>
      </c>
      <c r="AE94" s="41" t="n">
        <f aca="false">E94/(H94-I94)</f>
        <v>3.07961402855649</v>
      </c>
      <c r="AF94" s="114" t="n">
        <f aca="false">AB94/$N94</f>
        <v>0.436639037331072</v>
      </c>
      <c r="AG94" s="114" t="n">
        <f aca="false">AC94/$N94</f>
        <v>0.417269516722951</v>
      </c>
      <c r="AH94" s="114" t="n">
        <f aca="false">AD94/$N94</f>
        <v>0.0902276081361901</v>
      </c>
      <c r="AI94" s="114" t="n">
        <f aca="false">AE94/$N94</f>
        <v>0.114415003520615</v>
      </c>
    </row>
    <row r="95" customFormat="false" ht="18.75" hidden="false" customHeight="true" outlineLevel="0" collapsed="false">
      <c r="A95" s="18" t="n">
        <v>2023</v>
      </c>
      <c r="B95" s="18" t="n">
        <v>9</v>
      </c>
      <c r="C95" s="24" t="n">
        <v>113780.35</v>
      </c>
      <c r="D95" s="24" t="n">
        <f aca="false">17107.21+315.82</f>
        <v>17423.03</v>
      </c>
      <c r="E95" s="25" t="n">
        <v>1437967.25</v>
      </c>
      <c r="F95" s="26" t="n">
        <v>9676.28</v>
      </c>
      <c r="G95" s="26" t="n">
        <f aca="false">1430+7</f>
        <v>1437</v>
      </c>
      <c r="H95" s="27" t="n">
        <v>625071.16</v>
      </c>
      <c r="I95" s="27" t="n">
        <v>136594</v>
      </c>
      <c r="J95" s="31" t="n">
        <v>349415.35</v>
      </c>
      <c r="K95" s="24" t="n">
        <v>2267832</v>
      </c>
      <c r="L95" s="32" t="n">
        <v>118</v>
      </c>
      <c r="M95" s="92" t="n">
        <f aca="false">J95/L95</f>
        <v>2961.1470338983</v>
      </c>
      <c r="N95" s="93" t="n">
        <f aca="false">'$'!C142</f>
        <v>26.984571</v>
      </c>
      <c r="O95" s="116" t="n">
        <f aca="false">F95/(J95+'UT3b (1278)'!I39)</f>
        <v>0.0187334802966797</v>
      </c>
      <c r="P95" s="116" t="n">
        <f aca="false">G95/(J95+'UT3b (1278)'!I39)</f>
        <v>0.00278206203069038</v>
      </c>
      <c r="Q95" s="117" t="n">
        <f aca="false">(H95+'UT3b (1278)'!H39)/(J95+'UT3b (1278)'!I39)</f>
        <v>1.62830530313876</v>
      </c>
      <c r="R95" s="35" t="n">
        <f aca="false">SUM(C95:E95)/N95</f>
        <v>58150.6606126886</v>
      </c>
      <c r="S95" s="35" t="n">
        <f aca="false">C95/$N95</f>
        <v>4216.49653055444</v>
      </c>
      <c r="T95" s="35" t="n">
        <f aca="false">D95/$N95</f>
        <v>645.666369867433</v>
      </c>
      <c r="U95" s="35" t="n">
        <f aca="false">E95/$N95</f>
        <v>53288.4977122668</v>
      </c>
      <c r="V95" s="36" t="n">
        <f aca="false">C95/N95/J95</f>
        <v>0.0120672904912576</v>
      </c>
      <c r="W95" s="94" t="n">
        <f aca="false">D95/N95/J95</f>
        <v>0.00184784775444878</v>
      </c>
      <c r="X95" s="36" t="n">
        <f aca="false">E95/N95/J95</f>
        <v>0.152507603664999</v>
      </c>
      <c r="Y95" s="36" t="n">
        <f aca="false">SUM(C95:E95)/N95/J95</f>
        <v>0.166422741910705</v>
      </c>
      <c r="Z95" s="36" t="n">
        <f aca="false">(K95/N95)/J95</f>
        <v>0.240521210642872</v>
      </c>
      <c r="AA95" s="113"/>
      <c r="AB95" s="40" t="n">
        <f aca="false">C95/F95</f>
        <v>11.7586872227757</v>
      </c>
      <c r="AC95" s="40" t="n">
        <f aca="false">D95/G95</f>
        <v>12.1245859429367</v>
      </c>
      <c r="AD95" s="40" t="n">
        <f aca="false">E95/H95</f>
        <v>2.30048567590288</v>
      </c>
      <c r="AE95" s="41" t="n">
        <f aca="false">E95/(H95-I95)</f>
        <v>2.94377581543424</v>
      </c>
      <c r="AF95" s="114" t="n">
        <f aca="false">AB95/$N95</f>
        <v>0.43575594449049</v>
      </c>
      <c r="AG95" s="114" t="n">
        <f aca="false">AC95/$N95</f>
        <v>0.449315497472117</v>
      </c>
      <c r="AH95" s="114" t="n">
        <f aca="false">AD95/$N95</f>
        <v>0.0852518899004503</v>
      </c>
      <c r="AI95" s="114" t="n">
        <f aca="false">AE95/$N95</f>
        <v>0.109091073392801</v>
      </c>
    </row>
    <row r="96" customFormat="false" ht="18.75" hidden="false" customHeight="true" outlineLevel="0" collapsed="false">
      <c r="A96" s="18" t="n">
        <v>2023</v>
      </c>
      <c r="B96" s="18" t="n">
        <v>10</v>
      </c>
      <c r="C96" s="24" t="n">
        <v>178746.83</v>
      </c>
      <c r="D96" s="24" t="n">
        <f aca="false">21865.68+50.09</f>
        <v>21915.77</v>
      </c>
      <c r="E96" s="25" t="n">
        <v>962182.72</v>
      </c>
      <c r="F96" s="26" t="n">
        <v>11173.3</v>
      </c>
      <c r="G96" s="26" t="n">
        <f aca="false">1968+1</f>
        <v>1969</v>
      </c>
      <c r="H96" s="27" t="n">
        <v>403591</v>
      </c>
      <c r="I96" s="27" t="n">
        <v>111272</v>
      </c>
      <c r="J96" s="31" t="n">
        <v>312336</v>
      </c>
      <c r="K96" s="24" t="n">
        <v>2573828</v>
      </c>
      <c r="L96" s="32" t="n">
        <v>116</v>
      </c>
      <c r="M96" s="92" t="n">
        <f aca="false">J96/L96</f>
        <v>2692.55172413793</v>
      </c>
      <c r="N96" s="93" t="n">
        <f aca="false">'$'!C143</f>
        <v>27.86033</v>
      </c>
      <c r="O96" s="116" t="n">
        <f aca="false">F96/(J96+'UT3b (1278)'!I40)</f>
        <v>0.0246307036745563</v>
      </c>
      <c r="P96" s="116" t="n">
        <f aca="false">G96/(J96+'UT3b (1278)'!I40)</f>
        <v>0.00434051314608946</v>
      </c>
      <c r="Q96" s="117" t="n">
        <f aca="false">(H96+'UT3b (1278)'!H40)/(J96+'UT3b (1278)'!I40)</f>
        <v>1.6154336214517</v>
      </c>
      <c r="R96" s="35" t="n">
        <f aca="false">SUM(C96:E96)/N96</f>
        <v>41738.3900334275</v>
      </c>
      <c r="S96" s="35" t="n">
        <f aca="false">C96/$N96</f>
        <v>6415.81883631673</v>
      </c>
      <c r="T96" s="35" t="n">
        <f aca="false">D96/$N96</f>
        <v>786.629950183648</v>
      </c>
      <c r="U96" s="35" t="n">
        <f aca="false">E96/$N96</f>
        <v>34535.9412469271</v>
      </c>
      <c r="V96" s="36" t="n">
        <f aca="false">C96/N96/J96</f>
        <v>0.0205414004031451</v>
      </c>
      <c r="W96" s="94" t="n">
        <f aca="false">D96/N96/J96</f>
        <v>0.00251853756910394</v>
      </c>
      <c r="X96" s="36" t="n">
        <f aca="false">E96/N96/J96</f>
        <v>0.110573040721938</v>
      </c>
      <c r="Y96" s="36" t="n">
        <f aca="false">SUM(C96:E96)/N96/J96</f>
        <v>0.133632978694187</v>
      </c>
      <c r="Z96" s="36" t="n">
        <f aca="false">(K96/N96)/J96</f>
        <v>0.295781645564434</v>
      </c>
      <c r="AA96" s="113"/>
      <c r="AB96" s="40" t="n">
        <f aca="false">C96/F96</f>
        <v>15.9976757090564</v>
      </c>
      <c r="AC96" s="40" t="n">
        <f aca="false">D96/G96</f>
        <v>11.130406297613</v>
      </c>
      <c r="AD96" s="40" t="n">
        <f aca="false">E96/H96</f>
        <v>2.38405395561348</v>
      </c>
      <c r="AE96" s="41" t="n">
        <f aca="false">E96/(H96-I96)</f>
        <v>3.29155039528734</v>
      </c>
      <c r="AF96" s="114" t="n">
        <f aca="false">AB96/$N96</f>
        <v>0.574209842778474</v>
      </c>
      <c r="AG96" s="114" t="n">
        <f aca="false">AC96/$N96</f>
        <v>0.399507338843905</v>
      </c>
      <c r="AH96" s="114" t="n">
        <f aca="false">AD96/$N96</f>
        <v>0.0855716337751017</v>
      </c>
      <c r="AI96" s="114" t="n">
        <f aca="false">AE96/$N96</f>
        <v>0.118144702352317</v>
      </c>
    </row>
    <row r="97" customFormat="false" ht="18.75" hidden="false" customHeight="true" outlineLevel="0" collapsed="false">
      <c r="A97" s="18" t="n">
        <v>2023</v>
      </c>
      <c r="B97" s="18" t="n">
        <v>11</v>
      </c>
      <c r="C97" s="24" t="n">
        <v>193260.4</v>
      </c>
      <c r="D97" s="24" t="n">
        <f aca="false">517.71+21372.56</f>
        <v>21890.27</v>
      </c>
      <c r="E97" s="25" t="n">
        <v>742390.39</v>
      </c>
      <c r="F97" s="26" t="n">
        <v>13717.59</v>
      </c>
      <c r="G97" s="26" t="n">
        <f aca="false">1890+10</f>
        <v>1900</v>
      </c>
      <c r="H97" s="27" t="n">
        <v>318992</v>
      </c>
      <c r="I97" s="27" t="n">
        <v>68341</v>
      </c>
      <c r="J97" s="31" t="n">
        <f aca="false">23674+65065+138059+43336+21338</f>
        <v>291472</v>
      </c>
      <c r="K97" s="24" t="n">
        <v>2203644</v>
      </c>
      <c r="L97" s="32" t="n">
        <v>117</v>
      </c>
      <c r="M97" s="92" t="n">
        <f aca="false">J97/L97</f>
        <v>2491.21367521368</v>
      </c>
      <c r="N97" s="93" t="n">
        <f aca="false">'$'!C144</f>
        <v>28.646301</v>
      </c>
      <c r="O97" s="116" t="n">
        <f aca="false">F97/(J97+'UT3b (1278)'!I41)</f>
        <v>0.0354620964573036</v>
      </c>
      <c r="P97" s="116" t="n">
        <f aca="false">G97/(J97+'UT3b (1278)'!I41)</f>
        <v>0.00491179451119889</v>
      </c>
      <c r="Q97" s="117" t="n">
        <f aca="false">(H97+'UT3b (1278)'!H41)/(J97+'UT3b (1278)'!I41)</f>
        <v>1.66281306227121</v>
      </c>
      <c r="R97" s="35" t="n">
        <f aca="false">SUM(C97:E97)/N97</f>
        <v>33426.342200342</v>
      </c>
      <c r="S97" s="35" t="n">
        <f aca="false">C97/$N97</f>
        <v>6746.43473166047</v>
      </c>
      <c r="T97" s="35" t="n">
        <f aca="false">D97/$N97</f>
        <v>764.156949967118</v>
      </c>
      <c r="U97" s="35" t="n">
        <f aca="false">E97/$N97</f>
        <v>25915.7505187144</v>
      </c>
      <c r="V97" s="36" t="n">
        <f aca="false">C97/N97/J97</f>
        <v>0.0231460817219509</v>
      </c>
      <c r="W97" s="94" t="n">
        <f aca="false">D97/N97/J97</f>
        <v>0.00262171649409589</v>
      </c>
      <c r="X97" s="36" t="n">
        <f aca="false">E97/N97/J97</f>
        <v>0.0889133450853408</v>
      </c>
      <c r="Y97" s="36" t="n">
        <f aca="false">SUM(C97:E97)/N97/J97</f>
        <v>0.114681143301388</v>
      </c>
      <c r="Z97" s="36" t="n">
        <f aca="false">(K97/N97)/J97</f>
        <v>0.263922273316658</v>
      </c>
      <c r="AA97" s="113"/>
      <c r="AB97" s="40" t="n">
        <f aca="false">C97/F97</f>
        <v>14.0885097163569</v>
      </c>
      <c r="AC97" s="40" t="n">
        <f aca="false">D97/G97</f>
        <v>11.5211947368421</v>
      </c>
      <c r="AD97" s="40" t="n">
        <f aca="false">E97/H97</f>
        <v>2.32730096679541</v>
      </c>
      <c r="AE97" s="41" t="n">
        <f aca="false">E97/(H97-I97)</f>
        <v>2.96184890545021</v>
      </c>
      <c r="AF97" s="114" t="n">
        <f aca="false">AB97/$N97</f>
        <v>0.49180903727699</v>
      </c>
      <c r="AG97" s="114" t="n">
        <f aca="false">AC97/$N97</f>
        <v>0.402187868403746</v>
      </c>
      <c r="AH97" s="114" t="n">
        <f aca="false">AD97/$N97</f>
        <v>0.0812426346701937</v>
      </c>
      <c r="AI97" s="114" t="n">
        <f aca="false">AE97/$N97</f>
        <v>0.103393764711549</v>
      </c>
    </row>
    <row r="98" customFormat="false" ht="18.75" hidden="false" customHeight="true" outlineLevel="0" collapsed="false">
      <c r="A98" s="18" t="n">
        <v>2023</v>
      </c>
      <c r="B98" s="18" t="n">
        <v>12</v>
      </c>
      <c r="C98" s="24" t="n">
        <v>215263.85</v>
      </c>
      <c r="D98" s="24" t="n">
        <f aca="false">33213.08+5607.87</f>
        <v>38820.95</v>
      </c>
      <c r="E98" s="25" t="n">
        <f aca="false">783220.24+705401.29</f>
        <v>1488621.53</v>
      </c>
      <c r="F98" s="26" t="n">
        <v>15052.89</v>
      </c>
      <c r="G98" s="26" t="n">
        <f aca="false">2039+20</f>
        <v>2059</v>
      </c>
      <c r="H98" s="27" t="n">
        <f aca="false">306289+301290</f>
        <v>607579</v>
      </c>
      <c r="I98" s="27" t="n">
        <f aca="false">52250+73340</f>
        <v>125590</v>
      </c>
      <c r="J98" s="31" t="n">
        <v>269539</v>
      </c>
      <c r="K98" s="24" t="n">
        <v>2933689</v>
      </c>
      <c r="L98" s="32" t="n">
        <v>131</v>
      </c>
      <c r="M98" s="92" t="n">
        <f aca="false">J98/L98</f>
        <v>2057.54961832061</v>
      </c>
      <c r="N98" s="93" t="n">
        <f aca="false">'$'!C145</f>
        <v>29.088107</v>
      </c>
      <c r="O98" s="116" t="n">
        <f aca="false">F98/(J98+'UT3b (1278)'!I42)</f>
        <v>0.0558467976804841</v>
      </c>
      <c r="P98" s="116" t="n">
        <f aca="false">G98/(J98+'UT3b (1278)'!I42)</f>
        <v>0.00763896875776789</v>
      </c>
      <c r="Q98" s="117" t="n">
        <f aca="false">(H98+'UT3b (1278)'!H42)/(J98+'UT3b (1278)'!I42)</f>
        <v>2.25414133019711</v>
      </c>
      <c r="R98" s="35" t="n">
        <f aca="false">SUM(C98:E98)/N98</f>
        <v>59911.3008625828</v>
      </c>
      <c r="S98" s="35" t="n">
        <f aca="false">C98/$N98</f>
        <v>7400.40766489205</v>
      </c>
      <c r="T98" s="35" t="n">
        <f aca="false">D98/$N98</f>
        <v>1334.59870729986</v>
      </c>
      <c r="U98" s="35" t="n">
        <f aca="false">E98/$N98</f>
        <v>51176.2944903909</v>
      </c>
      <c r="V98" s="36" t="n">
        <f aca="false">C98/N98/J98</f>
        <v>0.0274557955060012</v>
      </c>
      <c r="W98" s="94" t="n">
        <f aca="false">D98/N98/J98</f>
        <v>0.00495141225314281</v>
      </c>
      <c r="X98" s="36" t="n">
        <f aca="false">E98/N98/J98</f>
        <v>0.189866010077914</v>
      </c>
      <c r="Y98" s="36" t="n">
        <f aca="false">SUM(C98:E98)/N98/J98</f>
        <v>0.222273217837058</v>
      </c>
      <c r="Z98" s="36" t="n">
        <f aca="false">(K98/N98)/J98</f>
        <v>0.374176924096661</v>
      </c>
      <c r="AA98" s="113"/>
      <c r="AB98" s="40" t="n">
        <f aca="false">C98/F98</f>
        <v>14.3004997711403</v>
      </c>
      <c r="AC98" s="40" t="n">
        <f aca="false">D98/G98</f>
        <v>18.8542739193783</v>
      </c>
      <c r="AD98" s="40" t="n">
        <f aca="false">E98/H98</f>
        <v>2.45008719853714</v>
      </c>
      <c r="AE98" s="41" t="n">
        <f aca="false">E98/(H98-I98)</f>
        <v>3.08849689515736</v>
      </c>
      <c r="AF98" s="114" t="n">
        <f aca="false">AB98/$N98</f>
        <v>0.49162703407067</v>
      </c>
      <c r="AG98" s="114" t="n">
        <f aca="false">AC98/$N98</f>
        <v>0.648178099708528</v>
      </c>
      <c r="AH98" s="114" t="n">
        <f aca="false">AD98/$N98</f>
        <v>0.084229860627821</v>
      </c>
      <c r="AI98" s="114" t="n">
        <f aca="false">AE98/$N98</f>
        <v>0.10617730796842</v>
      </c>
    </row>
    <row r="99" customFormat="false" ht="18.75" hidden="false" customHeight="true" outlineLevel="0" collapsed="false">
      <c r="A99" s="58" t="n">
        <v>2024</v>
      </c>
      <c r="B99" s="58" t="n">
        <v>1</v>
      </c>
      <c r="C99" s="59" t="n">
        <v>188138.3</v>
      </c>
      <c r="D99" s="59" t="n">
        <f aca="false">29590.28+1042.46</f>
        <v>30632.74</v>
      </c>
      <c r="E99" s="60" t="n">
        <f aca="false">585738.05+528642.3</f>
        <v>1114380.35</v>
      </c>
      <c r="F99" s="61" t="n">
        <v>13327.21</v>
      </c>
      <c r="G99" s="61" t="n">
        <f aca="false">1787+17</f>
        <v>1804</v>
      </c>
      <c r="H99" s="62" t="n">
        <f aca="false">250338+248759</f>
        <v>499097</v>
      </c>
      <c r="I99" s="62" t="n">
        <f aca="false">54348+70264</f>
        <v>124612</v>
      </c>
      <c r="J99" s="66" t="n">
        <v>255617</v>
      </c>
      <c r="K99" s="59" t="n">
        <v>3452260</v>
      </c>
      <c r="L99" s="67" t="n">
        <v>120</v>
      </c>
      <c r="M99" s="104" t="n">
        <f aca="false">J99/L99</f>
        <v>2130.14166666667</v>
      </c>
      <c r="N99" s="105" t="n">
        <f aca="false">'$'!C146</f>
        <v>30.065751</v>
      </c>
      <c r="O99" s="118" t="n">
        <f aca="false">F99/(J99+'UT3b (1278)'!I43)</f>
        <v>0.052137416525505</v>
      </c>
      <c r="P99" s="118" t="n">
        <f aca="false">G99/(J99+'UT3b (1278)'!I43)</f>
        <v>0.00705743358227348</v>
      </c>
      <c r="Q99" s="119" t="n">
        <f aca="false">(H99+'UT3b (1278)'!H43)/(J99+'UT3b (1278)'!I43)</f>
        <v>1.95251880743456</v>
      </c>
      <c r="R99" s="70" t="n">
        <f aca="false">SUM(C99:E99)/N99</f>
        <v>44341.1970650592</v>
      </c>
      <c r="S99" s="70" t="n">
        <f aca="false">C99/$N99</f>
        <v>6257.56196810118</v>
      </c>
      <c r="T99" s="70" t="n">
        <f aca="false">D99/$N99</f>
        <v>1018.85830159373</v>
      </c>
      <c r="U99" s="70" t="n">
        <f aca="false">E99/$N99</f>
        <v>37064.7767953643</v>
      </c>
      <c r="V99" s="71" t="n">
        <f aca="false">C99/N99/J99</f>
        <v>0.0244802261512387</v>
      </c>
      <c r="W99" s="106" t="n">
        <f aca="false">D99/N99/J99</f>
        <v>0.00398587848849541</v>
      </c>
      <c r="X99" s="71" t="n">
        <f aca="false">E99/N99/J99</f>
        <v>0.14500121977554</v>
      </c>
      <c r="Y99" s="71" t="n">
        <f aca="false">SUM(C99:E99)/N99/J99</f>
        <v>0.173467324415274</v>
      </c>
      <c r="Z99" s="71" t="n">
        <f aca="false">(K99/N99)/J99</f>
        <v>0.449202026024873</v>
      </c>
      <c r="AA99" s="120"/>
      <c r="AB99" s="44" t="n">
        <f aca="false">C99/F99</f>
        <v>14.1168556659646</v>
      </c>
      <c r="AC99" s="44" t="n">
        <f aca="false">D99/G99</f>
        <v>16.9804545454545</v>
      </c>
      <c r="AD99" s="44" t="n">
        <f aca="false">E99/H99</f>
        <v>2.23279312438264</v>
      </c>
      <c r="AE99" s="45" t="n">
        <f aca="false">E99/(H99-I99)</f>
        <v>2.97576765424516</v>
      </c>
      <c r="AF99" s="121" t="n">
        <f aca="false">AB99/$N99</f>
        <v>0.46953278053705</v>
      </c>
      <c r="AG99" s="121" t="n">
        <f aca="false">AC99/$N99</f>
        <v>0.564777329043088</v>
      </c>
      <c r="AH99" s="121" t="n">
        <f aca="false">AD99/$N99</f>
        <v>0.0742636737855853</v>
      </c>
      <c r="AI99" s="121" t="n">
        <f aca="false">AE99/$N99</f>
        <v>0.0989753309087527</v>
      </c>
    </row>
    <row r="100" customFormat="false" ht="18.75" hidden="false" customHeight="true" outlineLevel="0" collapsed="false">
      <c r="A100" s="18" t="n">
        <v>2024</v>
      </c>
      <c r="B100" s="18" t="n">
        <v>2</v>
      </c>
      <c r="C100" s="24" t="n">
        <v>194583.65</v>
      </c>
      <c r="D100" s="24" t="n">
        <f aca="false">26526.27+1208.53</f>
        <v>27734.8</v>
      </c>
      <c r="E100" s="25" t="n">
        <f aca="false">628414.36+424786.06</f>
        <v>1053200.42</v>
      </c>
      <c r="F100" s="26" t="n">
        <v>13781.35</v>
      </c>
      <c r="G100" s="26" t="n">
        <f aca="false">1459+19</f>
        <v>1478</v>
      </c>
      <c r="H100" s="27" t="n">
        <f aca="false">288586+246043</f>
        <v>534629</v>
      </c>
      <c r="I100" s="27" t="n">
        <f aca="false">89557+113059</f>
        <v>202616</v>
      </c>
      <c r="J100" s="31" t="n">
        <v>215181.15</v>
      </c>
      <c r="K100" s="24" t="n">
        <v>3054623</v>
      </c>
      <c r="L100" s="32" t="n">
        <v>117</v>
      </c>
      <c r="M100" s="92" t="n">
        <f aca="false">J100/L100</f>
        <v>1839.15512820513</v>
      </c>
      <c r="N100" s="93" t="n">
        <f aca="false">'$'!C147</f>
        <v>30.78419</v>
      </c>
      <c r="O100" s="116" t="n">
        <f aca="false">F100/(J100+'UT3b (1278)'!I44)</f>
        <v>0.0640453404027258</v>
      </c>
      <c r="P100" s="116" t="n">
        <f aca="false">G100/(J100+'UT3b (1278)'!I44)</f>
        <v>0.00686863138337164</v>
      </c>
      <c r="Q100" s="117" t="n">
        <f aca="false">(H100+'UT3b (1278)'!H44)/(J100+'UT3b (1278)'!I44)</f>
        <v>2.48455313116414</v>
      </c>
      <c r="R100" s="35" t="n">
        <f aca="false">SUM(C100:E100)/N100</f>
        <v>41434.2189935808</v>
      </c>
      <c r="S100" s="35" t="n">
        <f aca="false">C100/$N100</f>
        <v>6320.89556359937</v>
      </c>
      <c r="T100" s="35" t="n">
        <f aca="false">D100/$N100</f>
        <v>900.942984044732</v>
      </c>
      <c r="U100" s="35" t="n">
        <f aca="false">E100/$N100</f>
        <v>34212.3804459367</v>
      </c>
      <c r="V100" s="36" t="n">
        <f aca="false">C100/N100/J100</f>
        <v>0.0293747643025394</v>
      </c>
      <c r="W100" s="94" t="n">
        <f aca="false">D100/N100/J100</f>
        <v>0.00418690477323284</v>
      </c>
      <c r="X100" s="36" t="n">
        <f aca="false">E100/N100/J100</f>
        <v>0.158993389736679</v>
      </c>
      <c r="Y100" s="36" t="n">
        <f aca="false">SUM(C100:E100)/N100/J100</f>
        <v>0.192555058812451</v>
      </c>
      <c r="Z100" s="36" t="n">
        <f aca="false">(K100/N100)/J100</f>
        <v>0.461132426378659</v>
      </c>
      <c r="AA100" s="113"/>
      <c r="AB100" s="40" t="n">
        <f aca="false">C100/F100</f>
        <v>14.1193460727723</v>
      </c>
      <c r="AC100" s="40" t="n">
        <f aca="false">D100/G100</f>
        <v>18.7650879566982</v>
      </c>
      <c r="AD100" s="40" t="n">
        <f aca="false">E100/H100</f>
        <v>1.96996500376897</v>
      </c>
      <c r="AE100" s="41" t="n">
        <f aca="false">E100/(H100-I100)</f>
        <v>3.17216621035923</v>
      </c>
      <c r="AF100" s="114" t="n">
        <f aca="false">AB100/$N100</f>
        <v>0.458655760400786</v>
      </c>
      <c r="AG100" s="114" t="n">
        <f aca="false">AC100/$N100</f>
        <v>0.609569001383445</v>
      </c>
      <c r="AH100" s="114" t="n">
        <f aca="false">AD100/$N100</f>
        <v>0.0639927509467999</v>
      </c>
      <c r="AI100" s="114" t="n">
        <f aca="false">AE100/$N100</f>
        <v>0.103045303786107</v>
      </c>
    </row>
    <row r="101" customFormat="false" ht="18.75" hidden="false" customHeight="true" outlineLevel="0" collapsed="false">
      <c r="A101" s="18" t="n">
        <v>2024</v>
      </c>
      <c r="B101" s="18" t="n">
        <v>3</v>
      </c>
      <c r="C101" s="24" t="n">
        <v>152649.14</v>
      </c>
      <c r="D101" s="24" t="n">
        <f aca="false">25874.53+1609.54</f>
        <v>27484.07</v>
      </c>
      <c r="E101" s="25" t="n">
        <f aca="false">515796.82+468943.34</f>
        <v>984740.16</v>
      </c>
      <c r="F101" s="26" t="n">
        <f aca="false">6484.12+4322.74</f>
        <v>10806.86</v>
      </c>
      <c r="G101" s="26" t="n">
        <f aca="false">1430+24</f>
        <v>1454</v>
      </c>
      <c r="H101" s="27" t="n">
        <f aca="false">283311+292554</f>
        <v>575865</v>
      </c>
      <c r="I101" s="27" t="n">
        <f aca="false">138200+162355</f>
        <v>300555</v>
      </c>
      <c r="J101" s="31" t="n">
        <v>213480.32</v>
      </c>
      <c r="K101" s="24" t="n">
        <v>4089757</v>
      </c>
      <c r="L101" s="32" t="n">
        <v>127</v>
      </c>
      <c r="M101" s="92" t="n">
        <f aca="false">J101/L101</f>
        <v>1680.9474015748</v>
      </c>
      <c r="N101" s="93" t="n">
        <f aca="false">'$'!C148</f>
        <v>32.02692</v>
      </c>
      <c r="O101" s="116" t="n">
        <f aca="false">F101/(J101+'UT3b (1278)'!I45)</f>
        <v>0.0506222775008019</v>
      </c>
      <c r="P101" s="116" t="n">
        <f aca="false">G101/(J101+'UT3b (1278)'!I45)</f>
        <v>0.00681093226766758</v>
      </c>
      <c r="Q101" s="117" t="n">
        <f aca="false">(H101+'UT3b (1278)'!H45)/(J101+'UT3b (1278)'!I45)</f>
        <v>2.69750860407179</v>
      </c>
      <c r="R101" s="35" t="n">
        <f aca="false">SUM(C101:E101)/N101</f>
        <v>36371.695123977</v>
      </c>
      <c r="S101" s="35" t="n">
        <f aca="false">C101/$N101</f>
        <v>4766.27599531894</v>
      </c>
      <c r="T101" s="35" t="n">
        <f aca="false">D101/$N101</f>
        <v>858.155264383837</v>
      </c>
      <c r="U101" s="35" t="n">
        <f aca="false">E101/$N101</f>
        <v>30747.2638642742</v>
      </c>
      <c r="V101" s="36" t="n">
        <f aca="false">C101/N101/J101</f>
        <v>0.0223265357449293</v>
      </c>
      <c r="W101" s="94" t="n">
        <f aca="false">D101/N101/J101</f>
        <v>0.004019833136768</v>
      </c>
      <c r="X101" s="36" t="n">
        <f aca="false">E101/N101/J101</f>
        <v>0.144028563683407</v>
      </c>
      <c r="Y101" s="36" t="n">
        <f aca="false">SUM(C101:E101)/N101/J101</f>
        <v>0.170374932565105</v>
      </c>
      <c r="Z101" s="36" t="n">
        <f aca="false">(K101/N101)/J101</f>
        <v>0.598169801995443</v>
      </c>
      <c r="AA101" s="113"/>
      <c r="AB101" s="40" t="n">
        <f aca="false">C101/F101</f>
        <v>14.1252075070835</v>
      </c>
      <c r="AC101" s="40" t="n">
        <f aca="false">D101/G101</f>
        <v>18.902386519945</v>
      </c>
      <c r="AD101" s="40" t="n">
        <f aca="false">E101/H101</f>
        <v>1.71001911906436</v>
      </c>
      <c r="AE101" s="41" t="n">
        <f aca="false">E101/(H101-I101)</f>
        <v>3.57684123351858</v>
      </c>
      <c r="AF101" s="114" t="n">
        <f aca="false">AB101/$N101</f>
        <v>0.441041708259285</v>
      </c>
      <c r="AG101" s="114" t="n">
        <f aca="false">AC101/$N101</f>
        <v>0.590203070415294</v>
      </c>
      <c r="AH101" s="114" t="n">
        <f aca="false">AD101/$N101</f>
        <v>0.0533931804577013</v>
      </c>
      <c r="AI101" s="114" t="n">
        <f aca="false">AE101/$N101</f>
        <v>0.111682335782479</v>
      </c>
    </row>
    <row r="102" customFormat="false" ht="18.75" hidden="false" customHeight="true" outlineLevel="0" collapsed="false">
      <c r="A102" s="18" t="n">
        <v>2024</v>
      </c>
      <c r="B102" s="18" t="n">
        <v>4</v>
      </c>
      <c r="C102" s="24" t="n">
        <v>94323.88</v>
      </c>
      <c r="D102" s="24" t="n">
        <f aca="false">21639.1+1460.13</f>
        <v>23099.23</v>
      </c>
      <c r="E102" s="25" t="n">
        <f aca="false">106463.5+316130.45</f>
        <v>422593.95</v>
      </c>
      <c r="F102" s="26" t="n">
        <v>6675.7</v>
      </c>
      <c r="G102" s="26" t="n">
        <f aca="false">1122+21</f>
        <v>1143</v>
      </c>
      <c r="H102" s="27" t="n">
        <f aca="false">268612+210686</f>
        <v>479298</v>
      </c>
      <c r="I102" s="27" t="n">
        <f aca="false">179657+186794</f>
        <v>366451</v>
      </c>
      <c r="J102" s="31" t="n">
        <v>200774</v>
      </c>
      <c r="K102" s="24" t="n">
        <v>4630343</v>
      </c>
      <c r="L102" s="32" t="n">
        <v>126</v>
      </c>
      <c r="M102" s="92" t="n">
        <f aca="false">J102/L102</f>
        <v>1593.44444444444</v>
      </c>
      <c r="N102" s="93" t="n">
        <f aca="false">'$'!C149</f>
        <v>32.366499</v>
      </c>
      <c r="O102" s="116" t="n">
        <f aca="false">F102/(J102+'UT3b (1278)'!I46)</f>
        <v>0.0332498231842768</v>
      </c>
      <c r="P102" s="116" t="n">
        <f aca="false">G102/(J102+'UT3b (1278)'!I46)</f>
        <v>0.00569296821301563</v>
      </c>
      <c r="Q102" s="117" t="n">
        <f aca="false">(H102+'UT3b (1278)'!H46)/(J102+'UT3b (1278)'!I46)</f>
        <v>2.38725133732455</v>
      </c>
      <c r="R102" s="35" t="n">
        <f aca="false">SUM(C102:E102)/N102</f>
        <v>16684.444616639</v>
      </c>
      <c r="S102" s="35" t="n">
        <f aca="false">C102/$N102</f>
        <v>2914.24413866943</v>
      </c>
      <c r="T102" s="35" t="n">
        <f aca="false">D102/$N102</f>
        <v>713.677126463384</v>
      </c>
      <c r="U102" s="35" t="n">
        <f aca="false">E102/$N102</f>
        <v>13056.5233515061</v>
      </c>
      <c r="V102" s="36" t="n">
        <f aca="false">C102/N102/J102</f>
        <v>0.0145150474596782</v>
      </c>
      <c r="W102" s="94" t="n">
        <f aca="false">D102/N102/J102</f>
        <v>0.00355462921724618</v>
      </c>
      <c r="X102" s="36" t="n">
        <f aca="false">E102/N102/J102</f>
        <v>0.0650309469926691</v>
      </c>
      <c r="Y102" s="36" t="n">
        <f aca="false">SUM(C102:E102)/N102/J102</f>
        <v>0.0831006236695934</v>
      </c>
      <c r="Z102" s="36" t="n">
        <f aca="false">(K102/N102)/J102</f>
        <v>0.712541176206797</v>
      </c>
      <c r="AA102" s="113"/>
      <c r="AB102" s="40" t="n">
        <f aca="false">C102/F102</f>
        <v>14.1294366133889</v>
      </c>
      <c r="AC102" s="40" t="n">
        <f aca="false">D102/G102</f>
        <v>20.2093000874891</v>
      </c>
      <c r="AD102" s="40" t="n">
        <f aca="false">E102/H102</f>
        <v>0.881693539301228</v>
      </c>
      <c r="AE102" s="41" t="n">
        <f aca="false">E102/(H102-I102)</f>
        <v>3.74483991599245</v>
      </c>
      <c r="AF102" s="114" t="n">
        <f aca="false">AB102/$N102</f>
        <v>0.436545102186951</v>
      </c>
      <c r="AG102" s="114" t="n">
        <f aca="false">AC102/$N102</f>
        <v>0.624389436975839</v>
      </c>
      <c r="AH102" s="114" t="n">
        <f aca="false">AD102/$N102</f>
        <v>0.0272409301760202</v>
      </c>
      <c r="AI102" s="114" t="n">
        <f aca="false">AE102/$N102</f>
        <v>0.115701111695536</v>
      </c>
    </row>
    <row r="103" customFormat="false" ht="18.75" hidden="false" customHeight="true" outlineLevel="0" collapsed="false">
      <c r="A103" s="18" t="n">
        <v>2024</v>
      </c>
      <c r="B103" s="18" t="n">
        <v>5</v>
      </c>
      <c r="C103" s="24" t="n">
        <v>148870.25</v>
      </c>
      <c r="D103" s="24" t="n">
        <f aca="false">31587.38+2637.67</f>
        <v>34225.05</v>
      </c>
      <c r="E103" s="25" t="n">
        <f aca="false">541509.88+847670.71</f>
        <v>1389180.59</v>
      </c>
      <c r="F103" s="26" t="n">
        <v>10533.88</v>
      </c>
      <c r="G103" s="26" t="n">
        <f aca="false">1908+37</f>
        <v>1945</v>
      </c>
      <c r="H103" s="27" t="n">
        <f aca="false">376307+327342</f>
        <v>703649</v>
      </c>
      <c r="I103" s="27" t="n">
        <f aca="false">138806+175667</f>
        <v>314473</v>
      </c>
      <c r="J103" s="31" t="n">
        <v>370244</v>
      </c>
      <c r="K103" s="24" t="n">
        <v>4734989</v>
      </c>
      <c r="L103" s="32" t="n">
        <v>139</v>
      </c>
      <c r="M103" s="92" t="n">
        <f aca="false">J103/L103</f>
        <v>2663.62589928058</v>
      </c>
      <c r="N103" s="93" t="n">
        <f aca="false">'$'!C150</f>
        <v>32.26418</v>
      </c>
      <c r="O103" s="116" t="n">
        <f aca="false">F103/(J103+'UT3b (1278)'!I47)</f>
        <v>0.0284511835438251</v>
      </c>
      <c r="P103" s="116" t="n">
        <f aca="false">G103/(J103+'UT3b (1278)'!I47)</f>
        <v>0.00525329242337486</v>
      </c>
      <c r="Q103" s="117" t="n">
        <f aca="false">(H103+'UT3b (1278)'!H47)/(J103+'UT3b (1278)'!I47)</f>
        <v>1.90050075085619</v>
      </c>
      <c r="R103" s="35" t="n">
        <f aca="false">SUM(C103:E103)/N103</f>
        <v>48731.3141074715</v>
      </c>
      <c r="S103" s="35" t="n">
        <f aca="false">C103/$N103</f>
        <v>4614.10300835168</v>
      </c>
      <c r="T103" s="35" t="n">
        <f aca="false">D103/$N103</f>
        <v>1060.77544819053</v>
      </c>
      <c r="U103" s="35" t="n">
        <f aca="false">E103/$N103</f>
        <v>43056.4356509293</v>
      </c>
      <c r="V103" s="36" t="n">
        <f aca="false">C103/N103/J103</f>
        <v>0.0124623302696375</v>
      </c>
      <c r="W103" s="94" t="n">
        <f aca="false">D103/N103/J103</f>
        <v>0.00286507127243259</v>
      </c>
      <c r="X103" s="36" t="n">
        <f aca="false">E103/N103/J103</f>
        <v>0.116292055106711</v>
      </c>
      <c r="Y103" s="36" t="n">
        <f aca="false">SUM(C103:E103)/N103/J103</f>
        <v>0.131619456648782</v>
      </c>
      <c r="Z103" s="36" t="n">
        <f aca="false">(K103/N103)/J103</f>
        <v>0.396378703878718</v>
      </c>
      <c r="AA103" s="113"/>
      <c r="AB103" s="40" t="n">
        <f aca="false">C103/F103</f>
        <v>14.1325181224772</v>
      </c>
      <c r="AC103" s="40" t="n">
        <f aca="false">D103/G103</f>
        <v>17.5964267352185</v>
      </c>
      <c r="AD103" s="40" t="n">
        <f aca="false">E103/H103</f>
        <v>1.97425220528985</v>
      </c>
      <c r="AE103" s="41" t="n">
        <f aca="false">E103/(H103-I103)</f>
        <v>3.56954331716241</v>
      </c>
      <c r="AF103" s="114" t="n">
        <f aca="false">AB103/$N103</f>
        <v>0.438025021013309</v>
      </c>
      <c r="AG103" s="114" t="n">
        <f aca="false">AC103/$N103</f>
        <v>0.545385834545261</v>
      </c>
      <c r="AH103" s="114" t="n">
        <f aca="false">AD103/$N103</f>
        <v>0.0611902179224717</v>
      </c>
      <c r="AI103" s="114" t="n">
        <f aca="false">AE103/$N103</f>
        <v>0.110634868673632</v>
      </c>
    </row>
    <row r="104" customFormat="false" ht="18.75" hidden="false" customHeight="true" outlineLevel="0" collapsed="false">
      <c r="A104" s="18" t="n">
        <v>2024</v>
      </c>
      <c r="B104" s="18" t="n">
        <v>6</v>
      </c>
      <c r="C104" s="24" t="n">
        <v>117985.44</v>
      </c>
      <c r="D104" s="24" t="n">
        <f aca="false">30974.84+876.45</f>
        <v>31851.29</v>
      </c>
      <c r="E104" s="25" t="n">
        <f aca="false">441210.78+530314.36</f>
        <v>971525.14</v>
      </c>
      <c r="F104" s="26" t="n">
        <v>8312.48</v>
      </c>
      <c r="G104" s="26" t="n">
        <f aca="false">1863+12</f>
        <v>1875</v>
      </c>
      <c r="H104" s="27" t="n">
        <f aca="false">333935+308165</f>
        <v>642100</v>
      </c>
      <c r="I104" s="27" t="n">
        <f aca="false">197016+196437</f>
        <v>393453</v>
      </c>
      <c r="J104" s="31" t="n">
        <v>274138.45</v>
      </c>
      <c r="K104" s="24" t="n">
        <v>4301035</v>
      </c>
      <c r="L104" s="32" t="n">
        <v>135</v>
      </c>
      <c r="M104" s="92" t="n">
        <f aca="false">J104/L104</f>
        <v>2030.65518518519</v>
      </c>
      <c r="N104" s="93" t="n">
        <f aca="false">'$'!C151</f>
        <v>32.591018</v>
      </c>
      <c r="O104" s="116" t="n">
        <f aca="false">F104/(J104+'UT3b (1278)'!I48)</f>
        <v>0.0303221966856528</v>
      </c>
      <c r="P104" s="116" t="n">
        <f aca="false">G104/(J104+'UT3b (1278)'!I48)</f>
        <v>0.00683960969356907</v>
      </c>
      <c r="Q104" s="117" t="n">
        <f aca="false">(H104+'UT3b (1278)'!H48)/(J104+'UT3b (1278)'!I48)</f>
        <v>2.34224713826171</v>
      </c>
      <c r="R104" s="35" t="n">
        <f aca="false">SUM(C104:E104)/N104</f>
        <v>34407.0832644749</v>
      </c>
      <c r="S104" s="35" t="n">
        <f aca="false">C104/$N104</f>
        <v>3620.18271414535</v>
      </c>
      <c r="T104" s="35" t="n">
        <f aca="false">D104/$N104</f>
        <v>977.302703462654</v>
      </c>
      <c r="U104" s="35" t="n">
        <f aca="false">E104/$N104</f>
        <v>29809.5978468669</v>
      </c>
      <c r="V104" s="36" t="n">
        <f aca="false">C104/N104/J104</f>
        <v>0.0132056729515519</v>
      </c>
      <c r="W104" s="94" t="n">
        <f aca="false">D104/N104/J104</f>
        <v>0.00356499682354903</v>
      </c>
      <c r="X104" s="36" t="n">
        <f aca="false">E104/N104/J104</f>
        <v>0.108739207677241</v>
      </c>
      <c r="Y104" s="36" t="n">
        <f aca="false">SUM(C104:E104)/N104/J104</f>
        <v>0.125509877452342</v>
      </c>
      <c r="Z104" s="36" t="n">
        <f aca="false">(K104/N104)/J104</f>
        <v>0.481398904501927</v>
      </c>
      <c r="AA104" s="113"/>
      <c r="AB104" s="40" t="n">
        <f aca="false">C104/F104</f>
        <v>14.1937712932843</v>
      </c>
      <c r="AC104" s="40" t="n">
        <f aca="false">D104/G104</f>
        <v>16.9873546666667</v>
      </c>
      <c r="AD104" s="40" t="n">
        <f aca="false">E104/H104</f>
        <v>1.51304335773244</v>
      </c>
      <c r="AE104" s="41" t="n">
        <f aca="false">E104/(H104-I104)</f>
        <v>3.90724657848275</v>
      </c>
      <c r="AF104" s="114" t="n">
        <f aca="false">AB104/$N104</f>
        <v>0.435511750301396</v>
      </c>
      <c r="AG104" s="114" t="n">
        <f aca="false">AC104/$N104</f>
        <v>0.521228108513415</v>
      </c>
      <c r="AH104" s="114" t="n">
        <f aca="false">AD104/$N104</f>
        <v>0.0464251640661375</v>
      </c>
      <c r="AI104" s="114" t="n">
        <f aca="false">AE104/$N104</f>
        <v>0.119887221027669</v>
      </c>
    </row>
    <row r="105" customFormat="false" ht="18.75" hidden="false" customHeight="true" outlineLevel="0" collapsed="false">
      <c r="A105" s="18" t="n">
        <v>2024</v>
      </c>
      <c r="B105" s="18" t="n">
        <v>7</v>
      </c>
      <c r="C105" s="24" t="n">
        <v>136803</v>
      </c>
      <c r="D105" s="24" t="n">
        <f aca="false">29893+2893</f>
        <v>32786</v>
      </c>
      <c r="E105" s="25" t="n">
        <f aca="false">772766+886287</f>
        <v>1659053</v>
      </c>
      <c r="F105" s="26" t="n">
        <v>9529</v>
      </c>
      <c r="G105" s="26" t="n">
        <v>1737</v>
      </c>
      <c r="H105" s="27" t="n">
        <f aca="false">407881+392985</f>
        <v>800866</v>
      </c>
      <c r="I105" s="27" t="n">
        <f aca="false">183167+198869</f>
        <v>382036</v>
      </c>
      <c r="J105" s="31" t="n">
        <v>350331</v>
      </c>
      <c r="K105" s="24" t="n">
        <v>4667645</v>
      </c>
      <c r="L105" s="32" t="n">
        <v>128</v>
      </c>
      <c r="M105" s="92" t="n">
        <f aca="false">J105/L105</f>
        <v>2736.9609375</v>
      </c>
      <c r="N105" s="93" t="n">
        <f aca="false">'$'!C152</f>
        <v>32.911131</v>
      </c>
      <c r="O105" s="116" t="n">
        <f aca="false">F105/(J105+'UT3b (1278)'!I49)</f>
        <v>0.0271999908657812</v>
      </c>
      <c r="P105" s="116" t="n">
        <f aca="false">G105/(J105+'UT3b (1278)'!I49)</f>
        <v>0.00495816813242334</v>
      </c>
      <c r="Q105" s="117" t="n">
        <f aca="false">(H105+'UT3b (1278)'!H49)/(J105+'UT3b (1278)'!I49)</f>
        <v>2.28602664337441</v>
      </c>
      <c r="R105" s="35" t="n">
        <f aca="false">SUM(C105:E105)/N105</f>
        <v>55563.0251661664</v>
      </c>
      <c r="S105" s="35" t="n">
        <f aca="false">C105/$N105</f>
        <v>4156.73955416482</v>
      </c>
      <c r="T105" s="35" t="n">
        <f aca="false">D105/$N105</f>
        <v>996.197912493497</v>
      </c>
      <c r="U105" s="35" t="n">
        <f aca="false">E105/$N105</f>
        <v>50410.0876995081</v>
      </c>
      <c r="V105" s="36" t="n">
        <f aca="false">C105/N105/J105</f>
        <v>0.0118651776581713</v>
      </c>
      <c r="W105" s="94" t="n">
        <f aca="false">D105/N105/J105</f>
        <v>0.00284359052579845</v>
      </c>
      <c r="X105" s="36" t="n">
        <f aca="false">E105/N105/J105</f>
        <v>0.143892740578219</v>
      </c>
      <c r="Y105" s="36" t="n">
        <f aca="false">SUM(C105:E105)/N105/J105</f>
        <v>0.158601508762189</v>
      </c>
      <c r="Z105" s="36" t="n">
        <f aca="false">(K105/N105)/J105</f>
        <v>0.404833499048085</v>
      </c>
      <c r="AA105" s="113"/>
      <c r="AB105" s="40" t="n">
        <f aca="false">C105/F105</f>
        <v>14.3564907125617</v>
      </c>
      <c r="AC105" s="40" t="n">
        <f aca="false">D105/G105</f>
        <v>18.8750719631549</v>
      </c>
      <c r="AD105" s="40" t="n">
        <f aca="false">E105/H105</f>
        <v>2.07157377139247</v>
      </c>
      <c r="AE105" s="41" t="n">
        <f aca="false">E105/(H105-I105)</f>
        <v>3.96116085285199</v>
      </c>
      <c r="AF105" s="114" t="n">
        <f aca="false">AB105/$N105</f>
        <v>0.436219913334539</v>
      </c>
      <c r="AG105" s="114" t="n">
        <f aca="false">AC105/$N105</f>
        <v>0.573516357221357</v>
      </c>
      <c r="AH105" s="114" t="n">
        <f aca="false">AD105/$N105</f>
        <v>0.0629444722331927</v>
      </c>
      <c r="AI105" s="114" t="n">
        <f aca="false">AE105/$N105</f>
        <v>0.120359304967429</v>
      </c>
    </row>
    <row r="106" customFormat="false" ht="18.75" hidden="false" customHeight="true" outlineLevel="0" collapsed="false">
      <c r="A106" s="18" t="n">
        <v>2024</v>
      </c>
      <c r="B106" s="18" t="n">
        <v>8</v>
      </c>
      <c r="C106" s="24" t="n">
        <v>156797.93</v>
      </c>
      <c r="D106" s="24" t="n">
        <f aca="false">33258.7+1893.54</f>
        <v>35152.24</v>
      </c>
      <c r="E106" s="25" t="n">
        <f aca="false">919445.69+741629.46</f>
        <v>1661075.15</v>
      </c>
      <c r="F106" s="26" t="n">
        <v>11049.73</v>
      </c>
      <c r="G106" s="26" t="n">
        <f aca="false">2047+45</f>
        <v>2092</v>
      </c>
      <c r="H106" s="27" t="n">
        <f aca="false">424791+397825</f>
        <v>822616</v>
      </c>
      <c r="I106" s="27" t="n">
        <f aca="false">167617+192026</f>
        <v>359643</v>
      </c>
      <c r="J106" s="31" t="n">
        <v>283721</v>
      </c>
      <c r="K106" s="24" t="n">
        <v>4718615</v>
      </c>
      <c r="L106" s="32" t="n">
        <v>132</v>
      </c>
      <c r="M106" s="92" t="n">
        <f aca="false">J106/L106</f>
        <v>2149.40151515151</v>
      </c>
      <c r="N106" s="93" t="n">
        <f aca="false">'$'!C153</f>
        <v>33.678</v>
      </c>
      <c r="O106" s="116" t="n">
        <f aca="false">F106/(J106+'UT3b (1278)'!I50)</f>
        <v>0.0389457600953049</v>
      </c>
      <c r="P106" s="116" t="n">
        <f aca="false">G106/(J106+'UT3b (1278)'!I50)</f>
        <v>0.00737344080980964</v>
      </c>
      <c r="Q106" s="117" t="n">
        <f aca="false">(H106+'UT3b (1278)'!H50)/(J106+'UT3b (1278)'!I50)</f>
        <v>2.89938354933191</v>
      </c>
      <c r="R106" s="35" t="n">
        <f aca="false">SUM(C106:E106)/N106</f>
        <v>55021.8338381139</v>
      </c>
      <c r="S106" s="35" t="n">
        <f aca="false">C106/$N106</f>
        <v>4655.7969594394</v>
      </c>
      <c r="T106" s="35" t="n">
        <f aca="false">D106/$N106</f>
        <v>1043.77457093652</v>
      </c>
      <c r="U106" s="35" t="n">
        <f aca="false">E106/$N106</f>
        <v>49322.262307738</v>
      </c>
      <c r="V106" s="36" t="n">
        <f aca="false">C106/N106/J106</f>
        <v>0.016409772133326</v>
      </c>
      <c r="W106" s="94" t="n">
        <f aca="false">D106/N106/J106</f>
        <v>0.00367887668144591</v>
      </c>
      <c r="X106" s="36" t="n">
        <f aca="false">E106/N106/J106</f>
        <v>0.173840717845129</v>
      </c>
      <c r="Y106" s="36" t="n">
        <f aca="false">SUM(C106:E106)/N106/J106</f>
        <v>0.193929366659901</v>
      </c>
      <c r="Z106" s="36" t="n">
        <f aca="false">(K106/N106)/J106</f>
        <v>0.493829203835116</v>
      </c>
      <c r="AA106" s="113"/>
      <c r="AB106" s="40" t="n">
        <f aca="false">C106/F106</f>
        <v>14.1902046475344</v>
      </c>
      <c r="AC106" s="40" t="n">
        <f aca="false">D106/G106</f>
        <v>16.8031739961759</v>
      </c>
      <c r="AD106" s="40" t="n">
        <f aca="false">E106/H106</f>
        <v>2.01925947222033</v>
      </c>
      <c r="AE106" s="41" t="n">
        <f aca="false">E106/(H106-I106)</f>
        <v>3.58784453953038</v>
      </c>
      <c r="AF106" s="114" t="n">
        <f aca="false">AB106/$N106</f>
        <v>0.421349386766862</v>
      </c>
      <c r="AG106" s="114" t="n">
        <f aca="false">AC106/$N106</f>
        <v>0.49893621937692</v>
      </c>
      <c r="AH106" s="114" t="n">
        <f aca="false">AD106/$N106</f>
        <v>0.0599578203046598</v>
      </c>
      <c r="AI106" s="114" t="n">
        <f aca="false">AE106/$N106</f>
        <v>0.10653377693243</v>
      </c>
    </row>
    <row r="107" customFormat="false" ht="18.75" hidden="false" customHeight="true" outlineLevel="0" collapsed="false">
      <c r="A107" s="18" t="n">
        <v>2024</v>
      </c>
      <c r="B107" s="18" t="n">
        <v>9</v>
      </c>
      <c r="C107" s="24" t="n">
        <v>159437.22</v>
      </c>
      <c r="D107" s="24" t="n">
        <f aca="false">33259+3062</f>
        <v>36321</v>
      </c>
      <c r="E107" s="25" t="n">
        <f aca="false">863878+976517</f>
        <v>1840395</v>
      </c>
      <c r="F107" s="26" t="n">
        <v>10927</v>
      </c>
      <c r="G107" s="26" t="n">
        <f aca="false">2149+39</f>
        <v>2188</v>
      </c>
      <c r="H107" s="27" t="n">
        <f aca="false">419654+418973</f>
        <v>838627</v>
      </c>
      <c r="I107" s="27" t="n">
        <f aca="false">149827+182480</f>
        <v>332307</v>
      </c>
      <c r="J107" s="31" t="n">
        <v>304986</v>
      </c>
      <c r="K107" s="24" t="n">
        <v>4494160</v>
      </c>
      <c r="L107" s="32" t="n">
        <v>131</v>
      </c>
      <c r="M107" s="92" t="n">
        <f aca="false">J107/L107</f>
        <v>2328.13740458015</v>
      </c>
      <c r="N107" s="93" t="n">
        <f aca="false">'$'!C154</f>
        <v>34.062282</v>
      </c>
      <c r="O107" s="116" t="n">
        <f aca="false">F107/(J107+'UT3b (1278)'!I51)</f>
        <v>0.0358278740663506</v>
      </c>
      <c r="P107" s="116" t="n">
        <f aca="false">G107/(J107+'UT3b (1278)'!I51)</f>
        <v>0.00717409979474468</v>
      </c>
      <c r="Q107" s="117" t="n">
        <f aca="false">(H107+'UT3b (1278)'!H51)/(J107+'UT3b (1278)'!I51)</f>
        <v>2.74972293810208</v>
      </c>
      <c r="R107" s="35" t="n">
        <f aca="false">SUM(C107:E107)/N107</f>
        <v>59777.3578411452</v>
      </c>
      <c r="S107" s="35" t="n">
        <f aca="false">C107/$N107</f>
        <v>4680.755681607</v>
      </c>
      <c r="T107" s="35" t="n">
        <f aca="false">D107/$N107</f>
        <v>1066.311411549</v>
      </c>
      <c r="U107" s="35" t="n">
        <f aca="false">E107/$N107</f>
        <v>54030.2907479892</v>
      </c>
      <c r="V107" s="36" t="n">
        <f aca="false">C107/N107/J107</f>
        <v>0.0153474444125534</v>
      </c>
      <c r="W107" s="94" t="n">
        <f aca="false">D107/N107/J107</f>
        <v>0.00349626347291022</v>
      </c>
      <c r="X107" s="36" t="n">
        <f aca="false">E107/N107/J107</f>
        <v>0.177156626035258</v>
      </c>
      <c r="Y107" s="36" t="n">
        <f aca="false">SUM(C107:E107)/N107/J107</f>
        <v>0.196000333920722</v>
      </c>
      <c r="Z107" s="36" t="n">
        <f aca="false">(K107/N107)/J107</f>
        <v>0.432608338135354</v>
      </c>
      <c r="AA107" s="113"/>
      <c r="AB107" s="40" t="n">
        <f aca="false">C107/F107</f>
        <v>14.5911247368903</v>
      </c>
      <c r="AC107" s="40" t="n">
        <f aca="false">D107/G107</f>
        <v>16.6000914076782</v>
      </c>
      <c r="AD107" s="40" t="n">
        <f aca="false">E107/H107</f>
        <v>2.19453344573929</v>
      </c>
      <c r="AE107" s="41" t="n">
        <f aca="false">E107/(H107-I107)</f>
        <v>3.63484555221994</v>
      </c>
      <c r="AF107" s="114" t="n">
        <f aca="false">AB107/$N107</f>
        <v>0.428366036570605</v>
      </c>
      <c r="AG107" s="114" t="n">
        <f aca="false">AC107/$N107</f>
        <v>0.487345252079066</v>
      </c>
      <c r="AH107" s="114" t="n">
        <f aca="false">AD107/$N107</f>
        <v>0.0644270822999846</v>
      </c>
      <c r="AI107" s="114" t="n">
        <f aca="false">AE107/$N107</f>
        <v>0.106711745038689</v>
      </c>
    </row>
    <row r="108" customFormat="false" ht="18.75" hidden="false" customHeight="true" outlineLevel="0" collapsed="false">
      <c r="A108" s="18" t="n">
        <v>2024</v>
      </c>
      <c r="B108" s="18" t="n">
        <v>10</v>
      </c>
      <c r="C108" s="24" t="n">
        <v>162580.2</v>
      </c>
      <c r="D108" s="24" t="n">
        <f aca="false">39623.84+2100.05</f>
        <v>41723.89</v>
      </c>
      <c r="E108" s="25" t="n">
        <f aca="false">1003080.6+1184848.44</f>
        <v>2187929.04</v>
      </c>
      <c r="F108" s="26" t="n">
        <v>11294.8</v>
      </c>
      <c r="G108" s="26" t="n">
        <f aca="false">2431+26</f>
        <v>2457</v>
      </c>
      <c r="H108" s="27" t="n">
        <f aca="false">443122+424067</f>
        <v>867189</v>
      </c>
      <c r="I108" s="27" t="n">
        <f aca="false">118741+152427</f>
        <v>271168</v>
      </c>
      <c r="J108" s="31" t="n">
        <v>352118</v>
      </c>
      <c r="K108" s="24" t="n">
        <v>5642802</v>
      </c>
      <c r="L108" s="32" t="n">
        <v>130</v>
      </c>
      <c r="M108" s="92" t="n">
        <f aca="false">J108/L108</f>
        <v>2708.6</v>
      </c>
      <c r="N108" s="93" t="n">
        <f aca="false">'$'!C155</f>
        <v>34.2626</v>
      </c>
      <c r="O108" s="116" t="n">
        <f aca="false">F108/(J108+'UT3b (1278)'!I52)</f>
        <v>0.0320767469995854</v>
      </c>
      <c r="P108" s="116" t="n">
        <f aca="false">G108/(J108+'UT3b (1278)'!I52)</f>
        <v>0.00697777449604962</v>
      </c>
      <c r="Q108" s="117" t="n">
        <f aca="false">(H108+'UT3b (1278)'!H52)/(J108+'UT3b (1278)'!I52)</f>
        <v>2.46277952277362</v>
      </c>
      <c r="R108" s="35" t="n">
        <f aca="false">SUM(C108:E108)/N108</f>
        <v>69820.5369703409</v>
      </c>
      <c r="S108" s="35" t="n">
        <f aca="false">C108/$N108</f>
        <v>4745.12150274644</v>
      </c>
      <c r="T108" s="35" t="n">
        <f aca="false">D108/$N108</f>
        <v>1217.76777010501</v>
      </c>
      <c r="U108" s="35" t="n">
        <f aca="false">E108/$N108</f>
        <v>63857.6476974894</v>
      </c>
      <c r="V108" s="36" t="n">
        <f aca="false">C108/N108/J108</f>
        <v>0.0134759413115672</v>
      </c>
      <c r="W108" s="94" t="n">
        <f aca="false">D108/N108/J108</f>
        <v>0.00345840817596661</v>
      </c>
      <c r="X108" s="36" t="n">
        <f aca="false">E108/N108/J108</f>
        <v>0.181352977403852</v>
      </c>
      <c r="Y108" s="36" t="n">
        <f aca="false">SUM(C108:E108)/N108/J108</f>
        <v>0.198287326891385</v>
      </c>
      <c r="Z108" s="36" t="n">
        <f aca="false">(K108/N108)/J108</f>
        <v>0.46772035330744</v>
      </c>
      <c r="AA108" s="113"/>
      <c r="AB108" s="40" t="n">
        <f aca="false">C108/F108</f>
        <v>14.3942522222616</v>
      </c>
      <c r="AC108" s="40" t="n">
        <f aca="false">D108/G108</f>
        <v>16.9816402116402</v>
      </c>
      <c r="AD108" s="40" t="n">
        <f aca="false">E108/H108</f>
        <v>2.52301290722092</v>
      </c>
      <c r="AE108" s="41" t="n">
        <f aca="false">E108/(H108-I108)</f>
        <v>3.67089253566569</v>
      </c>
      <c r="AF108" s="114" t="n">
        <f aca="false">AB108/$N108</f>
        <v>0.420115584405783</v>
      </c>
      <c r="AG108" s="114" t="n">
        <f aca="false">AC108/$N108</f>
        <v>0.495631978064718</v>
      </c>
      <c r="AH108" s="114" t="n">
        <f aca="false">AD108/$N108</f>
        <v>0.0736375204222948</v>
      </c>
      <c r="AI108" s="114" t="n">
        <f aca="false">AE108/$N108</f>
        <v>0.107139929125802</v>
      </c>
    </row>
    <row r="109" customFormat="false" ht="18.75" hidden="false" customHeight="true" outlineLevel="0" collapsed="false">
      <c r="A109" s="18" t="n">
        <v>2024</v>
      </c>
      <c r="B109" s="18" t="n">
        <v>11</v>
      </c>
      <c r="C109" s="24" t="n">
        <v>156204</v>
      </c>
      <c r="D109" s="24" t="n">
        <f aca="false">39624+3739</f>
        <v>43363</v>
      </c>
      <c r="E109" s="25" t="n">
        <f aca="false">1071727+1231086</f>
        <v>2302813</v>
      </c>
      <c r="F109" s="26" t="n">
        <v>10848</v>
      </c>
      <c r="G109" s="26" t="n">
        <f aca="false">3091+45</f>
        <v>3136</v>
      </c>
      <c r="H109" s="27" t="n">
        <f aca="false">403727+381394</f>
        <v>785121</v>
      </c>
      <c r="I109" s="27" t="n">
        <f aca="false">91950+69348</f>
        <v>161298</v>
      </c>
      <c r="J109" s="31" t="n">
        <v>294775</v>
      </c>
      <c r="K109" s="24" t="n">
        <v>4770546</v>
      </c>
      <c r="L109" s="32" t="n">
        <v>137</v>
      </c>
      <c r="M109" s="92" t="n">
        <f aca="false">J109/L109</f>
        <v>2151.64233576642</v>
      </c>
      <c r="N109" s="93" t="n">
        <f aca="false">'$'!C156</f>
        <v>34.46339</v>
      </c>
      <c r="O109" s="116" t="n">
        <f aca="false">F109/(J109+'UT3b (1278)'!I53)</f>
        <v>0.0368009498770248</v>
      </c>
      <c r="P109" s="116" t="n">
        <f aca="false">G109/(J109+'UT3b (1278)'!I53)</f>
        <v>0.010638622678314</v>
      </c>
      <c r="Q109" s="117" t="n">
        <f aca="false">(H109+'UT3b (1278)'!H53)/(J109+'UT3b (1278)'!I53)</f>
        <v>2.66345857009584</v>
      </c>
      <c r="R109" s="35" t="n">
        <f aca="false">SUM(C109:E109)/N109</f>
        <v>72609.8042009216</v>
      </c>
      <c r="S109" s="35" t="n">
        <f aca="false">C109/$N109</f>
        <v>4532.46183849006</v>
      </c>
      <c r="T109" s="35" t="n">
        <f aca="false">D109/$N109</f>
        <v>1258.23373730791</v>
      </c>
      <c r="U109" s="35" t="n">
        <f aca="false">E109/$N109</f>
        <v>66819.1086251237</v>
      </c>
      <c r="V109" s="36" t="n">
        <f aca="false">C109/N109/J109</f>
        <v>0.0153760048799595</v>
      </c>
      <c r="W109" s="94" t="n">
        <f aca="false">D109/N109/J109</f>
        <v>0.00426845471056877</v>
      </c>
      <c r="X109" s="36" t="n">
        <f aca="false">E109/N109/J109</f>
        <v>0.226678343228305</v>
      </c>
      <c r="Y109" s="36" t="n">
        <f aca="false">SUM(C109:E109)/N109/J109</f>
        <v>0.246322802818833</v>
      </c>
      <c r="Z109" s="36" t="n">
        <f aca="false">(K109/N109)/J109</f>
        <v>0.469590654375504</v>
      </c>
      <c r="AA109" s="113"/>
      <c r="AB109" s="40" t="n">
        <f aca="false">C109/F109</f>
        <v>14.3993362831858</v>
      </c>
      <c r="AC109" s="40" t="n">
        <f aca="false">D109/G109</f>
        <v>13.827487244898</v>
      </c>
      <c r="AD109" s="40" t="n">
        <f aca="false">E109/H109</f>
        <v>2.93306764180298</v>
      </c>
      <c r="AE109" s="41" t="n">
        <f aca="false">E109/(H109-I109)</f>
        <v>3.69145254342979</v>
      </c>
      <c r="AF109" s="114" t="n">
        <f aca="false">AB109/$N109</f>
        <v>0.417815434964054</v>
      </c>
      <c r="AG109" s="114" t="n">
        <f aca="false">AC109/$N109</f>
        <v>0.401222492764001</v>
      </c>
      <c r="AH109" s="114" t="n">
        <f aca="false">AD109/$N109</f>
        <v>0.0851067652312493</v>
      </c>
      <c r="AI109" s="114" t="n">
        <f aca="false">AE109/$N109</f>
        <v>0.10711228766032</v>
      </c>
    </row>
    <row r="110" customFormat="false" ht="18.75" hidden="false" customHeight="true" outlineLevel="0" collapsed="false">
      <c r="A110" s="18" t="n">
        <v>2024</v>
      </c>
      <c r="B110" s="18" t="n">
        <v>12</v>
      </c>
      <c r="C110" s="24" t="n">
        <f aca="false">158219</f>
        <v>158219</v>
      </c>
      <c r="D110" s="24" t="n">
        <f aca="false">49094+2031</f>
        <v>51125</v>
      </c>
      <c r="E110" s="25" t="n">
        <f aca="false">1247397+1112065</f>
        <v>2359462</v>
      </c>
      <c r="F110" s="26" t="n">
        <v>10650</v>
      </c>
      <c r="G110" s="26" t="n">
        <f aca="false">2091+24</f>
        <v>2115</v>
      </c>
      <c r="H110" s="27" t="n">
        <f aca="false">418602+392868</f>
        <v>811470</v>
      </c>
      <c r="I110" s="27" t="n">
        <f aca="false">69870+55185</f>
        <v>125055</v>
      </c>
      <c r="J110" s="31" t="n">
        <v>338109</v>
      </c>
      <c r="K110" s="24" t="n">
        <v>6264293</v>
      </c>
      <c r="L110" s="32" t="n">
        <v>154</v>
      </c>
      <c r="M110" s="92" t="n">
        <f aca="false">J110/L110</f>
        <v>2195.51298701299</v>
      </c>
      <c r="N110" s="93" t="n">
        <f aca="false">'$'!C157</f>
        <v>34.9875</v>
      </c>
      <c r="O110" s="116" t="n">
        <f aca="false">F110/(J110+'UT3b (1278)'!I54)</f>
        <v>0.0314987178690896</v>
      </c>
      <c r="P110" s="116" t="n">
        <f aca="false">G110/(J110+'UT3b (1278)'!I54)</f>
        <v>0.006255379182453</v>
      </c>
      <c r="Q110" s="117" t="n">
        <f aca="false">(H110+'UT3b (1278)'!H54)/(J110+'UT3b (1278)'!I54)</f>
        <v>2.40002484405916</v>
      </c>
      <c r="R110" s="35" t="n">
        <f aca="false">SUM(C110:E110)/N110</f>
        <v>73420.6788138621</v>
      </c>
      <c r="S110" s="35" t="n">
        <f aca="false">C110/$N110</f>
        <v>4522.15791354055</v>
      </c>
      <c r="T110" s="35" t="n">
        <f aca="false">D110/$N110</f>
        <v>1461.23615576992</v>
      </c>
      <c r="U110" s="35" t="n">
        <f aca="false">E110/$N110</f>
        <v>67437.2847445516</v>
      </c>
      <c r="V110" s="36" t="n">
        <f aca="false">C110/N110/J110</f>
        <v>0.013374852232684</v>
      </c>
      <c r="W110" s="94" t="n">
        <f aca="false">D110/N110/J110</f>
        <v>0.00432179017940936</v>
      </c>
      <c r="X110" s="36" t="n">
        <f aca="false">E110/N110/J110</f>
        <v>0.199454272866299</v>
      </c>
      <c r="Y110" s="36" t="n">
        <f aca="false">SUM(C110:E110)/N110/J110</f>
        <v>0.217150915278393</v>
      </c>
      <c r="Z110" s="36" t="n">
        <f aca="false">(K110/N110)/J110</f>
        <v>0.529544449258538</v>
      </c>
      <c r="AA110" s="113"/>
      <c r="AB110" s="40" t="n">
        <f aca="false">C110/F110</f>
        <v>14.8562441314554</v>
      </c>
      <c r="AC110" s="40" t="n">
        <f aca="false">D110/G110</f>
        <v>24.1725768321513</v>
      </c>
      <c r="AD110" s="40" t="n">
        <f aca="false">E110/H110</f>
        <v>2.90763922264532</v>
      </c>
      <c r="AE110" s="41" t="n">
        <f aca="false">E110/(H110-I110)</f>
        <v>3.4373695213537</v>
      </c>
      <c r="AF110" s="114" t="n">
        <f aca="false">AB110/$N110</f>
        <v>0.424615766529629</v>
      </c>
      <c r="AG110" s="114" t="n">
        <f aca="false">AC110/$N110</f>
        <v>0.690891799418401</v>
      </c>
      <c r="AH110" s="114" t="n">
        <f aca="false">AD110/$N110</f>
        <v>0.0831050867494197</v>
      </c>
      <c r="AI110" s="114" t="n">
        <f aca="false">AE110/$N110</f>
        <v>0.0982456454834927</v>
      </c>
    </row>
    <row r="111" customFormat="false" ht="18.75" hidden="false" customHeight="true" outlineLevel="0" collapsed="false">
      <c r="A111" s="58" t="n">
        <v>2025</v>
      </c>
      <c r="B111" s="58" t="n">
        <v>1</v>
      </c>
      <c r="C111" s="59" t="n">
        <v>136036</v>
      </c>
      <c r="D111" s="59" t="n">
        <f aca="false">56272+2235</f>
        <v>58507</v>
      </c>
      <c r="E111" s="60" t="n">
        <f aca="false">1124634+1183996</f>
        <v>2308630</v>
      </c>
      <c r="F111" s="61" t="n">
        <v>9441</v>
      </c>
      <c r="G111" s="61" t="n">
        <f aca="false">1662+24</f>
        <v>1686</v>
      </c>
      <c r="H111" s="62" t="n">
        <f aca="false">400247+409872</f>
        <v>810119</v>
      </c>
      <c r="I111" s="62" t="n">
        <f aca="false">101519+74486</f>
        <v>176005</v>
      </c>
      <c r="J111" s="66" t="n">
        <v>346037</v>
      </c>
      <c r="K111" s="59" t="n">
        <v>7966412</v>
      </c>
      <c r="L111" s="67" t="n">
        <v>137</v>
      </c>
      <c r="M111" s="104" t="n">
        <f aca="false">J111/L111</f>
        <v>2525.81751824817</v>
      </c>
      <c r="N111" s="105" t="n">
        <f aca="false">'$'!C158</f>
        <v>35.5237</v>
      </c>
      <c r="O111" s="118" t="n">
        <f aca="false">F111/(J111+'UT3b (1278)'!I55)</f>
        <v>0.0272832095989735</v>
      </c>
      <c r="P111" s="118" t="n">
        <f aca="false">G111/(J111+'UT3b (1278)'!I55)</f>
        <v>0.0048723113424287</v>
      </c>
      <c r="Q111" s="119" t="n">
        <f aca="false">(H111+'UT3b (1278)'!H55)/(J111+'UT3b (1278)'!I55)</f>
        <v>2.34113404057948</v>
      </c>
      <c r="R111" s="70" t="n">
        <f aca="false">SUM(C111:E111)/N111</f>
        <v>70464.8727469267</v>
      </c>
      <c r="S111" s="70" t="n">
        <f aca="false">C111/$N111</f>
        <v>3829.4434419838</v>
      </c>
      <c r="T111" s="70" t="n">
        <f aca="false">D111/$N111</f>
        <v>1646.98497059709</v>
      </c>
      <c r="U111" s="70" t="n">
        <f aca="false">E111/$N111</f>
        <v>64988.4443343458</v>
      </c>
      <c r="V111" s="71" t="n">
        <f aca="false">C111/N111/J111</f>
        <v>0.0110665721931002</v>
      </c>
      <c r="W111" s="106" t="n">
        <f aca="false">D111/N111/J111</f>
        <v>0.00475956319872469</v>
      </c>
      <c r="X111" s="71" t="n">
        <f aca="false">E111/N111/J111</f>
        <v>0.18780779030666</v>
      </c>
      <c r="Y111" s="71" t="n">
        <f aca="false">SUM(C111:E111)/N111/J111</f>
        <v>0.203633925698485</v>
      </c>
      <c r="Z111" s="71" t="n">
        <f aca="false">(K111/N111)/J111</f>
        <v>0.64807016905804</v>
      </c>
      <c r="AA111" s="120"/>
      <c r="AB111" s="44" t="n">
        <f aca="false">C111/F111</f>
        <v>14.4090668361402</v>
      </c>
      <c r="AC111" s="44" t="n">
        <f aca="false">D111/G111</f>
        <v>34.7016607354686</v>
      </c>
      <c r="AD111" s="44" t="n">
        <f aca="false">E111/H111</f>
        <v>2.84974182805242</v>
      </c>
      <c r="AE111" s="45" t="n">
        <f aca="false">E111/(H111-I111)</f>
        <v>3.64071759967451</v>
      </c>
      <c r="AF111" s="121" t="n">
        <f aca="false">AB111/$N111</f>
        <v>0.405618413513802</v>
      </c>
      <c r="AG111" s="121" t="n">
        <f aca="false">AC111/$N111</f>
        <v>0.976859413165536</v>
      </c>
      <c r="AH111" s="121" t="n">
        <f aca="false">AD111/$N111</f>
        <v>0.0802208617923364</v>
      </c>
      <c r="AI111" s="121" t="n">
        <f aca="false">AE111/$N111</f>
        <v>0.102487004441387</v>
      </c>
    </row>
    <row r="112" customFormat="false" ht="18.75" hidden="false" customHeight="true" outlineLevel="0" collapsed="false">
      <c r="A112" s="18" t="n">
        <v>2025</v>
      </c>
      <c r="B112" s="18" t="n">
        <v>2</v>
      </c>
      <c r="C112" s="24" t="n">
        <v>136958</v>
      </c>
      <c r="D112" s="24" t="n">
        <f aca="false">53485+2569</f>
        <v>56054</v>
      </c>
      <c r="E112" s="25" t="n">
        <f aca="false">854377+945008</f>
        <v>1799385</v>
      </c>
      <c r="F112" s="26" t="n">
        <v>9504</v>
      </c>
      <c r="G112" s="26" t="n">
        <f aca="false">1600+24</f>
        <v>1624</v>
      </c>
      <c r="H112" s="27" t="n">
        <f aca="false">347380+347362</f>
        <v>694742</v>
      </c>
      <c r="I112" s="27" t="n">
        <f aca="false">86420+112233</f>
        <v>198653</v>
      </c>
      <c r="J112" s="31" t="n">
        <v>347356</v>
      </c>
      <c r="K112" s="24" t="n">
        <v>7683204</v>
      </c>
      <c r="L112" s="32" t="n">
        <v>142</v>
      </c>
      <c r="M112" s="92" t="n">
        <f aca="false">J112/L112</f>
        <v>2446.16901408451</v>
      </c>
      <c r="N112" s="93" t="n">
        <f aca="false">'$'!C159</f>
        <v>36.169082</v>
      </c>
      <c r="O112" s="116" t="n">
        <f aca="false">F112/(J112+'UT3b (1278)'!I56)</f>
        <v>0.0273609783622566</v>
      </c>
      <c r="P112" s="116" t="n">
        <f aca="false">G112/(J112+'UT3b (1278)'!I56)</f>
        <v>0.00467531869321388</v>
      </c>
      <c r="Q112" s="117" t="n">
        <f aca="false">(H112+'UT3b (1278)'!H56)/(J112+'UT3b (1278)'!I56)</f>
        <v>2.00008636672463</v>
      </c>
      <c r="R112" s="35" t="n">
        <f aca="false">SUM(C112:E112)/N112</f>
        <v>55085.6391655171</v>
      </c>
      <c r="S112" s="35" t="n">
        <f aca="false">C112/$N112</f>
        <v>3786.60426051178</v>
      </c>
      <c r="T112" s="35" t="n">
        <f aca="false">D112/$N112</f>
        <v>1549.77668495982</v>
      </c>
      <c r="U112" s="35" t="n">
        <f aca="false">E112/$N112</f>
        <v>49749.2582200455</v>
      </c>
      <c r="V112" s="36" t="n">
        <f aca="false">C112/N112/J112</f>
        <v>0.0109012202481367</v>
      </c>
      <c r="W112" s="94" t="n">
        <f aca="false">D112/N112/J112</f>
        <v>0.00446163787284464</v>
      </c>
      <c r="X112" s="36" t="n">
        <f aca="false">E112/N112/J112</f>
        <v>0.143222682838487</v>
      </c>
      <c r="Y112" s="36" t="n">
        <f aca="false">SUM(C112:E112)/N112/J112</f>
        <v>0.158585540959468</v>
      </c>
      <c r="Z112" s="36" t="n">
        <f aca="false">(K112/N112)/J112</f>
        <v>0.611547328490231</v>
      </c>
      <c r="AA112" s="113"/>
      <c r="AB112" s="40" t="n">
        <f aca="false">C112/F112</f>
        <v>14.410563973064</v>
      </c>
      <c r="AC112" s="40" t="n">
        <f aca="false">D112/G112</f>
        <v>34.5160098522167</v>
      </c>
      <c r="AD112" s="40" t="n">
        <f aca="false">E112/H112</f>
        <v>2.59000463481407</v>
      </c>
      <c r="AE112" s="41" t="n">
        <f aca="false">E112/(H112-I112)</f>
        <v>3.62714150081941</v>
      </c>
      <c r="AF112" s="114" t="n">
        <f aca="false">AB112/$N112</f>
        <v>0.398422165457889</v>
      </c>
      <c r="AG112" s="114" t="n">
        <f aca="false">AC112/$N112</f>
        <v>0.954295988275753</v>
      </c>
      <c r="AH112" s="114" t="n">
        <f aca="false">AD112/$N112</f>
        <v>0.0716082491342765</v>
      </c>
      <c r="AI112" s="114" t="n">
        <f aca="false">AE112/$N112</f>
        <v>0.100282929514755</v>
      </c>
    </row>
    <row r="113" customFormat="false" ht="18.75" hidden="false" customHeight="true" outlineLevel="0" collapsed="false">
      <c r="A113" s="18" t="n">
        <v>2025</v>
      </c>
      <c r="B113" s="18" t="n">
        <v>3</v>
      </c>
      <c r="C113" s="24" t="n">
        <v>137314</v>
      </c>
      <c r="D113" s="24" t="n">
        <f aca="false">59446+2564</f>
        <v>62010</v>
      </c>
      <c r="E113" s="25" t="n">
        <f aca="false">887970+820916</f>
        <v>1708886</v>
      </c>
      <c r="F113" s="26" t="n">
        <v>9522</v>
      </c>
      <c r="G113" s="26" t="n">
        <f aca="false">1866+23</f>
        <v>1889</v>
      </c>
      <c r="H113" s="27" t="n">
        <f aca="false">363005+376893</f>
        <v>739898</v>
      </c>
      <c r="I113" s="27" t="n">
        <f aca="false">129915+163531</f>
        <v>293446</v>
      </c>
      <c r="J113" s="31" t="n">
        <v>371995</v>
      </c>
      <c r="K113" s="24" t="n">
        <v>6124278</v>
      </c>
      <c r="L113" s="32" t="n">
        <v>145</v>
      </c>
      <c r="M113" s="92" t="n">
        <f aca="false">J113/L113</f>
        <v>2565.48275862069</v>
      </c>
      <c r="N113" s="93" t="n">
        <f aca="false">'$'!C160</f>
        <v>37.092994</v>
      </c>
      <c r="O113" s="116" t="n">
        <f aca="false">F113/(J113+'UT3b (1278)'!I57)</f>
        <v>0.0255971182408366</v>
      </c>
      <c r="P113" s="116" t="n">
        <f aca="false">G113/(J113+'UT3b (1278)'!I57)</f>
        <v>0.00507802524227476</v>
      </c>
      <c r="Q113" s="117" t="n">
        <f aca="false">(H113+'UT3b (1278)'!H57)/(J113+'UT3b (1278)'!I57)</f>
        <v>1.98899985214855</v>
      </c>
      <c r="R113" s="35" t="n">
        <f aca="false">SUM(C113:E113)/N113</f>
        <v>51443.9465307114</v>
      </c>
      <c r="S113" s="35" t="n">
        <f aca="false">C113/$N113</f>
        <v>3701.88505139272</v>
      </c>
      <c r="T113" s="35" t="n">
        <f aca="false">D113/$N113</f>
        <v>1671.7442652378</v>
      </c>
      <c r="U113" s="35" t="n">
        <f aca="false">E113/$N113</f>
        <v>46070.3172140809</v>
      </c>
      <c r="V113" s="36" t="n">
        <f aca="false">C113/N113/J113</f>
        <v>0.00995143765747584</v>
      </c>
      <c r="W113" s="94" t="n">
        <f aca="false">D113/N113/J113</f>
        <v>0.00449399660005591</v>
      </c>
      <c r="X113" s="36" t="n">
        <f aca="false">E113/N113/J113</f>
        <v>0.123846603352413</v>
      </c>
      <c r="Y113" s="36" t="n">
        <f aca="false">SUM(C113:E113)/N113/J113</f>
        <v>0.138292037609945</v>
      </c>
      <c r="Z113" s="36" t="n">
        <f aca="false">(K113/N113)/J113</f>
        <v>0.443839453471975</v>
      </c>
      <c r="AA113" s="113"/>
      <c r="AB113" s="40" t="n">
        <f aca="false">C113/F113</f>
        <v>14.4207099348876</v>
      </c>
      <c r="AC113" s="40" t="n">
        <f aca="false">D113/G113</f>
        <v>32.8268925357332</v>
      </c>
      <c r="AD113" s="40" t="n">
        <f aca="false">E113/H113</f>
        <v>2.30962375895056</v>
      </c>
      <c r="AE113" s="41" t="n">
        <f aca="false">E113/(H113-I113)</f>
        <v>3.82770376210656</v>
      </c>
      <c r="AF113" s="114" t="n">
        <f aca="false">AB113/$N113</f>
        <v>0.388771797037673</v>
      </c>
      <c r="AG113" s="114" t="n">
        <f aca="false">AC113/$N113</f>
        <v>0.884989023418632</v>
      </c>
      <c r="AH113" s="114" t="n">
        <f aca="false">AD113/$N113</f>
        <v>0.0622657680032666</v>
      </c>
      <c r="AI113" s="114" t="n">
        <f aca="false">AE113/$N113</f>
        <v>0.103192095038394</v>
      </c>
    </row>
    <row r="114" customFormat="false" ht="18.75" hidden="false" customHeight="true" outlineLevel="0" collapsed="false">
      <c r="A114" s="18" t="n">
        <v>2025</v>
      </c>
      <c r="B114" s="18" t="n">
        <v>4</v>
      </c>
      <c r="C114" s="24" t="n">
        <v>180078</v>
      </c>
      <c r="D114" s="24" t="n">
        <f aca="false">63110+2837</f>
        <v>65947</v>
      </c>
      <c r="E114" s="25" t="n">
        <f aca="false">967254+734395</f>
        <v>1701649</v>
      </c>
      <c r="F114" s="26" t="n">
        <v>10306</v>
      </c>
      <c r="G114" s="26" t="n">
        <f aca="false">2034+25</f>
        <v>2059</v>
      </c>
      <c r="H114" s="27" t="n">
        <f aca="false">386325+361521</f>
        <v>747846</v>
      </c>
      <c r="I114" s="27" t="n">
        <f aca="false">186248+152267</f>
        <v>338515</v>
      </c>
      <c r="J114" s="31" t="n">
        <v>355925</v>
      </c>
      <c r="K114" s="24" t="n">
        <v>8107081</v>
      </c>
      <c r="L114" s="32" t="n">
        <v>142</v>
      </c>
      <c r="M114" s="92" t="n">
        <f aca="false">J114/L114</f>
        <v>2506.51408450704</v>
      </c>
      <c r="N114" s="93" t="n">
        <f aca="false">'$'!C161</f>
        <v>38.131488</v>
      </c>
      <c r="O114" s="116" t="n">
        <f aca="false">F114/(J114+'UT3b (1278)'!I58)</f>
        <v>0.0289555383858959</v>
      </c>
      <c r="P114" s="116" t="n">
        <f aca="false">G114/(J114+'UT3b (1278)'!I58)</f>
        <v>0.00578492659970499</v>
      </c>
      <c r="Q114" s="117" t="n">
        <f aca="false">(H114+'UT3b (1278)'!H58)/(J114+'UT3b (1278)'!I58)</f>
        <v>2.10113366580038</v>
      </c>
      <c r="R114" s="35" t="n">
        <f aca="false">SUM(C114:E114)/N114</f>
        <v>51077.8388716433</v>
      </c>
      <c r="S114" s="35" t="n">
        <f aca="false">C114/$N114</f>
        <v>4722.55370679476</v>
      </c>
      <c r="T114" s="35" t="n">
        <f aca="false">D114/$N114</f>
        <v>1729.4630621286</v>
      </c>
      <c r="U114" s="35" t="n">
        <f aca="false">E114/$N114</f>
        <v>44625.8221027199</v>
      </c>
      <c r="V114" s="77" t="n">
        <f aca="false">C114/N114/J114</f>
        <v>0.0132683956080488</v>
      </c>
      <c r="W114" s="94" t="n">
        <f aca="false">D114/N114/J114</f>
        <v>0.00485906598898251</v>
      </c>
      <c r="X114" s="36" t="n">
        <f aca="false">E114/N114/J114</f>
        <v>0.125379847166453</v>
      </c>
      <c r="Y114" s="36" t="n">
        <f aca="false">SUM(C114:E114)/N114/J114</f>
        <v>0.143507308763485</v>
      </c>
      <c r="Z114" s="36" t="n">
        <f aca="false">(K114/N114)/J114</f>
        <v>0.597340918571373</v>
      </c>
      <c r="AA114" s="113"/>
      <c r="AB114" s="40" t="n">
        <f aca="false">C114/F114</f>
        <v>17.47312245294</v>
      </c>
      <c r="AC114" s="40" t="n">
        <f aca="false">D114/G114</f>
        <v>32.0286546867411</v>
      </c>
      <c r="AD114" s="40" t="n">
        <f aca="false">E114/H114</f>
        <v>2.27540028294595</v>
      </c>
      <c r="AE114" s="41" t="n">
        <f aca="false">E114/(H114-I114)</f>
        <v>4.15714666125947</v>
      </c>
      <c r="AF114" s="114" t="n">
        <f aca="false">AB114/$N114</f>
        <v>0.458233427789129</v>
      </c>
      <c r="AG114" s="114" t="n">
        <f aca="false">AC114/$N114</f>
        <v>0.83995291992647</v>
      </c>
      <c r="AH114" s="114" t="n">
        <f aca="false">AD114/$N114</f>
        <v>0.0596724754865573</v>
      </c>
      <c r="AI114" s="114" t="n">
        <f aca="false">AE114/$N114</f>
        <v>0.109021359493222</v>
      </c>
    </row>
    <row r="115" customFormat="false" ht="18.75" hidden="false" customHeight="true" outlineLevel="0" collapsed="false">
      <c r="A115" s="18" t="n">
        <v>2025</v>
      </c>
      <c r="B115" s="18" t="n">
        <v>5</v>
      </c>
      <c r="C115" s="24" t="n">
        <v>232806</v>
      </c>
      <c r="D115" s="24" t="n">
        <f aca="false">71139+3693</f>
        <v>74832</v>
      </c>
      <c r="E115" s="25" t="n">
        <f aca="false">819662+724374</f>
        <v>1544036</v>
      </c>
      <c r="F115" s="26" t="n">
        <v>13319</v>
      </c>
      <c r="G115" s="26" t="n">
        <f aca="false">32+2435</f>
        <v>2467</v>
      </c>
      <c r="H115" s="27" t="n">
        <f aca="false">374000+387189</f>
        <v>761189</v>
      </c>
      <c r="I115" s="27" t="n">
        <f aca="false">226026+189294</f>
        <v>415320</v>
      </c>
      <c r="J115" s="31" t="n">
        <v>303328</v>
      </c>
      <c r="K115" s="24" t="n">
        <v>7118066</v>
      </c>
      <c r="L115" s="32" t="n">
        <v>140</v>
      </c>
      <c r="M115" s="92" t="n">
        <f aca="false">J115/L115</f>
        <v>2166.62857142857</v>
      </c>
      <c r="N115" s="93" t="n">
        <f aca="false">'$'!C162</f>
        <v>38.826157</v>
      </c>
      <c r="O115" s="116" t="n">
        <f aca="false">F115/(J115+'UT3b (1278)'!I59)</f>
        <v>0.043909563245068</v>
      </c>
      <c r="P115" s="116" t="n">
        <f aca="false">G115/(J115+'UT3b (1278)'!I59)</f>
        <v>0.00813311003270387</v>
      </c>
      <c r="Q115" s="117" t="n">
        <f aca="false">(H115+'UT3b (1278)'!H59)/(J115+'UT3b (1278)'!I59)</f>
        <v>2.50945840805992</v>
      </c>
      <c r="R115" s="35" t="n">
        <f aca="false">SUM(C115:E115)/N115</f>
        <v>47691.4055645528</v>
      </c>
      <c r="S115" s="35" t="n">
        <f aca="false">C115/$N115</f>
        <v>5996.11236311644</v>
      </c>
      <c r="T115" s="35" t="n">
        <f aca="false">D115/$N115</f>
        <v>1927.36046475061</v>
      </c>
      <c r="U115" s="35" t="n">
        <f aca="false">E115/$N115</f>
        <v>39767.9327366857</v>
      </c>
      <c r="V115" s="36" t="n">
        <f aca="false">C115/N115/J115</f>
        <v>0.0197677509597414</v>
      </c>
      <c r="W115" s="94" t="n">
        <f aca="false">D115/N115/J115</f>
        <v>0.0063540473175922</v>
      </c>
      <c r="X115" s="36" t="n">
        <f aca="false">E115/N115/J115</f>
        <v>0.131105380105647</v>
      </c>
      <c r="Y115" s="36" t="n">
        <f aca="false">SUM(C115:E115)/N115/J115</f>
        <v>0.157227178382981</v>
      </c>
      <c r="Z115" s="36" t="n">
        <f aca="false">(K115/N115)/J115</f>
        <v>0.604400900333336</v>
      </c>
      <c r="AA115" s="113"/>
      <c r="AB115" s="40" t="n">
        <f aca="false">C115/F115</f>
        <v>17.4792401831969</v>
      </c>
      <c r="AC115" s="40" t="n">
        <f aca="false">D115/G115</f>
        <v>30.3331982164572</v>
      </c>
      <c r="AD115" s="40" t="n">
        <f aca="false">E115/H115</f>
        <v>2.02845285467867</v>
      </c>
      <c r="AE115" s="41" t="n">
        <f aca="false">E115/(H115-I115)</f>
        <v>4.46422200312835</v>
      </c>
      <c r="AF115" s="114" t="n">
        <f aca="false">AB115/$N115</f>
        <v>0.450192384046583</v>
      </c>
      <c r="AG115" s="114" t="n">
        <f aca="false">AC115/$N115</f>
        <v>0.78125677533466</v>
      </c>
      <c r="AH115" s="114" t="n">
        <f aca="false">AD115/$N115</f>
        <v>0.0522444921519961</v>
      </c>
      <c r="AI115" s="114" t="n">
        <f aca="false">AE115/$N115</f>
        <v>0.114979754579583</v>
      </c>
    </row>
    <row r="116" customFormat="false" ht="18.75" hidden="false" customHeight="true" outlineLevel="0" collapsed="false">
      <c r="A116" s="18" t="n">
        <v>2025</v>
      </c>
      <c r="B116" s="18" t="n">
        <v>6</v>
      </c>
      <c r="C116" s="24" t="n">
        <v>169942</v>
      </c>
      <c r="D116" s="24" t="n">
        <f aca="false">53423+2867</f>
        <v>56290</v>
      </c>
      <c r="E116" s="25" t="n">
        <f aca="false">226949+560974</f>
        <v>787923</v>
      </c>
      <c r="F116" s="26" t="n">
        <v>9719</v>
      </c>
      <c r="G116" s="26" t="n">
        <f aca="false">1571+24</f>
        <v>1595</v>
      </c>
      <c r="H116" s="27" t="n">
        <f aca="false">261655+380763</f>
        <v>642418</v>
      </c>
      <c r="I116" s="27" t="n">
        <f aca="false">258281+215967</f>
        <v>474248</v>
      </c>
      <c r="J116" s="31" t="n">
        <v>251358</v>
      </c>
      <c r="K116" s="24" t="n">
        <v>7339706</v>
      </c>
      <c r="L116" s="32" t="n">
        <v>127</v>
      </c>
      <c r="M116" s="92" t="n">
        <f aca="false">J116/L116</f>
        <v>1979.1968503937</v>
      </c>
      <c r="N116" s="93" t="n">
        <f aca="false">'$'!C163</f>
        <v>39.477254</v>
      </c>
      <c r="O116" s="116" t="n">
        <f aca="false">F116/(J116+'UT3b (1278)'!I60)</f>
        <v>0.0386659664701342</v>
      </c>
      <c r="P116" s="116" t="n">
        <f aca="false">G116/(J116+'UT3b (1278)'!I60)</f>
        <v>0.00634553107519952</v>
      </c>
      <c r="Q116" s="117" t="n">
        <f aca="false">(H116+'UT3b (1278)'!H60)/(J116+'UT3b (1278)'!I60)</f>
        <v>2.5557889543997</v>
      </c>
      <c r="R116" s="35" t="n">
        <f aca="false">SUM(C116:E116)/N116</f>
        <v>25689.6034359431</v>
      </c>
      <c r="S116" s="35" t="n">
        <f aca="false">C116/$N116</f>
        <v>4304.80802945413</v>
      </c>
      <c r="T116" s="35" t="n">
        <f aca="false">D116/$N116</f>
        <v>1425.88438395437</v>
      </c>
      <c r="U116" s="35" t="n">
        <f aca="false">E116/$N116</f>
        <v>19958.9110225346</v>
      </c>
      <c r="V116" s="36" t="n">
        <f aca="false">C116/N116/J116</f>
        <v>0.0171262025853728</v>
      </c>
      <c r="W116" s="94" t="n">
        <f aca="false">D116/N116/J116</f>
        <v>0.00567272330283645</v>
      </c>
      <c r="X116" s="36" t="n">
        <f aca="false">E116/N116/J116</f>
        <v>0.07940431982485</v>
      </c>
      <c r="Y116" s="36" t="n">
        <f aca="false">SUM(C116:E116)/N116/J116</f>
        <v>0.102203245713059</v>
      </c>
      <c r="Z116" s="36" t="n">
        <f aca="false">(K116/N116)/J116</f>
        <v>0.739671722546963</v>
      </c>
      <c r="AA116" s="113"/>
      <c r="AB116" s="40" t="n">
        <f aca="false">C116/F116</f>
        <v>17.4855437802243</v>
      </c>
      <c r="AC116" s="40" t="n">
        <f aca="false">D116/G116</f>
        <v>35.2915360501567</v>
      </c>
      <c r="AD116" s="40" t="n">
        <f aca="false">E116/H116</f>
        <v>1.22649583293121</v>
      </c>
      <c r="AE116" s="41" t="n">
        <f aca="false">E116/(H116-I116)</f>
        <v>4.68527680323482</v>
      </c>
      <c r="AF116" s="114" t="n">
        <f aca="false">AB116/$N116</f>
        <v>0.442927053138607</v>
      </c>
      <c r="AG116" s="114" t="n">
        <f aca="false">AC116/$N116</f>
        <v>0.893971400598348</v>
      </c>
      <c r="AH116" s="114" t="n">
        <f aca="false">AD116/$N116</f>
        <v>0.0310684181055553</v>
      </c>
      <c r="AI116" s="114" t="n">
        <f aca="false">AE116/$N116</f>
        <v>0.118682945962625</v>
      </c>
    </row>
    <row r="117" customFormat="false" ht="18.75" hidden="false" customHeight="true" outlineLevel="0" collapsed="false">
      <c r="A117" s="18" t="n">
        <v>2025</v>
      </c>
      <c r="B117" s="18" t="n">
        <v>7</v>
      </c>
      <c r="C117" s="24" t="n">
        <v>256355</v>
      </c>
      <c r="D117" s="24" t="n">
        <f aca="false">54173+3610</f>
        <v>57783</v>
      </c>
      <c r="E117" s="25" t="n">
        <f aca="false">834222+924498</f>
        <v>1758720</v>
      </c>
      <c r="F117" s="26" t="n">
        <v>13545</v>
      </c>
      <c r="G117" s="26" t="n">
        <f aca="false">1652+30</f>
        <v>1682</v>
      </c>
      <c r="H117" s="27" t="n">
        <f aca="false">369976+428808</f>
        <v>798784</v>
      </c>
      <c r="I117" s="27" t="n">
        <f aca="false">224644+183286</f>
        <v>407930</v>
      </c>
      <c r="J117" s="31" t="n">
        <v>346581</v>
      </c>
      <c r="K117" s="24" t="n">
        <v>7352425</v>
      </c>
      <c r="L117" s="32" t="n">
        <v>123</v>
      </c>
      <c r="M117" s="92" t="n">
        <f aca="false">J117/L117</f>
        <v>2817.73170731707</v>
      </c>
      <c r="N117" s="93" t="n">
        <f aca="false">'$'!C164</f>
        <v>40.244021</v>
      </c>
      <c r="O117" s="116" t="n">
        <f aca="false">F117/(J117+'UT3b (1278)'!I61)</f>
        <v>0.0390817730920045</v>
      </c>
      <c r="P117" s="116" t="n">
        <f aca="false">G117/(J117+'UT3b (1278)'!I61)</f>
        <v>0.00485312235812119</v>
      </c>
      <c r="Q117" s="117" t="n">
        <f aca="false">(H117+'UT3b (1278)'!H61)/(J117+'UT3b (1278)'!I61)</f>
        <v>2.30475415559422</v>
      </c>
      <c r="R117" s="35" t="n">
        <f aca="false">SUM(C117:E117)/N117</f>
        <v>51507.2288626427</v>
      </c>
      <c r="S117" s="35" t="n">
        <f aca="false">C117/$N117</f>
        <v>6370.01456688436</v>
      </c>
      <c r="T117" s="35" t="n">
        <f aca="false">D117/$N117</f>
        <v>1435.81576999972</v>
      </c>
      <c r="U117" s="35" t="n">
        <f aca="false">E117/$N117</f>
        <v>43701.3985257587</v>
      </c>
      <c r="V117" s="36" t="n">
        <f aca="false">C117/N117/J117</f>
        <v>0.0183795838978027</v>
      </c>
      <c r="W117" s="94" t="n">
        <f aca="false">D117/N117/J117</f>
        <v>0.00414280000923225</v>
      </c>
      <c r="X117" s="36" t="n">
        <f aca="false">E117/N117/J117</f>
        <v>0.126092886008635</v>
      </c>
      <c r="Y117" s="36" t="n">
        <f aca="false">SUM(C117:E117)/N117/J117</f>
        <v>0.14861526991567</v>
      </c>
      <c r="Z117" s="36" t="n">
        <f aca="false">(K117/N117)/J117</f>
        <v>0.527138195626385</v>
      </c>
      <c r="AA117" s="113"/>
      <c r="AB117" s="40" t="n">
        <f aca="false">C117/F117</f>
        <v>18.9261720191953</v>
      </c>
      <c r="AC117" s="40" t="n">
        <f aca="false">D117/G117</f>
        <v>34.3537455410226</v>
      </c>
      <c r="AD117" s="40" t="n">
        <f aca="false">E117/H117</f>
        <v>2.20174665491547</v>
      </c>
      <c r="AE117" s="41" t="n">
        <f aca="false">E117/(H117-I117)</f>
        <v>4.4996853044871</v>
      </c>
      <c r="AF117" s="114" t="n">
        <f aca="false">AB117/$N117</f>
        <v>0.470285313169757</v>
      </c>
      <c r="AG117" s="114" t="n">
        <f aca="false">AC117/$N117</f>
        <v>0.853636010701381</v>
      </c>
      <c r="AH117" s="114" t="n">
        <f aca="false">AD117/$N117</f>
        <v>0.0547099072161669</v>
      </c>
      <c r="AI117" s="114" t="n">
        <f aca="false">AE117/$N117</f>
        <v>0.111810032712365</v>
      </c>
    </row>
    <row r="118" customFormat="false" ht="18.75" hidden="false" customHeight="true" outlineLevel="0" collapsed="false">
      <c r="A118" s="18" t="n">
        <v>2025</v>
      </c>
      <c r="B118" s="18" t="n">
        <v>8</v>
      </c>
      <c r="C118" s="24" t="n">
        <f aca="false">233785</f>
        <v>233785</v>
      </c>
      <c r="D118" s="24" t="n">
        <f aca="false">84808+3057</f>
        <v>87865</v>
      </c>
      <c r="E118" s="25" t="n">
        <f aca="false">787180+1165459</f>
        <v>1952639</v>
      </c>
      <c r="F118" s="26" t="n">
        <v>12336</v>
      </c>
      <c r="G118" s="26" t="n">
        <f aca="false">25+2923</f>
        <v>2948</v>
      </c>
      <c r="H118" s="27" t="n">
        <f aca="false">325438+448213</f>
        <v>773651</v>
      </c>
      <c r="I118" s="27" t="n">
        <f aca="false">182284+146198</f>
        <v>328482</v>
      </c>
      <c r="J118" s="31" t="n">
        <v>318135</v>
      </c>
      <c r="K118" s="24" t="n">
        <v>6192658</v>
      </c>
      <c r="L118" s="32" t="n">
        <v>118</v>
      </c>
      <c r="M118" s="92" t="n">
        <f aca="false">J118/L118</f>
        <v>2696.0593220339</v>
      </c>
      <c r="N118" s="93" t="n">
        <f aca="false">'$'!C165</f>
        <v>40.85612</v>
      </c>
      <c r="O118" s="116" t="n">
        <f aca="false">F118/(J118+'UT3b (1278)'!I62)</f>
        <v>0.0387759913244377</v>
      </c>
      <c r="P118" s="116" t="n">
        <f aca="false">G118/(J118+'UT3b (1278)'!I62)</f>
        <v>0.00926650635736401</v>
      </c>
      <c r="Q118" s="117" t="n">
        <f aca="false">(H118+'UT3b (1278)'!H62)/(J118+'UT3b (1278)'!I62)</f>
        <v>2.43183239819573</v>
      </c>
      <c r="R118" s="35" t="n">
        <f aca="false">SUM(C118:E118)/N118</f>
        <v>55665.809675515</v>
      </c>
      <c r="S118" s="35" t="n">
        <f aca="false">C118/$N118</f>
        <v>5722.15374342938</v>
      </c>
      <c r="T118" s="35" t="n">
        <f aca="false">D118/$N118</f>
        <v>2150.59579813257</v>
      </c>
      <c r="U118" s="35" t="n">
        <f aca="false">E118/$N118</f>
        <v>47793.060133953</v>
      </c>
      <c r="V118" s="36" t="n">
        <f aca="false">C118/N118/J118</f>
        <v>0.0179865583586508</v>
      </c>
      <c r="W118" s="94" t="n">
        <f aca="false">D118/N118/J118</f>
        <v>0.00676001005275298</v>
      </c>
      <c r="X118" s="36" t="n">
        <f aca="false">E118/N118/J118</f>
        <v>0.150228865525494</v>
      </c>
      <c r="Y118" s="36" t="n">
        <f aca="false">SUM(C118:E118)/N118/J118</f>
        <v>0.174975433936898</v>
      </c>
      <c r="Z118" s="36" t="n">
        <f aca="false">(K118/N118)/J118</f>
        <v>0.4764403383971</v>
      </c>
      <c r="AA118" s="113"/>
      <c r="AB118" s="40" t="n">
        <f aca="false">C118/F118</f>
        <v>18.9514429312581</v>
      </c>
      <c r="AC118" s="40" t="n">
        <f aca="false">D118/G118</f>
        <v>29.8049525101764</v>
      </c>
      <c r="AD118" s="40" t="n">
        <f aca="false">E118/H118</f>
        <v>2.52392745566153</v>
      </c>
      <c r="AE118" s="41" t="n">
        <f aca="false">E118/(H118-I118)</f>
        <v>4.38628700560911</v>
      </c>
      <c r="AF118" s="114" t="n">
        <f aca="false">AB118/$N118</f>
        <v>0.463858117982278</v>
      </c>
      <c r="AG118" s="114" t="n">
        <f aca="false">AC118/$N118</f>
        <v>0.729510107914711</v>
      </c>
      <c r="AH118" s="114" t="n">
        <f aca="false">AD118/$N118</f>
        <v>0.0617759947753612</v>
      </c>
      <c r="AI118" s="114" t="n">
        <f aca="false">AE118/$N118</f>
        <v>0.107359362700352</v>
      </c>
    </row>
    <row r="119" customFormat="false" ht="18.75" hidden="false" customHeight="true" outlineLevel="0" collapsed="false">
      <c r="A119" s="18" t="n">
        <v>2025</v>
      </c>
      <c r="B119" s="18" t="n">
        <v>9</v>
      </c>
      <c r="C119" s="24" t="n">
        <v>236433</v>
      </c>
      <c r="D119" s="24" t="n">
        <f aca="false">2098+65154</f>
        <v>67252</v>
      </c>
      <c r="E119" s="25" t="n">
        <f aca="false">659711+1340459</f>
        <v>2000170</v>
      </c>
      <c r="F119" s="26" t="n">
        <v>12472</v>
      </c>
      <c r="G119" s="26" t="n">
        <f aca="false">2180+17</f>
        <v>2197</v>
      </c>
      <c r="H119" s="27" t="n">
        <f aca="false">269169+461356</f>
        <v>730525</v>
      </c>
      <c r="I119" s="27" t="n">
        <f aca="false">117243+148608</f>
        <v>265851</v>
      </c>
      <c r="J119" s="31" t="n">
        <v>348845</v>
      </c>
      <c r="K119" s="24" t="n">
        <v>5764106</v>
      </c>
      <c r="L119" s="32" t="n">
        <v>119</v>
      </c>
      <c r="M119" s="92" t="n">
        <f aca="false">J119/L119</f>
        <v>2931.47058823529</v>
      </c>
      <c r="N119" s="93" t="n">
        <f aca="false">'$'!C166</f>
        <v>41.347521</v>
      </c>
      <c r="O119" s="116" t="n">
        <f aca="false">F119/(J119+'UT3b (1278)'!I63)</f>
        <v>0.0357522681993435</v>
      </c>
      <c r="P119" s="116" t="n">
        <f aca="false">G119/(J119+'UT3b (1278)'!I63)</f>
        <v>0.00629792601298571</v>
      </c>
      <c r="Q119" s="117" t="n">
        <f aca="false">(H119+'UT3b (1278)'!H63)/(J119+'UT3b (1278)'!I63)</f>
        <v>2.09412489787728</v>
      </c>
      <c r="R119" s="35" t="n">
        <f aca="false">SUM(C119:E119)/N119</f>
        <v>55719.3017690226</v>
      </c>
      <c r="S119" s="35" t="n">
        <f aca="false">C119/$N119</f>
        <v>5718.19045693211</v>
      </c>
      <c r="T119" s="35" t="n">
        <f aca="false">D119/$N119</f>
        <v>1626.50621786975</v>
      </c>
      <c r="U119" s="35" t="n">
        <f aca="false">E119/$N119</f>
        <v>48374.6050942208</v>
      </c>
      <c r="V119" s="36" t="n">
        <f aca="false">C119/N119/J119</f>
        <v>0.0163917798934544</v>
      </c>
      <c r="W119" s="94" t="n">
        <f aca="false">D119/N119/J119</f>
        <v>0.00466254702767633</v>
      </c>
      <c r="X119" s="36" t="n">
        <f aca="false">E119/N119/J119</f>
        <v>0.138670770956215</v>
      </c>
      <c r="Y119" s="36" t="n">
        <f aca="false">SUM(C119:E119)/N119/J119</f>
        <v>0.159725097877346</v>
      </c>
      <c r="Z119" s="36" t="n">
        <f aca="false">(K119/N119)/J119</f>
        <v>0.399622543530472</v>
      </c>
      <c r="AA119" s="113"/>
      <c r="AB119" s="40" t="n">
        <f aca="false">C119/F119</f>
        <v>18.9571039127646</v>
      </c>
      <c r="AC119" s="40" t="n">
        <f aca="false">D119/G119</f>
        <v>30.6108329540282</v>
      </c>
      <c r="AD119" s="40" t="n">
        <f aca="false">E119/H119</f>
        <v>2.73798980185483</v>
      </c>
      <c r="AE119" s="41" t="n">
        <f aca="false">E119/(H119-I119)</f>
        <v>4.30445860969196</v>
      </c>
      <c r="AF119" s="114" t="n">
        <f aca="false">AB119/$N119</f>
        <v>0.458482236764922</v>
      </c>
      <c r="AG119" s="114" t="n">
        <f aca="false">AC119/$N119</f>
        <v>0.740330549781406</v>
      </c>
      <c r="AH119" s="114" t="n">
        <f aca="false">AD119/$N119</f>
        <v>0.0662189590968424</v>
      </c>
      <c r="AI119" s="114" t="n">
        <f aca="false">AE119/$N119</f>
        <v>0.104104393820659</v>
      </c>
    </row>
    <row r="120" customFormat="false" ht="18.75" hidden="false" customHeight="true" outlineLevel="0" collapsed="false">
      <c r="A120" s="18" t="n">
        <v>2025</v>
      </c>
      <c r="B120" s="18" t="n">
        <v>10</v>
      </c>
      <c r="C120" s="24" t="n">
        <v>257762</v>
      </c>
      <c r="D120" s="24" t="n">
        <f aca="false">21624</f>
        <v>21624</v>
      </c>
      <c r="E120" s="25" t="n">
        <f aca="false">541470+1020034</f>
        <v>1561504</v>
      </c>
      <c r="F120" s="26" t="n">
        <v>13594</v>
      </c>
      <c r="G120" s="26" t="n">
        <f aca="false">237</f>
        <v>237</v>
      </c>
      <c r="H120" s="27" t="n">
        <f aca="false">224350+368221</f>
        <v>592571</v>
      </c>
      <c r="I120" s="27" t="n">
        <f aca="false">104392+139859</f>
        <v>244251</v>
      </c>
      <c r="J120" s="31" t="n">
        <v>325825</v>
      </c>
      <c r="K120" s="24" t="n">
        <v>6255855</v>
      </c>
      <c r="L120" s="32" t="n">
        <v>115</v>
      </c>
      <c r="M120" s="92" t="n">
        <f aca="false">J120/L120</f>
        <v>2833.26086956522</v>
      </c>
      <c r="N120" s="93" t="n">
        <f aca="false">'$'!C167</f>
        <v>41.847826</v>
      </c>
      <c r="O120" s="116" t="n">
        <f aca="false">F120/(J120+'UT3b (1278)'!I64)</f>
        <v>0.0417217831658099</v>
      </c>
      <c r="P120" s="116" t="n">
        <f aca="false">G120/(J120+'UT3b (1278)'!I64)</f>
        <v>0.000727384332080104</v>
      </c>
      <c r="Q120" s="117" t="n">
        <f aca="false">(H120+'UT3b (1278)'!H64)/(J120+'UT3b (1278)'!I64)</f>
        <v>1.81867873858666</v>
      </c>
      <c r="R120" s="35" t="n">
        <f aca="false">SUM(C120:E120)/N120</f>
        <v>43990.0987927067</v>
      </c>
      <c r="S120" s="35" t="n">
        <f aca="false">C120/$N120</f>
        <v>6159.50754526651</v>
      </c>
      <c r="T120" s="35" t="n">
        <f aca="false">D120/$N120</f>
        <v>516.729351723074</v>
      </c>
      <c r="U120" s="35" t="n">
        <f aca="false">E120/$N120</f>
        <v>37313.8618957171</v>
      </c>
      <c r="V120" s="36" t="n">
        <f aca="false">C120/N120/J120</f>
        <v>0.018904342960996</v>
      </c>
      <c r="W120" s="94" t="n">
        <f aca="false">D120/N120/J120</f>
        <v>0.00158591069354124</v>
      </c>
      <c r="X120" s="36" t="n">
        <f aca="false">E120/N120/J120</f>
        <v>0.114521175157576</v>
      </c>
      <c r="Y120" s="36" t="n">
        <f aca="false">SUM(C120:E120)/N120/J120</f>
        <v>0.135011428812113</v>
      </c>
      <c r="Z120" s="36" t="n">
        <f aca="false">(K120/N120)/J120</f>
        <v>0.458806295863088</v>
      </c>
      <c r="AA120" s="113"/>
      <c r="AB120" s="40" t="n">
        <f aca="false">C120/F120</f>
        <v>18.9614535824629</v>
      </c>
      <c r="AC120" s="40" t="n">
        <f aca="false">D120/G120</f>
        <v>91.2405063291139</v>
      </c>
      <c r="AD120" s="40" t="n">
        <f aca="false">E120/H120</f>
        <v>2.63513401769577</v>
      </c>
      <c r="AE120" s="41" t="n">
        <f aca="false">E120/(H120-I120)</f>
        <v>4.48295819935691</v>
      </c>
      <c r="AF120" s="114" t="n">
        <f aca="false">AB120/$N120</f>
        <v>0.4531048657692</v>
      </c>
      <c r="AG120" s="114" t="n">
        <f aca="false">AC120/$N120</f>
        <v>2.18029262330411</v>
      </c>
      <c r="AH120" s="114" t="n">
        <f aca="false">AD120/$N120</f>
        <v>0.0629694363978614</v>
      </c>
      <c r="AI120" s="114" t="n">
        <f aca="false">AE120/$N120</f>
        <v>0.107125235116322</v>
      </c>
    </row>
    <row r="121" customFormat="false" ht="18.75" hidden="false" customHeight="true" outlineLevel="0" collapsed="false">
      <c r="A121" s="18" t="n">
        <v>2025</v>
      </c>
      <c r="B121" s="18" t="n">
        <v>11</v>
      </c>
      <c r="C121" s="24"/>
      <c r="D121" s="24"/>
      <c r="E121" s="25"/>
      <c r="F121" s="26"/>
      <c r="G121" s="26"/>
      <c r="H121" s="27"/>
      <c r="I121" s="27"/>
      <c r="J121" s="31"/>
      <c r="K121" s="24"/>
      <c r="L121" s="32"/>
      <c r="M121" s="92" t="e">
        <f aca="false">J121/L121</f>
        <v>#DIV/0!</v>
      </c>
      <c r="N121" s="93" t="n">
        <f aca="false">'$'!C168</f>
        <v>43.1816648593448</v>
      </c>
      <c r="O121" s="116" t="e">
        <f aca="false">F121/(J121+'UT3b (1278)'!I65)</f>
        <v>#DIV/0!</v>
      </c>
      <c r="P121" s="116" t="e">
        <f aca="false">G121/(J121+'UT3b (1278)'!I65)</f>
        <v>#DIV/0!</v>
      </c>
      <c r="Q121" s="117" t="e">
        <f aca="false">(H121+'UT3b (1278)'!H65)/(J121+'UT3b (1278)'!I65)</f>
        <v>#DIV/0!</v>
      </c>
      <c r="R121" s="35" t="n">
        <f aca="false">SUM(C121:E121)/N121</f>
        <v>0</v>
      </c>
      <c r="S121" s="35" t="n">
        <f aca="false">C121/$N121</f>
        <v>0</v>
      </c>
      <c r="T121" s="35" t="n">
        <f aca="false">D121/$N121</f>
        <v>0</v>
      </c>
      <c r="U121" s="35" t="n">
        <f aca="false">E121/$N121</f>
        <v>0</v>
      </c>
      <c r="V121" s="36" t="e">
        <f aca="false">C121/N121/J121</f>
        <v>#DIV/0!</v>
      </c>
      <c r="W121" s="94" t="e">
        <f aca="false">D121/N121/J121</f>
        <v>#DIV/0!</v>
      </c>
      <c r="X121" s="36" t="e">
        <f aca="false">E121/N121/J121</f>
        <v>#DIV/0!</v>
      </c>
      <c r="Y121" s="36" t="e">
        <f aca="false">SUM(C121:E121)/N121/J121</f>
        <v>#DIV/0!</v>
      </c>
      <c r="Z121" s="36" t="e">
        <f aca="false">(K121/N121)/J121</f>
        <v>#DIV/0!</v>
      </c>
      <c r="AA121" s="113"/>
      <c r="AB121" s="40" t="e">
        <f aca="false">C121/F121</f>
        <v>#DIV/0!</v>
      </c>
      <c r="AC121" s="40" t="e">
        <f aca="false">D121/G121</f>
        <v>#DIV/0!</v>
      </c>
      <c r="AD121" s="40" t="e">
        <f aca="false">E121/H121</f>
        <v>#DIV/0!</v>
      </c>
      <c r="AE121" s="41" t="e">
        <f aca="false">E121/(H121-I121)</f>
        <v>#DIV/0!</v>
      </c>
      <c r="AF121" s="114" t="e">
        <f aca="false">AB121/$N121</f>
        <v>#DIV/0!</v>
      </c>
      <c r="AG121" s="114" t="e">
        <f aca="false">AC121/$N121</f>
        <v>#DIV/0!</v>
      </c>
      <c r="AH121" s="114" t="e">
        <f aca="false">AD121/$N121</f>
        <v>#DIV/0!</v>
      </c>
      <c r="AI121" s="114" t="e">
        <f aca="false">AE121/$N121</f>
        <v>#DIV/0!</v>
      </c>
    </row>
    <row r="122" customFormat="false" ht="18.75" hidden="false" customHeight="true" outlineLevel="0" collapsed="false">
      <c r="A122" s="18" t="n">
        <v>2025</v>
      </c>
      <c r="B122" s="18" t="n">
        <v>12</v>
      </c>
      <c r="C122" s="24"/>
      <c r="D122" s="24"/>
      <c r="E122" s="25"/>
      <c r="F122" s="26"/>
      <c r="G122" s="26"/>
      <c r="H122" s="27"/>
      <c r="I122" s="27"/>
      <c r="J122" s="31"/>
      <c r="K122" s="24"/>
      <c r="L122" s="32"/>
      <c r="M122" s="92" t="e">
        <f aca="false">J122/L122</f>
        <v>#DIV/0!</v>
      </c>
      <c r="N122" s="93" t="n">
        <f aca="false">'$'!C169</f>
        <v>45.2043004238843</v>
      </c>
      <c r="O122" s="116" t="e">
        <f aca="false">F122/(J122+'UT3b (1278)'!I66)</f>
        <v>#DIV/0!</v>
      </c>
      <c r="P122" s="116" t="e">
        <f aca="false">G122/(J122+'UT3b (1278)'!I66)</f>
        <v>#DIV/0!</v>
      </c>
      <c r="Q122" s="117" t="e">
        <f aca="false">(H122+'UT3b (1278)'!H66)/(J122+'UT3b (1278)'!I66)</f>
        <v>#DIV/0!</v>
      </c>
      <c r="R122" s="35" t="n">
        <f aca="false">SUM(C122:E122)/N122</f>
        <v>0</v>
      </c>
      <c r="S122" s="35" t="n">
        <f aca="false">C122/$N122</f>
        <v>0</v>
      </c>
      <c r="T122" s="35" t="n">
        <f aca="false">D122/$N122</f>
        <v>0</v>
      </c>
      <c r="U122" s="35" t="n">
        <f aca="false">E122/$N122</f>
        <v>0</v>
      </c>
      <c r="V122" s="36" t="e">
        <f aca="false">C122/N122/J122</f>
        <v>#DIV/0!</v>
      </c>
      <c r="W122" s="94" t="e">
        <f aca="false">D122/N122/J122</f>
        <v>#DIV/0!</v>
      </c>
      <c r="X122" s="36" t="e">
        <f aca="false">E122/N122/J122</f>
        <v>#DIV/0!</v>
      </c>
      <c r="Y122" s="36" t="e">
        <f aca="false">SUM(C122:E122)/N122/J122</f>
        <v>#DIV/0!</v>
      </c>
      <c r="Z122" s="36" t="e">
        <f aca="false">(K122/N122)/J122</f>
        <v>#DIV/0!</v>
      </c>
      <c r="AA122" s="113"/>
      <c r="AB122" s="40" t="e">
        <f aca="false">C122/F122</f>
        <v>#DIV/0!</v>
      </c>
      <c r="AC122" s="40" t="e">
        <f aca="false">D122/G122</f>
        <v>#DIV/0!</v>
      </c>
      <c r="AD122" s="40" t="e">
        <f aca="false">E122/H122</f>
        <v>#DIV/0!</v>
      </c>
      <c r="AE122" s="41" t="e">
        <f aca="false">E122/(H122-I122)</f>
        <v>#DIV/0!</v>
      </c>
      <c r="AF122" s="114" t="e">
        <f aca="false">AB122/$N122</f>
        <v>#DIV/0!</v>
      </c>
      <c r="AG122" s="114" t="e">
        <f aca="false">AC122/$N122</f>
        <v>#DIV/0!</v>
      </c>
      <c r="AH122" s="114" t="e">
        <f aca="false">AD122/$N122</f>
        <v>#DIV/0!</v>
      </c>
      <c r="AI122" s="114" t="e">
        <f aca="false">AE122/$N122</f>
        <v>#DIV/0!</v>
      </c>
    </row>
  </sheetData>
  <mergeCells count="13">
    <mergeCell ref="A1:A2"/>
    <mergeCell ref="B1:B2"/>
    <mergeCell ref="C1:E1"/>
    <mergeCell ref="F1:H1"/>
    <mergeCell ref="J1:J2"/>
    <mergeCell ref="K1:K2"/>
    <mergeCell ref="L1:L2"/>
    <mergeCell ref="M1:M2"/>
    <mergeCell ref="N1:N2"/>
    <mergeCell ref="O1:Q1"/>
    <mergeCell ref="V1:Z1"/>
    <mergeCell ref="AB1:AE1"/>
    <mergeCell ref="AF1:AI1"/>
  </mergeCells>
  <hyperlinks>
    <hyperlink ref="I1" r:id="rId2" display="GES Üretim"/>
    <hyperlink ref="J1" r:id="rId3" display="∑ Paket. Miktarı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&amp;LFANTAZİ İPLİK (TEKSTÜRİZE + KROŞE)</oddHeader>
    <oddFooter>&amp;CPage &amp;P of</oddFooter>
  </headerFooter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0000FF"/>
    <pageSetUpPr fitToPage="false"/>
  </sheetPr>
  <dimension ref="A1:BJ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8" min="3" style="0" width="11.56"/>
    <col collapsed="false" customWidth="true" hidden="false" outlineLevel="0" max="9" min="9" style="0" width="17.99"/>
    <col collapsed="false" customWidth="true" hidden="false" outlineLevel="0" max="11" min="10" style="0" width="7.29"/>
    <col collapsed="false" customWidth="true" hidden="false" outlineLevel="0" max="13" min="13" style="0" width="13"/>
    <col collapsed="false" customWidth="true" hidden="true" outlineLevel="0" max="14" min="14" style="0" width="13"/>
    <col collapsed="false" customWidth="true" hidden="false" outlineLevel="0" max="15" min="15" style="0" width="13"/>
    <col collapsed="false" customWidth="true" hidden="false" outlineLevel="0" max="16" min="16" style="0" width="7.29"/>
    <col collapsed="false" customWidth="true" hidden="false" outlineLevel="0" max="21" min="17" style="0" width="11.56"/>
    <col collapsed="false" customWidth="true" hidden="false" outlineLevel="0" max="22" min="22" style="0" width="11.3"/>
    <col collapsed="false" customWidth="true" hidden="false" outlineLevel="0" max="23" min="23" style="0" width="1.57"/>
    <col collapsed="false" customWidth="true" hidden="false" outlineLevel="0" max="27" min="24" style="0" width="7.99"/>
    <col collapsed="false" customWidth="true" hidden="false" outlineLevel="0" max="28" min="28" style="0" width="9.86"/>
    <col collapsed="false" customWidth="true" hidden="false" outlineLevel="0" max="29" min="29" style="0" width="11.3"/>
    <col collapsed="false" customWidth="true" hidden="false" outlineLevel="0" max="36" min="30" style="0" width="7.99"/>
    <col collapsed="false" customWidth="true" hidden="false" outlineLevel="0" max="37" min="37" style="0" width="9.86"/>
    <col collapsed="false" customWidth="true" hidden="false" outlineLevel="0" max="38" min="38" style="0" width="11.3"/>
    <col collapsed="false" customWidth="true" hidden="false" outlineLevel="0" max="48" min="39" style="0" width="7.99"/>
    <col collapsed="false" customWidth="true" hidden="false" outlineLevel="0" max="49" min="49" style="0" width="9.86"/>
    <col collapsed="false" customWidth="true" hidden="false" outlineLevel="0" max="50" min="50" style="0" width="11.3"/>
    <col collapsed="false" customWidth="true" hidden="false" outlineLevel="0" max="62" min="51" style="0" width="7.99"/>
  </cols>
  <sheetData>
    <row r="1" customFormat="false" ht="18.75" hidden="false" customHeight="true" outlineLevel="0" collapsed="false">
      <c r="A1" s="1" t="s">
        <v>0</v>
      </c>
      <c r="B1" s="1" t="s">
        <v>1</v>
      </c>
      <c r="C1" s="80" t="s">
        <v>62</v>
      </c>
      <c r="D1" s="80"/>
      <c r="E1" s="80"/>
      <c r="F1" s="80"/>
      <c r="G1" s="17"/>
      <c r="H1" s="17"/>
      <c r="I1" s="122" t="s">
        <v>63</v>
      </c>
      <c r="J1" s="123" t="s">
        <v>64</v>
      </c>
      <c r="K1" s="124" t="s">
        <v>65</v>
      </c>
      <c r="L1" s="125" t="s">
        <v>66</v>
      </c>
      <c r="M1" s="126" t="s">
        <v>67</v>
      </c>
      <c r="N1" s="5" t="s">
        <v>68</v>
      </c>
      <c r="O1" s="7" t="s">
        <v>9</v>
      </c>
      <c r="P1" s="127" t="s">
        <v>16</v>
      </c>
      <c r="Q1" s="128" t="s">
        <v>69</v>
      </c>
      <c r="R1" s="128"/>
      <c r="S1" s="128"/>
      <c r="T1" s="129" t="s">
        <v>70</v>
      </c>
      <c r="U1" s="129" t="s">
        <v>71</v>
      </c>
      <c r="V1" s="129" t="s">
        <v>72</v>
      </c>
      <c r="W1" s="130"/>
      <c r="X1" s="131" t="s">
        <v>73</v>
      </c>
      <c r="Y1" s="131"/>
      <c r="Z1" s="131"/>
      <c r="AA1" s="131"/>
      <c r="AB1" s="131"/>
      <c r="AC1" s="131"/>
      <c r="AD1" s="131"/>
      <c r="AE1" s="131"/>
      <c r="AF1" s="132" t="s">
        <v>74</v>
      </c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3" t="s">
        <v>75</v>
      </c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 t="s">
        <v>76</v>
      </c>
      <c r="BG1" s="133"/>
      <c r="BH1" s="133"/>
      <c r="BI1" s="133"/>
      <c r="BJ1" s="133"/>
    </row>
    <row r="2" customFormat="false" ht="24" hidden="false" customHeight="true" outlineLevel="0" collapsed="false">
      <c r="A2" s="1"/>
      <c r="B2" s="1"/>
      <c r="C2" s="17" t="s">
        <v>77</v>
      </c>
      <c r="D2" s="17" t="s">
        <v>78</v>
      </c>
      <c r="E2" s="17" t="s">
        <v>79</v>
      </c>
      <c r="F2" s="17" t="s">
        <v>80</v>
      </c>
      <c r="G2" s="17" t="s">
        <v>81</v>
      </c>
      <c r="H2" s="17" t="s">
        <v>82</v>
      </c>
      <c r="I2" s="122"/>
      <c r="J2" s="123"/>
      <c r="K2" s="123"/>
      <c r="L2" s="125"/>
      <c r="M2" s="126"/>
      <c r="N2" s="126"/>
      <c r="O2" s="7"/>
      <c r="P2" s="127"/>
      <c r="Q2" s="134" t="s">
        <v>29</v>
      </c>
      <c r="R2" s="134" t="s">
        <v>53</v>
      </c>
      <c r="S2" s="135" t="s">
        <v>83</v>
      </c>
      <c r="T2" s="129"/>
      <c r="U2" s="129"/>
      <c r="V2" s="129"/>
      <c r="W2" s="136"/>
      <c r="X2" s="18" t="n">
        <v>1</v>
      </c>
      <c r="Y2" s="18" t="n">
        <v>2</v>
      </c>
      <c r="Z2" s="18" t="s">
        <v>84</v>
      </c>
      <c r="AA2" s="18" t="n">
        <v>4</v>
      </c>
      <c r="AB2" s="137" t="s">
        <v>85</v>
      </c>
      <c r="AC2" s="138" t="s">
        <v>86</v>
      </c>
      <c r="AD2" s="139" t="s">
        <v>87</v>
      </c>
      <c r="AE2" s="137" t="s">
        <v>88</v>
      </c>
      <c r="AF2" s="51" t="n">
        <v>1</v>
      </c>
      <c r="AG2" s="18" t="n">
        <v>2</v>
      </c>
      <c r="AH2" s="18" t="s">
        <v>84</v>
      </c>
      <c r="AI2" s="18" t="s">
        <v>89</v>
      </c>
      <c r="AJ2" s="18" t="n">
        <v>4</v>
      </c>
      <c r="AK2" s="137" t="s">
        <v>85</v>
      </c>
      <c r="AL2" s="138" t="s">
        <v>86</v>
      </c>
      <c r="AM2" s="139" t="s">
        <v>90</v>
      </c>
      <c r="AN2" s="139" t="s">
        <v>91</v>
      </c>
      <c r="AO2" s="140" t="s">
        <v>92</v>
      </c>
      <c r="AP2" s="137" t="s">
        <v>93</v>
      </c>
      <c r="AQ2" s="51" t="n">
        <v>1</v>
      </c>
      <c r="AR2" s="18" t="n">
        <v>2</v>
      </c>
      <c r="AS2" s="18" t="s">
        <v>84</v>
      </c>
      <c r="AT2" s="18" t="s">
        <v>89</v>
      </c>
      <c r="AU2" s="18" t="n">
        <v>4</v>
      </c>
      <c r="AV2" s="18" t="s">
        <v>94</v>
      </c>
      <c r="AW2" s="137" t="s">
        <v>85</v>
      </c>
      <c r="AX2" s="137" t="s">
        <v>86</v>
      </c>
      <c r="AY2" s="139" t="s">
        <v>95</v>
      </c>
      <c r="AZ2" s="141" t="s">
        <v>96</v>
      </c>
      <c r="BA2" s="137" t="n">
        <v>1</v>
      </c>
      <c r="BB2" s="137" t="n">
        <v>2</v>
      </c>
      <c r="BC2" s="137" t="n">
        <v>3</v>
      </c>
      <c r="BD2" s="137" t="n">
        <v>4</v>
      </c>
      <c r="BE2" s="137" t="s">
        <v>97</v>
      </c>
      <c r="BF2" s="51" t="n">
        <v>1</v>
      </c>
      <c r="BG2" s="18" t="n">
        <v>2</v>
      </c>
      <c r="BH2" s="18" t="s">
        <v>98</v>
      </c>
      <c r="BI2" s="18" t="n">
        <v>4</v>
      </c>
      <c r="BJ2" s="18" t="s">
        <v>99</v>
      </c>
    </row>
    <row r="3" customFormat="false" ht="18.75" hidden="false" customHeight="true" outlineLevel="0" collapsed="false">
      <c r="A3" s="18" t="n">
        <v>2014</v>
      </c>
      <c r="B3" s="18" t="n">
        <v>1</v>
      </c>
      <c r="C3" s="24"/>
      <c r="D3" s="24"/>
      <c r="E3" s="24"/>
      <c r="F3" s="24"/>
      <c r="G3" s="24"/>
      <c r="H3" s="24"/>
      <c r="I3" s="142" t="n">
        <v>550</v>
      </c>
      <c r="J3" s="143"/>
      <c r="K3" s="144"/>
      <c r="L3" s="25" t="n">
        <v>943726</v>
      </c>
      <c r="M3" s="63" t="n">
        <v>379359.66</v>
      </c>
      <c r="N3" s="29" t="n">
        <v>503486.1</v>
      </c>
      <c r="O3" s="29" t="n">
        <v>793199.9</v>
      </c>
      <c r="P3" s="145" t="n">
        <f aca="false">'$'!C26</f>
        <v>2.221045</v>
      </c>
      <c r="Q3" s="35"/>
      <c r="R3" s="35" t="n">
        <f aca="false">100*(L3/P3)/M3</f>
        <v>112.005001197061</v>
      </c>
      <c r="S3" s="146"/>
      <c r="T3" s="35"/>
      <c r="U3" s="29" t="n">
        <f aca="false">O3/I3</f>
        <v>1442.18163636364</v>
      </c>
      <c r="V3" s="29" t="n">
        <f aca="false">M3/I3</f>
        <v>689.744836363636</v>
      </c>
      <c r="W3" s="147"/>
      <c r="X3" s="143" t="n">
        <f aca="false">'UT1 (1273)'!F39</f>
        <v>145686.88</v>
      </c>
      <c r="Y3" s="143"/>
      <c r="Z3" s="143"/>
      <c r="AA3" s="143"/>
      <c r="AB3" s="148"/>
      <c r="AC3" s="149" t="n">
        <f aca="false">AB3/P3</f>
        <v>0</v>
      </c>
      <c r="AD3" s="150"/>
      <c r="AE3" s="148" t="n">
        <f aca="false">1000*SUM(X3:AA3)/O3</f>
        <v>183.669816398111</v>
      </c>
      <c r="AF3" s="151" t="n">
        <f aca="false">'UT1 (1273)'!G39</f>
        <v>21325</v>
      </c>
      <c r="AG3" s="143"/>
      <c r="AH3" s="143"/>
      <c r="AI3" s="143"/>
      <c r="AJ3" s="143"/>
      <c r="AK3" s="152"/>
      <c r="AL3" s="149" t="n">
        <f aca="false">AK3/P3</f>
        <v>0</v>
      </c>
      <c r="AM3" s="153"/>
      <c r="AN3" s="150" t="n">
        <f aca="false">AL3/SUM($AF$144:$AJ$144)</f>
        <v>0</v>
      </c>
      <c r="AO3" s="152"/>
      <c r="AP3" s="148" t="n">
        <f aca="false">1000*SUM(AF3:AJ3)/O3</f>
        <v>26.8847739390789</v>
      </c>
      <c r="AQ3" s="151" t="n">
        <f aca="false">'UT1 (1273)'!I39</f>
        <v>243129.6</v>
      </c>
      <c r="AR3" s="143"/>
      <c r="AS3" s="143"/>
      <c r="AT3" s="143"/>
      <c r="AU3" s="143"/>
      <c r="AV3" s="143"/>
      <c r="AW3" s="148"/>
      <c r="AX3" s="149" t="n">
        <f aca="false">AW3/P3</f>
        <v>0</v>
      </c>
      <c r="AY3" s="149"/>
      <c r="AZ3" s="148"/>
      <c r="BA3" s="148"/>
      <c r="BB3" s="148"/>
      <c r="BC3" s="148"/>
      <c r="BD3" s="148"/>
      <c r="BE3" s="148" t="n">
        <f aca="false">1000*SUM(AQ3:AV3)/O3</f>
        <v>306.517436525143</v>
      </c>
      <c r="BF3" s="151"/>
      <c r="BG3" s="143"/>
      <c r="BH3" s="143"/>
      <c r="BI3" s="143"/>
      <c r="BJ3" s="143"/>
    </row>
    <row r="4" customFormat="false" ht="18.75" hidden="false" customHeight="true" outlineLevel="0" collapsed="false">
      <c r="A4" s="18" t="n">
        <v>2014</v>
      </c>
      <c r="B4" s="18" t="n">
        <v>2</v>
      </c>
      <c r="C4" s="24"/>
      <c r="D4" s="24"/>
      <c r="E4" s="24"/>
      <c r="F4" s="24"/>
      <c r="G4" s="24"/>
      <c r="H4" s="24"/>
      <c r="I4" s="142" t="n">
        <v>591</v>
      </c>
      <c r="J4" s="143"/>
      <c r="K4" s="144"/>
      <c r="L4" s="25" t="n">
        <v>948342</v>
      </c>
      <c r="M4" s="63" t="n">
        <v>400057.9</v>
      </c>
      <c r="N4" s="29" t="n">
        <v>461672.64</v>
      </c>
      <c r="O4" s="29" t="n">
        <v>760344.17</v>
      </c>
      <c r="P4" s="145" t="n">
        <f aca="false">'$'!C27</f>
        <v>2.206518</v>
      </c>
      <c r="Q4" s="35"/>
      <c r="R4" s="35" t="n">
        <f aca="false">100*(L4/P4)/M4</f>
        <v>107.432247024817</v>
      </c>
      <c r="S4" s="146"/>
      <c r="T4" s="35"/>
      <c r="U4" s="29" t="n">
        <f aca="false">O4/I4</f>
        <v>1286.53835871404</v>
      </c>
      <c r="V4" s="29" t="n">
        <f aca="false">M4/I4</f>
        <v>676.916920473773</v>
      </c>
      <c r="W4" s="147"/>
      <c r="X4" s="143" t="n">
        <f aca="false">'UT1 (1273)'!F40</f>
        <v>126844.32</v>
      </c>
      <c r="Y4" s="143"/>
      <c r="Z4" s="143"/>
      <c r="AA4" s="143"/>
      <c r="AB4" s="148"/>
      <c r="AC4" s="149" t="n">
        <f aca="false">AB4/P4</f>
        <v>0</v>
      </c>
      <c r="AD4" s="150"/>
      <c r="AE4" s="148" t="n">
        <f aca="false">1000*SUM(X4:AA4)/O4</f>
        <v>166.824873530628</v>
      </c>
      <c r="AF4" s="151" t="n">
        <f aca="false">'UT1 (1273)'!G40</f>
        <v>20381</v>
      </c>
      <c r="AG4" s="143"/>
      <c r="AH4" s="143"/>
      <c r="AI4" s="143"/>
      <c r="AJ4" s="143"/>
      <c r="AK4" s="152"/>
      <c r="AL4" s="149" t="n">
        <f aca="false">AK4/P4</f>
        <v>0</v>
      </c>
      <c r="AM4" s="153"/>
      <c r="AN4" s="150" t="n">
        <f aca="false">AL4/SUM($AF$144:$AJ$144)</f>
        <v>0</v>
      </c>
      <c r="AO4" s="152"/>
      <c r="AP4" s="148" t="n">
        <f aca="false">1000*SUM(AF4:AJ4)/O4</f>
        <v>26.8049664930028</v>
      </c>
      <c r="AQ4" s="151" t="n">
        <f aca="false">'UT1 (1273)'!I40</f>
        <v>239274</v>
      </c>
      <c r="AR4" s="143"/>
      <c r="AS4" s="143"/>
      <c r="AT4" s="143"/>
      <c r="AU4" s="143"/>
      <c r="AV4" s="143"/>
      <c r="AW4" s="148"/>
      <c r="AX4" s="149" t="n">
        <f aca="false">AW4/P4</f>
        <v>0</v>
      </c>
      <c r="AY4" s="149"/>
      <c r="AZ4" s="148"/>
      <c r="BA4" s="148"/>
      <c r="BB4" s="148"/>
      <c r="BC4" s="148"/>
      <c r="BD4" s="148"/>
      <c r="BE4" s="148" t="n">
        <f aca="false">1000*SUM(AQ4:AV4)/O4</f>
        <v>314.691700733367</v>
      </c>
      <c r="BF4" s="151"/>
      <c r="BG4" s="143"/>
      <c r="BH4" s="143"/>
      <c r="BI4" s="143"/>
      <c r="BJ4" s="143"/>
    </row>
    <row r="5" customFormat="false" ht="18.75" hidden="false" customHeight="true" outlineLevel="0" collapsed="false">
      <c r="A5" s="18" t="n">
        <v>2014</v>
      </c>
      <c r="B5" s="18" t="n">
        <v>3</v>
      </c>
      <c r="C5" s="24"/>
      <c r="D5" s="24"/>
      <c r="E5" s="24"/>
      <c r="F5" s="24"/>
      <c r="G5" s="24"/>
      <c r="H5" s="24"/>
      <c r="I5" s="142" t="n">
        <v>585</v>
      </c>
      <c r="J5" s="143"/>
      <c r="K5" s="144"/>
      <c r="L5" s="25" t="n">
        <v>1000239</v>
      </c>
      <c r="M5" s="63" t="n">
        <v>379045.83</v>
      </c>
      <c r="N5" s="29" t="n">
        <v>482120.92</v>
      </c>
      <c r="O5" s="29" t="n">
        <v>845879.23</v>
      </c>
      <c r="P5" s="145" t="n">
        <f aca="false">'$'!C28</f>
        <v>2.21216</v>
      </c>
      <c r="Q5" s="35"/>
      <c r="R5" s="35" t="n">
        <f aca="false">100*(L5/P5)/M5</f>
        <v>119.287661711198</v>
      </c>
      <c r="S5" s="146"/>
      <c r="T5" s="35"/>
      <c r="U5" s="29" t="n">
        <f aca="false">O5/I5</f>
        <v>1445.9474017094</v>
      </c>
      <c r="V5" s="29" t="n">
        <f aca="false">M5/I5</f>
        <v>647.94158974359</v>
      </c>
      <c r="W5" s="147"/>
      <c r="X5" s="143" t="n">
        <f aca="false">'UT1 (1273)'!F41</f>
        <v>120500.87</v>
      </c>
      <c r="Y5" s="143"/>
      <c r="Z5" s="143"/>
      <c r="AA5" s="143"/>
      <c r="AB5" s="148"/>
      <c r="AC5" s="149" t="n">
        <f aca="false">AB5/P5</f>
        <v>0</v>
      </c>
      <c r="AD5" s="150"/>
      <c r="AE5" s="148" t="n">
        <f aca="false">1000*SUM(X5:AA5)/O5</f>
        <v>142.456352782181</v>
      </c>
      <c r="AF5" s="151" t="n">
        <f aca="false">'UT1 (1273)'!G41</f>
        <v>21316</v>
      </c>
      <c r="AG5" s="143"/>
      <c r="AH5" s="143"/>
      <c r="AI5" s="143"/>
      <c r="AJ5" s="143"/>
      <c r="AK5" s="152"/>
      <c r="AL5" s="149" t="n">
        <f aca="false">AK5/P5</f>
        <v>0</v>
      </c>
      <c r="AM5" s="153"/>
      <c r="AN5" s="150" t="n">
        <f aca="false">AL5/SUM($AF$144:$AJ$144)</f>
        <v>0</v>
      </c>
      <c r="AO5" s="152"/>
      <c r="AP5" s="148" t="n">
        <f aca="false">1000*SUM(AF5:AJ5)/O5</f>
        <v>25.1998148719174</v>
      </c>
      <c r="AQ5" s="151" t="n">
        <f aca="false">'UT1 (1273)'!I41</f>
        <v>249382.8</v>
      </c>
      <c r="AR5" s="143"/>
      <c r="AS5" s="143"/>
      <c r="AT5" s="143"/>
      <c r="AU5" s="143"/>
      <c r="AV5" s="143"/>
      <c r="AW5" s="148"/>
      <c r="AX5" s="149" t="n">
        <f aca="false">AW5/P5</f>
        <v>0</v>
      </c>
      <c r="AY5" s="149"/>
      <c r="AZ5" s="148"/>
      <c r="BA5" s="148"/>
      <c r="BB5" s="148"/>
      <c r="BC5" s="148"/>
      <c r="BD5" s="148"/>
      <c r="BE5" s="148" t="n">
        <f aca="false">1000*SUM(AQ5:AV5)/O5</f>
        <v>294.820810294633</v>
      </c>
      <c r="BF5" s="151"/>
      <c r="BG5" s="143"/>
      <c r="BH5" s="143"/>
      <c r="BI5" s="143"/>
      <c r="BJ5" s="143"/>
    </row>
    <row r="6" customFormat="false" ht="18.75" hidden="false" customHeight="true" outlineLevel="0" collapsed="false">
      <c r="A6" s="18" t="n">
        <v>2014</v>
      </c>
      <c r="B6" s="18" t="n">
        <v>4</v>
      </c>
      <c r="C6" s="24"/>
      <c r="D6" s="24"/>
      <c r="E6" s="24"/>
      <c r="F6" s="24"/>
      <c r="G6" s="24"/>
      <c r="H6" s="24"/>
      <c r="I6" s="142" t="n">
        <v>590</v>
      </c>
      <c r="J6" s="143"/>
      <c r="K6" s="144"/>
      <c r="L6" s="25" t="n">
        <v>975004</v>
      </c>
      <c r="M6" s="63" t="n">
        <v>297247.9</v>
      </c>
      <c r="N6" s="29" t="n">
        <v>398529.42</v>
      </c>
      <c r="O6" s="29" t="n">
        <v>725927.27</v>
      </c>
      <c r="P6" s="145" t="n">
        <f aca="false">'$'!C29</f>
        <v>2.124484</v>
      </c>
      <c r="Q6" s="35"/>
      <c r="R6" s="35" t="n">
        <f aca="false">100*(L6/P6)/M6</f>
        <v>154.395322029522</v>
      </c>
      <c r="S6" s="146"/>
      <c r="T6" s="35"/>
      <c r="U6" s="29" t="n">
        <f aca="false">O6/I6</f>
        <v>1230.38520338983</v>
      </c>
      <c r="V6" s="29" t="n">
        <f aca="false">M6/I6</f>
        <v>503.81</v>
      </c>
      <c r="W6" s="147"/>
      <c r="X6" s="143" t="n">
        <f aca="false">'UT1 (1273)'!F42</f>
        <v>105282.33</v>
      </c>
      <c r="Y6" s="143"/>
      <c r="Z6" s="143"/>
      <c r="AA6" s="143"/>
      <c r="AB6" s="148"/>
      <c r="AC6" s="149" t="n">
        <f aca="false">AB6/P6</f>
        <v>0</v>
      </c>
      <c r="AD6" s="150"/>
      <c r="AE6" s="148" t="n">
        <f aca="false">1000*SUM(X6:AA6)/O6</f>
        <v>145.031512592164</v>
      </c>
      <c r="AF6" s="151" t="n">
        <f aca="false">'UT1 (1273)'!G42</f>
        <v>19796</v>
      </c>
      <c r="AG6" s="143"/>
      <c r="AH6" s="143"/>
      <c r="AI6" s="143"/>
      <c r="AJ6" s="143"/>
      <c r="AK6" s="152"/>
      <c r="AL6" s="149" t="n">
        <f aca="false">AK6/P6</f>
        <v>0</v>
      </c>
      <c r="AM6" s="153"/>
      <c r="AN6" s="150" t="n">
        <f aca="false">AL6/SUM($AF$144:$AJ$144)</f>
        <v>0</v>
      </c>
      <c r="AO6" s="152"/>
      <c r="AP6" s="148" t="n">
        <f aca="false">1000*SUM(AF6:AJ6)/O6</f>
        <v>27.2699495088537</v>
      </c>
      <c r="AQ6" s="151" t="n">
        <f aca="false">'UT1 (1273)'!I42</f>
        <v>209194.2</v>
      </c>
      <c r="AR6" s="143"/>
      <c r="AS6" s="143"/>
      <c r="AT6" s="143"/>
      <c r="AU6" s="143"/>
      <c r="AV6" s="143"/>
      <c r="AW6" s="148"/>
      <c r="AX6" s="149" t="n">
        <f aca="false">AW6/P6</f>
        <v>0</v>
      </c>
      <c r="AY6" s="149"/>
      <c r="AZ6" s="148"/>
      <c r="BA6" s="148"/>
      <c r="BB6" s="148"/>
      <c r="BC6" s="148"/>
      <c r="BD6" s="148"/>
      <c r="BE6" s="148" t="n">
        <f aca="false">1000*SUM(AQ6:AV6)/O6</f>
        <v>288.175150108357</v>
      </c>
      <c r="BF6" s="151"/>
      <c r="BG6" s="143"/>
      <c r="BH6" s="143"/>
      <c r="BI6" s="143"/>
      <c r="BJ6" s="143"/>
    </row>
    <row r="7" customFormat="false" ht="18.75" hidden="false" customHeight="true" outlineLevel="0" collapsed="false">
      <c r="A7" s="18" t="n">
        <v>2014</v>
      </c>
      <c r="B7" s="18" t="n">
        <v>5</v>
      </c>
      <c r="C7" s="24"/>
      <c r="D7" s="24"/>
      <c r="E7" s="24"/>
      <c r="F7" s="24"/>
      <c r="G7" s="24"/>
      <c r="H7" s="24"/>
      <c r="I7" s="142" t="n">
        <v>562</v>
      </c>
      <c r="J7" s="143"/>
      <c r="K7" s="144"/>
      <c r="L7" s="25" t="n">
        <v>1034873</v>
      </c>
      <c r="M7" s="63" t="n">
        <v>352502.6</v>
      </c>
      <c r="N7" s="29" t="n">
        <v>446422.61</v>
      </c>
      <c r="O7" s="29" t="n">
        <v>748726.53</v>
      </c>
      <c r="P7" s="145" t="n">
        <f aca="false">'$'!C30</f>
        <v>2.090432</v>
      </c>
      <c r="Q7" s="35"/>
      <c r="R7" s="35" t="n">
        <f aca="false">100*(L7/P7)/M7</f>
        <v>140.439309914737</v>
      </c>
      <c r="S7" s="146"/>
      <c r="T7" s="35"/>
      <c r="U7" s="29" t="n">
        <f aca="false">O7/I7</f>
        <v>1332.25361209964</v>
      </c>
      <c r="V7" s="29" t="n">
        <f aca="false">M7/I7</f>
        <v>627.228825622776</v>
      </c>
      <c r="W7" s="147"/>
      <c r="X7" s="143" t="n">
        <f aca="false">'UT1 (1273)'!F43</f>
        <v>105254.28</v>
      </c>
      <c r="Y7" s="143"/>
      <c r="Z7" s="143"/>
      <c r="AA7" s="143"/>
      <c r="AB7" s="148"/>
      <c r="AC7" s="149" t="n">
        <f aca="false">AB7/P7</f>
        <v>0</v>
      </c>
      <c r="AD7" s="150"/>
      <c r="AE7" s="148" t="n">
        <f aca="false">1000*SUM(X7:AA7)/O7</f>
        <v>140.577735371552</v>
      </c>
      <c r="AF7" s="151" t="n">
        <f aca="false">'UT1 (1273)'!G43</f>
        <v>22023</v>
      </c>
      <c r="AG7" s="143"/>
      <c r="AH7" s="143"/>
      <c r="AI7" s="143"/>
      <c r="AJ7" s="143"/>
      <c r="AK7" s="152"/>
      <c r="AL7" s="149" t="n">
        <f aca="false">AK7/P7</f>
        <v>0</v>
      </c>
      <c r="AM7" s="153"/>
      <c r="AN7" s="150" t="n">
        <f aca="false">AL7/SUM($AF$144:$AJ$144)</f>
        <v>0</v>
      </c>
      <c r="AO7" s="152"/>
      <c r="AP7" s="148" t="n">
        <f aca="false">1000*SUM(AF7:AJ7)/O7</f>
        <v>29.4139436998446</v>
      </c>
      <c r="AQ7" s="151" t="n">
        <f aca="false">'UT1 (1273)'!I43</f>
        <v>236331</v>
      </c>
      <c r="AR7" s="143"/>
      <c r="AS7" s="143"/>
      <c r="AT7" s="143"/>
      <c r="AU7" s="143"/>
      <c r="AV7" s="143"/>
      <c r="AW7" s="148"/>
      <c r="AX7" s="149" t="n">
        <f aca="false">AW7/P7</f>
        <v>0</v>
      </c>
      <c r="AY7" s="149"/>
      <c r="AZ7" s="148"/>
      <c r="BA7" s="148"/>
      <c r="BB7" s="148"/>
      <c r="BC7" s="148"/>
      <c r="BD7" s="148"/>
      <c r="BE7" s="148" t="n">
        <f aca="false">1000*SUM(AQ7:AV7)/O7</f>
        <v>315.643950802705</v>
      </c>
      <c r="BF7" s="151"/>
      <c r="BG7" s="143"/>
      <c r="BH7" s="143"/>
      <c r="BI7" s="143"/>
      <c r="BJ7" s="143"/>
    </row>
    <row r="8" customFormat="false" ht="18.75" hidden="false" customHeight="true" outlineLevel="0" collapsed="false">
      <c r="A8" s="18" t="n">
        <v>2014</v>
      </c>
      <c r="B8" s="18" t="n">
        <v>6</v>
      </c>
      <c r="C8" s="24"/>
      <c r="D8" s="24"/>
      <c r="E8" s="24"/>
      <c r="F8" s="24"/>
      <c r="G8" s="24"/>
      <c r="H8" s="24"/>
      <c r="I8" s="142" t="n">
        <v>573</v>
      </c>
      <c r="J8" s="143"/>
      <c r="K8" s="144"/>
      <c r="L8" s="25" t="n">
        <v>989428</v>
      </c>
      <c r="M8" s="63" t="n">
        <v>398769.26</v>
      </c>
      <c r="N8" s="29" t="n">
        <v>407623.71</v>
      </c>
      <c r="O8" s="29" t="n">
        <v>703665.24</v>
      </c>
      <c r="P8" s="145" t="n">
        <f aca="false">'$'!C31</f>
        <v>2.118606</v>
      </c>
      <c r="Q8" s="35"/>
      <c r="R8" s="35" t="n">
        <f aca="false">100*(L8/P8)/M8</f>
        <v>117.114946971275</v>
      </c>
      <c r="S8" s="146"/>
      <c r="T8" s="35"/>
      <c r="U8" s="29" t="n">
        <f aca="false">O8/I8</f>
        <v>1228.03706806283</v>
      </c>
      <c r="V8" s="29" t="n">
        <f aca="false">M8/I8</f>
        <v>695.932390924956</v>
      </c>
      <c r="W8" s="147"/>
      <c r="X8" s="143" t="n">
        <f aca="false">'UT1 (1273)'!F44</f>
        <v>106296.13</v>
      </c>
      <c r="Y8" s="143"/>
      <c r="Z8" s="143"/>
      <c r="AA8" s="143"/>
      <c r="AB8" s="148"/>
      <c r="AC8" s="149" t="n">
        <f aca="false">AB8/P8</f>
        <v>0</v>
      </c>
      <c r="AD8" s="150"/>
      <c r="AE8" s="148" t="n">
        <f aca="false">1000*SUM(X8:AA8)/O8</f>
        <v>151.060652079389</v>
      </c>
      <c r="AF8" s="151" t="n">
        <f aca="false">'UT1 (1273)'!G44</f>
        <v>21834</v>
      </c>
      <c r="AG8" s="143"/>
      <c r="AH8" s="143"/>
      <c r="AI8" s="143"/>
      <c r="AJ8" s="143"/>
      <c r="AK8" s="152"/>
      <c r="AL8" s="149" t="n">
        <f aca="false">AK8/P8</f>
        <v>0</v>
      </c>
      <c r="AM8" s="153"/>
      <c r="AN8" s="150" t="n">
        <f aca="false">AL8/SUM($AF$144:$AJ$144)</f>
        <v>0</v>
      </c>
      <c r="AO8" s="152"/>
      <c r="AP8" s="148" t="n">
        <f aca="false">1000*SUM(AF8:AJ8)/O8</f>
        <v>31.0289591681408</v>
      </c>
      <c r="AQ8" s="151" t="n">
        <f aca="false">'UT1 (1273)'!I44</f>
        <v>253573.2</v>
      </c>
      <c r="AR8" s="143"/>
      <c r="AS8" s="143"/>
      <c r="AT8" s="143"/>
      <c r="AU8" s="143"/>
      <c r="AV8" s="143"/>
      <c r="AW8" s="148"/>
      <c r="AX8" s="149" t="n">
        <f aca="false">AW8/P8</f>
        <v>0</v>
      </c>
      <c r="AY8" s="149"/>
      <c r="AZ8" s="148"/>
      <c r="BA8" s="148"/>
      <c r="BB8" s="148"/>
      <c r="BC8" s="148"/>
      <c r="BD8" s="148"/>
      <c r="BE8" s="148" t="n">
        <f aca="false">1000*SUM(AQ8:AV8)/O8</f>
        <v>360.360560086782</v>
      </c>
      <c r="BF8" s="151"/>
      <c r="BG8" s="143"/>
      <c r="BH8" s="143"/>
      <c r="BI8" s="143"/>
      <c r="BJ8" s="143"/>
    </row>
    <row r="9" customFormat="false" ht="18.75" hidden="false" customHeight="true" outlineLevel="0" collapsed="false">
      <c r="A9" s="18" t="n">
        <v>2014</v>
      </c>
      <c r="B9" s="18" t="n">
        <v>7</v>
      </c>
      <c r="C9" s="24"/>
      <c r="D9" s="24"/>
      <c r="E9" s="24"/>
      <c r="F9" s="24"/>
      <c r="G9" s="24"/>
      <c r="H9" s="24"/>
      <c r="I9" s="142" t="n">
        <v>557</v>
      </c>
      <c r="J9" s="143"/>
      <c r="K9" s="144"/>
      <c r="L9" s="25" t="n">
        <v>962307</v>
      </c>
      <c r="M9" s="63" t="n">
        <v>301426.16</v>
      </c>
      <c r="N9" s="29" t="n">
        <v>369314.62</v>
      </c>
      <c r="O9" s="29" t="n">
        <v>706607.01</v>
      </c>
      <c r="P9" s="145" t="n">
        <f aca="false">'$'!C32</f>
        <v>2.119044</v>
      </c>
      <c r="Q9" s="35"/>
      <c r="R9" s="35" t="n">
        <f aca="false">100*(L9/P9)/M9</f>
        <v>150.658184437457</v>
      </c>
      <c r="S9" s="146"/>
      <c r="T9" s="35"/>
      <c r="U9" s="29" t="n">
        <f aca="false">O9/I9</f>
        <v>1268.59427289048</v>
      </c>
      <c r="V9" s="29" t="n">
        <f aca="false">M9/I9</f>
        <v>541.160071813285</v>
      </c>
      <c r="W9" s="147"/>
      <c r="X9" s="143" t="n">
        <f aca="false">'UT1 (1273)'!F45</f>
        <v>88869.71</v>
      </c>
      <c r="Y9" s="143"/>
      <c r="Z9" s="143"/>
      <c r="AA9" s="143"/>
      <c r="AB9" s="148"/>
      <c r="AC9" s="149" t="n">
        <f aca="false">AB9/P9</f>
        <v>0</v>
      </c>
      <c r="AD9" s="150"/>
      <c r="AE9" s="148" t="n">
        <f aca="false">1000*SUM(X9:AA9)/O9</f>
        <v>125.769641034272</v>
      </c>
      <c r="AF9" s="151" t="n">
        <f aca="false">'UT1 (1273)'!G45</f>
        <v>21471</v>
      </c>
      <c r="AG9" s="143"/>
      <c r="AH9" s="143"/>
      <c r="AI9" s="143"/>
      <c r="AJ9" s="143"/>
      <c r="AK9" s="152"/>
      <c r="AL9" s="149" t="n">
        <f aca="false">AK9/P9</f>
        <v>0</v>
      </c>
      <c r="AM9" s="153"/>
      <c r="AN9" s="150" t="n">
        <f aca="false">AL9/SUM($AF$144:$AJ$144)</f>
        <v>0</v>
      </c>
      <c r="AO9" s="152"/>
      <c r="AP9" s="148" t="n">
        <f aca="false">1000*SUM(AF9:AJ9)/O9</f>
        <v>30.386055751131</v>
      </c>
      <c r="AQ9" s="151" t="n">
        <f aca="false">'UT1 (1273)'!I45</f>
        <v>226872</v>
      </c>
      <c r="AR9" s="143"/>
      <c r="AS9" s="143"/>
      <c r="AT9" s="143"/>
      <c r="AU9" s="143"/>
      <c r="AV9" s="143"/>
      <c r="AW9" s="148"/>
      <c r="AX9" s="149" t="n">
        <f aca="false">AW9/P9</f>
        <v>0</v>
      </c>
      <c r="AY9" s="149"/>
      <c r="AZ9" s="148"/>
      <c r="BA9" s="148"/>
      <c r="BB9" s="148"/>
      <c r="BC9" s="148"/>
      <c r="BD9" s="148"/>
      <c r="BE9" s="148" t="n">
        <f aca="false">1000*SUM(AQ9:AV9)/O9</f>
        <v>321.072387889274</v>
      </c>
      <c r="BF9" s="151"/>
      <c r="BG9" s="143"/>
      <c r="BH9" s="143"/>
      <c r="BI9" s="143"/>
      <c r="BJ9" s="143"/>
    </row>
    <row r="10" customFormat="false" ht="18.75" hidden="false" customHeight="true" outlineLevel="0" collapsed="false">
      <c r="A10" s="18" t="n">
        <v>2014</v>
      </c>
      <c r="B10" s="18" t="n">
        <v>8</v>
      </c>
      <c r="C10" s="24"/>
      <c r="D10" s="24"/>
      <c r="E10" s="24"/>
      <c r="F10" s="24"/>
      <c r="G10" s="24"/>
      <c r="H10" s="24"/>
      <c r="I10" s="142" t="n">
        <v>547</v>
      </c>
      <c r="J10" s="143"/>
      <c r="K10" s="144"/>
      <c r="L10" s="25" t="n">
        <v>1096527</v>
      </c>
      <c r="M10" s="63" t="n">
        <v>344629.88</v>
      </c>
      <c r="N10" s="29" t="n">
        <v>402271.59</v>
      </c>
      <c r="O10" s="29" t="n">
        <v>696094.13</v>
      </c>
      <c r="P10" s="145" t="n">
        <f aca="false">'$'!C33</f>
        <v>2.15926</v>
      </c>
      <c r="Q10" s="35"/>
      <c r="R10" s="35" t="n">
        <f aca="false">100*(L10/P10)/M10</f>
        <v>147.35384119846</v>
      </c>
      <c r="S10" s="146"/>
      <c r="T10" s="35"/>
      <c r="U10" s="29" t="n">
        <f aca="false">O10/I10</f>
        <v>1272.56696526508</v>
      </c>
      <c r="V10" s="29" t="n">
        <f aca="false">M10/I10</f>
        <v>630.03634369287</v>
      </c>
      <c r="W10" s="147"/>
      <c r="X10" s="143" t="n">
        <f aca="false">'UT1 (1273)'!F46</f>
        <v>94887.96</v>
      </c>
      <c r="Y10" s="143"/>
      <c r="Z10" s="143"/>
      <c r="AA10" s="143"/>
      <c r="AB10" s="148"/>
      <c r="AC10" s="149" t="n">
        <f aca="false">AB10/P10</f>
        <v>0</v>
      </c>
      <c r="AD10" s="150"/>
      <c r="AE10" s="148" t="n">
        <f aca="false">1000*SUM(X10:AA10)/O10</f>
        <v>136.314840063369</v>
      </c>
      <c r="AF10" s="151" t="n">
        <f aca="false">'UT1 (1273)'!G46</f>
        <v>24154</v>
      </c>
      <c r="AG10" s="143"/>
      <c r="AH10" s="143"/>
      <c r="AI10" s="143"/>
      <c r="AJ10" s="143"/>
      <c r="AK10" s="152"/>
      <c r="AL10" s="149" t="n">
        <f aca="false">AK10/P10</f>
        <v>0</v>
      </c>
      <c r="AM10" s="153"/>
      <c r="AN10" s="150" t="n">
        <f aca="false">AL10/SUM($AF$144:$AJ$144)</f>
        <v>0</v>
      </c>
      <c r="AO10" s="152"/>
      <c r="AP10" s="148" t="n">
        <f aca="false">1000*SUM(AF10:AJ10)/O10</f>
        <v>34.6993301035307</v>
      </c>
      <c r="AQ10" s="151" t="n">
        <f aca="false">'UT1 (1273)'!I46</f>
        <v>260557</v>
      </c>
      <c r="AR10" s="143"/>
      <c r="AS10" s="143"/>
      <c r="AT10" s="143"/>
      <c r="AU10" s="143"/>
      <c r="AV10" s="143"/>
      <c r="AW10" s="148"/>
      <c r="AX10" s="149" t="n">
        <f aca="false">AW10/P10</f>
        <v>0</v>
      </c>
      <c r="AY10" s="149"/>
      <c r="AZ10" s="148"/>
      <c r="BA10" s="148"/>
      <c r="BB10" s="148"/>
      <c r="BC10" s="148"/>
      <c r="BD10" s="148"/>
      <c r="BE10" s="148" t="n">
        <f aca="false">1000*SUM(AQ10:AV10)/O10</f>
        <v>374.312882081048</v>
      </c>
      <c r="BF10" s="151"/>
      <c r="BG10" s="143"/>
      <c r="BH10" s="143"/>
      <c r="BI10" s="143"/>
      <c r="BJ10" s="143"/>
    </row>
    <row r="11" customFormat="false" ht="18.75" hidden="false" customHeight="true" outlineLevel="0" collapsed="false">
      <c r="A11" s="18" t="n">
        <v>2014</v>
      </c>
      <c r="B11" s="18" t="n">
        <v>9</v>
      </c>
      <c r="C11" s="24"/>
      <c r="D11" s="24"/>
      <c r="E11" s="24"/>
      <c r="F11" s="24"/>
      <c r="G11" s="24"/>
      <c r="H11" s="24"/>
      <c r="I11" s="142" t="n">
        <v>609</v>
      </c>
      <c r="J11" s="143"/>
      <c r="K11" s="144"/>
      <c r="L11" s="25" t="n">
        <v>1255391</v>
      </c>
      <c r="M11" s="63" t="n">
        <v>370626.91</v>
      </c>
      <c r="N11" s="29" t="n">
        <v>471544.97</v>
      </c>
      <c r="O11" s="29" t="n">
        <v>885536.73</v>
      </c>
      <c r="P11" s="145" t="n">
        <f aca="false">'$'!C34</f>
        <v>2.213771</v>
      </c>
      <c r="Q11" s="35"/>
      <c r="R11" s="35" t="n">
        <f aca="false">100*(L11/P11)/M11</f>
        <v>153.006319335271</v>
      </c>
      <c r="S11" s="146"/>
      <c r="T11" s="35"/>
      <c r="U11" s="29" t="n">
        <f aca="false">O11/I11</f>
        <v>1454.08330049261</v>
      </c>
      <c r="V11" s="29" t="n">
        <f aca="false">M11/I11</f>
        <v>608.582775041051</v>
      </c>
      <c r="W11" s="147"/>
      <c r="X11" s="143" t="n">
        <f aca="false">'UT1 (1273)'!F47</f>
        <v>109799.95</v>
      </c>
      <c r="Y11" s="143"/>
      <c r="Z11" s="143"/>
      <c r="AA11" s="143"/>
      <c r="AB11" s="148"/>
      <c r="AC11" s="149" t="n">
        <f aca="false">AB11/P11</f>
        <v>0</v>
      </c>
      <c r="AD11" s="150"/>
      <c r="AE11" s="148" t="n">
        <f aca="false">1000*SUM(X11:AA11)/O11</f>
        <v>123.992541788752</v>
      </c>
      <c r="AF11" s="151" t="n">
        <f aca="false">'UT1 (1273)'!G47</f>
        <v>29101</v>
      </c>
      <c r="AG11" s="143"/>
      <c r="AH11" s="143"/>
      <c r="AI11" s="143"/>
      <c r="AJ11" s="143"/>
      <c r="AK11" s="152"/>
      <c r="AL11" s="149" t="n">
        <f aca="false">AK11/P11</f>
        <v>0</v>
      </c>
      <c r="AM11" s="153"/>
      <c r="AN11" s="150" t="n">
        <f aca="false">AL11/SUM($AF$144:$AJ$144)</f>
        <v>0</v>
      </c>
      <c r="AO11" s="152"/>
      <c r="AP11" s="148" t="n">
        <f aca="false">1000*SUM(AF11:AJ11)/O11</f>
        <v>32.862555571241</v>
      </c>
      <c r="AQ11" s="151" t="n">
        <f aca="false">'UT1 (1273)'!I47</f>
        <v>224859.6</v>
      </c>
      <c r="AR11" s="143"/>
      <c r="AS11" s="143"/>
      <c r="AT11" s="143"/>
      <c r="AU11" s="143"/>
      <c r="AV11" s="143"/>
      <c r="AW11" s="148"/>
      <c r="AX11" s="149" t="n">
        <f aca="false">AW11/P11</f>
        <v>0</v>
      </c>
      <c r="AY11" s="149"/>
      <c r="AZ11" s="148"/>
      <c r="BA11" s="148"/>
      <c r="BB11" s="148"/>
      <c r="BC11" s="148"/>
      <c r="BD11" s="148"/>
      <c r="BE11" s="148" t="n">
        <f aca="false">1000*SUM(AQ11:AV11)/O11</f>
        <v>253.924645226178</v>
      </c>
      <c r="BF11" s="151"/>
      <c r="BG11" s="143"/>
      <c r="BH11" s="143"/>
      <c r="BI11" s="143"/>
      <c r="BJ11" s="143"/>
    </row>
    <row r="12" customFormat="false" ht="18.75" hidden="false" customHeight="true" outlineLevel="0" collapsed="false">
      <c r="A12" s="18" t="n">
        <v>2014</v>
      </c>
      <c r="B12" s="18" t="n">
        <v>10</v>
      </c>
      <c r="C12" s="24"/>
      <c r="D12" s="24"/>
      <c r="E12" s="24"/>
      <c r="F12" s="24"/>
      <c r="G12" s="24"/>
      <c r="H12" s="24"/>
      <c r="I12" s="142" t="n">
        <v>619</v>
      </c>
      <c r="J12" s="143"/>
      <c r="K12" s="144"/>
      <c r="L12" s="25" t="n">
        <v>1275149</v>
      </c>
      <c r="M12" s="63" t="n">
        <v>426405.23</v>
      </c>
      <c r="N12" s="29" t="n">
        <v>441937.8</v>
      </c>
      <c r="O12" s="29" t="n">
        <v>901553.79</v>
      </c>
      <c r="P12" s="145" t="n">
        <f aca="false">'$'!C35</f>
        <v>2.25606</v>
      </c>
      <c r="Q12" s="35"/>
      <c r="R12" s="35" t="n">
        <f aca="false">100*(L12/P12)/M12</f>
        <v>132.5524521289</v>
      </c>
      <c r="S12" s="146"/>
      <c r="T12" s="35"/>
      <c r="U12" s="29" t="n">
        <f aca="false">O12/I12</f>
        <v>1456.46815831987</v>
      </c>
      <c r="V12" s="29" t="n">
        <f aca="false">M12/I12</f>
        <v>688.861437802908</v>
      </c>
      <c r="W12" s="147"/>
      <c r="X12" s="143" t="n">
        <f aca="false">'UT1 (1273)'!F48</f>
        <v>119678.67</v>
      </c>
      <c r="Y12" s="143"/>
      <c r="Z12" s="143"/>
      <c r="AA12" s="143"/>
      <c r="AB12" s="148"/>
      <c r="AC12" s="149" t="n">
        <f aca="false">AB12/P12</f>
        <v>0</v>
      </c>
      <c r="AD12" s="150"/>
      <c r="AE12" s="148" t="n">
        <f aca="false">1000*SUM(X12:AA12)/O12</f>
        <v>132.747120945496</v>
      </c>
      <c r="AF12" s="151" t="n">
        <f aca="false">'UT1 (1273)'!G48</f>
        <v>28726</v>
      </c>
      <c r="AG12" s="143"/>
      <c r="AH12" s="143"/>
      <c r="AI12" s="143"/>
      <c r="AJ12" s="143"/>
      <c r="AK12" s="152"/>
      <c r="AL12" s="149" t="n">
        <f aca="false">AK12/P12</f>
        <v>0</v>
      </c>
      <c r="AM12" s="153"/>
      <c r="AN12" s="150" t="n">
        <f aca="false">AL12/SUM($AF$144:$AJ$144)</f>
        <v>0</v>
      </c>
      <c r="AO12" s="152"/>
      <c r="AP12" s="148" t="n">
        <f aca="false">1000*SUM(AF12:AJ12)/O12</f>
        <v>31.8627688315747</v>
      </c>
      <c r="AQ12" s="151" t="n">
        <f aca="false">'UT1 (1273)'!I48</f>
        <v>276514.2</v>
      </c>
      <c r="AR12" s="143"/>
      <c r="AS12" s="143"/>
      <c r="AT12" s="143"/>
      <c r="AU12" s="143"/>
      <c r="AV12" s="143"/>
      <c r="AW12" s="148"/>
      <c r="AX12" s="149" t="n">
        <f aca="false">AW12/P12</f>
        <v>0</v>
      </c>
      <c r="AY12" s="149"/>
      <c r="AZ12" s="148"/>
      <c r="BA12" s="148"/>
      <c r="BB12" s="148"/>
      <c r="BC12" s="148"/>
      <c r="BD12" s="148"/>
      <c r="BE12" s="148" t="n">
        <f aca="false">1000*SUM(AQ12:AV12)/O12</f>
        <v>306.708488242282</v>
      </c>
      <c r="BF12" s="151"/>
      <c r="BG12" s="143"/>
      <c r="BH12" s="143"/>
      <c r="BI12" s="143"/>
      <c r="BJ12" s="143"/>
    </row>
    <row r="13" customFormat="false" ht="18.75" hidden="false" customHeight="true" outlineLevel="0" collapsed="false">
      <c r="A13" s="18" t="n">
        <v>2014</v>
      </c>
      <c r="B13" s="18" t="n">
        <v>11</v>
      </c>
      <c r="C13" s="24"/>
      <c r="D13" s="24"/>
      <c r="E13" s="24"/>
      <c r="F13" s="24"/>
      <c r="G13" s="24"/>
      <c r="H13" s="24"/>
      <c r="I13" s="142" t="n">
        <v>628</v>
      </c>
      <c r="J13" s="143"/>
      <c r="K13" s="144"/>
      <c r="L13" s="25" t="n">
        <v>1210680</v>
      </c>
      <c r="M13" s="63" t="n">
        <v>421029.1</v>
      </c>
      <c r="N13" s="29" t="n">
        <v>489719.62</v>
      </c>
      <c r="O13" s="29" t="n">
        <v>1028005.21</v>
      </c>
      <c r="P13" s="145" t="n">
        <f aca="false">'$'!C36</f>
        <v>2.232761</v>
      </c>
      <c r="Q13" s="35"/>
      <c r="R13" s="35" t="n">
        <f aca="false">100*(L13/P13)/M13</f>
        <v>128.787886654366</v>
      </c>
      <c r="S13" s="146"/>
      <c r="T13" s="35"/>
      <c r="U13" s="29" t="n">
        <f aca="false">O13/I13</f>
        <v>1636.95097133758</v>
      </c>
      <c r="V13" s="29" t="n">
        <f aca="false">M13/I13</f>
        <v>670.428503184713</v>
      </c>
      <c r="W13" s="147"/>
      <c r="X13" s="143" t="n">
        <f aca="false">'UT1 (1273)'!F49</f>
        <v>130875.86</v>
      </c>
      <c r="Y13" s="143"/>
      <c r="Z13" s="143"/>
      <c r="AA13" s="143"/>
      <c r="AB13" s="148"/>
      <c r="AC13" s="149" t="n">
        <f aca="false">AB13/P13</f>
        <v>0</v>
      </c>
      <c r="AD13" s="150"/>
      <c r="AE13" s="148" t="n">
        <f aca="false">1000*SUM(X13:AA13)/O13</f>
        <v>127.310502638406</v>
      </c>
      <c r="AF13" s="151" t="n">
        <f aca="false">'UT1 (1273)'!G49</f>
        <v>29336</v>
      </c>
      <c r="AG13" s="143"/>
      <c r="AH13" s="143"/>
      <c r="AI13" s="143"/>
      <c r="AJ13" s="143"/>
      <c r="AK13" s="152"/>
      <c r="AL13" s="149" t="n">
        <f aca="false">AK13/P13</f>
        <v>0</v>
      </c>
      <c r="AM13" s="153"/>
      <c r="AN13" s="150" t="n">
        <f aca="false">AL13/SUM($AF$144:$AJ$144)</f>
        <v>0</v>
      </c>
      <c r="AO13" s="152"/>
      <c r="AP13" s="148" t="n">
        <f aca="false">1000*SUM(AF13:AJ13)/O13</f>
        <v>28.5368203532743</v>
      </c>
      <c r="AQ13" s="151" t="n">
        <f aca="false">'UT1 (1273)'!I49</f>
        <v>312489</v>
      </c>
      <c r="AR13" s="143"/>
      <c r="AS13" s="143"/>
      <c r="AT13" s="143"/>
      <c r="AU13" s="143"/>
      <c r="AV13" s="143"/>
      <c r="AW13" s="148"/>
      <c r="AX13" s="149" t="n">
        <f aca="false">AW13/P13</f>
        <v>0</v>
      </c>
      <c r="AY13" s="149"/>
      <c r="AZ13" s="148"/>
      <c r="BA13" s="148"/>
      <c r="BB13" s="148"/>
      <c r="BC13" s="148"/>
      <c r="BD13" s="148"/>
      <c r="BE13" s="148" t="n">
        <f aca="false">1000*SUM(AQ13:AV13)/O13</f>
        <v>303.976085879954</v>
      </c>
      <c r="BF13" s="151"/>
      <c r="BG13" s="143"/>
      <c r="BH13" s="143"/>
      <c r="BI13" s="143"/>
      <c r="BJ13" s="143"/>
    </row>
    <row r="14" customFormat="false" ht="18.75" hidden="false" customHeight="true" outlineLevel="0" collapsed="false">
      <c r="A14" s="18" t="n">
        <v>2014</v>
      </c>
      <c r="B14" s="18" t="n">
        <v>12</v>
      </c>
      <c r="C14" s="24"/>
      <c r="D14" s="24"/>
      <c r="E14" s="24"/>
      <c r="F14" s="24"/>
      <c r="G14" s="24"/>
      <c r="H14" s="24"/>
      <c r="I14" s="142" t="n">
        <v>671</v>
      </c>
      <c r="J14" s="143"/>
      <c r="K14" s="144"/>
      <c r="L14" s="25" t="n">
        <v>1318758</v>
      </c>
      <c r="M14" s="63" t="n">
        <v>425537.9</v>
      </c>
      <c r="N14" s="29" t="n">
        <v>533981.52</v>
      </c>
      <c r="O14" s="29" t="n">
        <v>1047117.95</v>
      </c>
      <c r="P14" s="145" t="n">
        <f aca="false">'$'!C37</f>
        <v>2.29694</v>
      </c>
      <c r="Q14" s="35"/>
      <c r="R14" s="35" t="n">
        <f aca="false">100*(L14/P14)/M14</f>
        <v>134.920272712155</v>
      </c>
      <c r="S14" s="146"/>
      <c r="T14" s="35"/>
      <c r="U14" s="29" t="n">
        <f aca="false">O14/I14</f>
        <v>1560.53345752608</v>
      </c>
      <c r="V14" s="29" t="n">
        <f aca="false">M14/I14</f>
        <v>634.184649776453</v>
      </c>
      <c r="W14" s="147"/>
      <c r="X14" s="143" t="n">
        <f aca="false">'UT1 (1273)'!F50</f>
        <v>137007.2</v>
      </c>
      <c r="Y14" s="143"/>
      <c r="Z14" s="143"/>
      <c r="AA14" s="143"/>
      <c r="AB14" s="148"/>
      <c r="AC14" s="149" t="n">
        <f aca="false">AB14/P14</f>
        <v>0</v>
      </c>
      <c r="AD14" s="150"/>
      <c r="AE14" s="148" t="n">
        <f aca="false">1000*SUM(X14:AA14)/O14</f>
        <v>130.842184493161</v>
      </c>
      <c r="AF14" s="151" t="n">
        <f aca="false">'UT1 (1273)'!G50</f>
        <v>28740</v>
      </c>
      <c r="AG14" s="143"/>
      <c r="AH14" s="143"/>
      <c r="AI14" s="143"/>
      <c r="AJ14" s="143"/>
      <c r="AK14" s="152"/>
      <c r="AL14" s="149" t="n">
        <f aca="false">AK14/P14</f>
        <v>0</v>
      </c>
      <c r="AM14" s="153"/>
      <c r="AN14" s="150" t="n">
        <f aca="false">AL14/SUM($AF$144:$AJ$144)</f>
        <v>0</v>
      </c>
      <c r="AO14" s="152"/>
      <c r="AP14" s="148" t="n">
        <f aca="false">1000*SUM(AF14:AJ14)/O14</f>
        <v>27.4467647126095</v>
      </c>
      <c r="AQ14" s="151" t="n">
        <f aca="false">'UT1 (1273)'!I50</f>
        <v>322155</v>
      </c>
      <c r="AR14" s="143"/>
      <c r="AS14" s="143"/>
      <c r="AT14" s="143"/>
      <c r="AU14" s="143"/>
      <c r="AV14" s="143"/>
      <c r="AW14" s="148"/>
      <c r="AX14" s="149" t="n">
        <f aca="false">AW14/P14</f>
        <v>0</v>
      </c>
      <c r="AY14" s="149"/>
      <c r="AZ14" s="148"/>
      <c r="BA14" s="148"/>
      <c r="BB14" s="148"/>
      <c r="BC14" s="148"/>
      <c r="BD14" s="148"/>
      <c r="BE14" s="148" t="n">
        <f aca="false">1000*SUM(AQ14:AV14)/O14</f>
        <v>307.658750382419</v>
      </c>
      <c r="BF14" s="151"/>
      <c r="BG14" s="143"/>
      <c r="BH14" s="143"/>
      <c r="BI14" s="143"/>
      <c r="BJ14" s="143"/>
    </row>
    <row r="15" customFormat="false" ht="18.75" hidden="false" customHeight="true" outlineLevel="0" collapsed="false">
      <c r="A15" s="18" t="n">
        <v>2015</v>
      </c>
      <c r="B15" s="18" t="n">
        <v>1</v>
      </c>
      <c r="C15" s="24"/>
      <c r="D15" s="24"/>
      <c r="E15" s="24"/>
      <c r="F15" s="24"/>
      <c r="G15" s="24"/>
      <c r="H15" s="24"/>
      <c r="I15" s="142" t="n">
        <v>671</v>
      </c>
      <c r="J15" s="143"/>
      <c r="K15" s="144"/>
      <c r="L15" s="25" t="n">
        <v>1296635</v>
      </c>
      <c r="M15" s="63" t="n">
        <v>417296.04</v>
      </c>
      <c r="N15" s="29" t="n">
        <v>513680.84</v>
      </c>
      <c r="O15" s="29" t="n">
        <v>978848.38</v>
      </c>
      <c r="P15" s="145" t="n">
        <f aca="false">'$'!C38</f>
        <v>2.33742</v>
      </c>
      <c r="Q15" s="35"/>
      <c r="R15" s="35" t="n">
        <f aca="false">100*(L15/P15)/M15</f>
        <v>132.934198419505</v>
      </c>
      <c r="S15" s="146"/>
      <c r="T15" s="35"/>
      <c r="U15" s="29" t="n">
        <f aca="false">O15/I15</f>
        <v>1458.79043219076</v>
      </c>
      <c r="V15" s="29" t="n">
        <f aca="false">M15/I15</f>
        <v>621.901698956781</v>
      </c>
      <c r="W15" s="147"/>
      <c r="X15" s="143" t="n">
        <f aca="false">'UT1 (1273)'!F51</f>
        <v>128846.89</v>
      </c>
      <c r="Y15" s="143"/>
      <c r="Z15" s="143"/>
      <c r="AA15" s="143"/>
      <c r="AB15" s="148"/>
      <c r="AC15" s="149" t="n">
        <f aca="false">AB15/P15</f>
        <v>0</v>
      </c>
      <c r="AD15" s="150"/>
      <c r="AE15" s="148" t="n">
        <f aca="false">1000*SUM(X15:AA15)/O15</f>
        <v>131.63110102915</v>
      </c>
      <c r="AF15" s="151" t="n">
        <f aca="false">'UT1 (1273)'!G51</f>
        <v>26173</v>
      </c>
      <c r="AG15" s="143"/>
      <c r="AH15" s="143"/>
      <c r="AI15" s="143"/>
      <c r="AJ15" s="143"/>
      <c r="AK15" s="152"/>
      <c r="AL15" s="149" t="n">
        <f aca="false">AK15/P15</f>
        <v>0</v>
      </c>
      <c r="AM15" s="153"/>
      <c r="AN15" s="150" t="n">
        <f aca="false">AL15/SUM($AF$144:$AJ$144)</f>
        <v>0</v>
      </c>
      <c r="AO15" s="152"/>
      <c r="AP15" s="148" t="n">
        <f aca="false">1000*SUM(AF15:AJ15)/O15</f>
        <v>26.7385639438868</v>
      </c>
      <c r="AQ15" s="151" t="n">
        <f aca="false">'UT1 (1273)'!I51</f>
        <v>276836.4</v>
      </c>
      <c r="AR15" s="143"/>
      <c r="AS15" s="143"/>
      <c r="AT15" s="143"/>
      <c r="AU15" s="143"/>
      <c r="AV15" s="143"/>
      <c r="AW15" s="148"/>
      <c r="AX15" s="149" t="n">
        <f aca="false">AW15/P15</f>
        <v>0</v>
      </c>
      <c r="AY15" s="149"/>
      <c r="AZ15" s="148"/>
      <c r="BA15" s="148"/>
      <c r="BB15" s="148"/>
      <c r="BC15" s="148"/>
      <c r="BD15" s="148"/>
      <c r="BE15" s="148" t="n">
        <f aca="false">1000*SUM(AQ15:AV15)/O15</f>
        <v>282.81846878063</v>
      </c>
      <c r="BF15" s="151"/>
      <c r="BG15" s="143"/>
      <c r="BH15" s="143"/>
      <c r="BI15" s="143"/>
      <c r="BJ15" s="143"/>
    </row>
    <row r="16" customFormat="false" ht="18.75" hidden="false" customHeight="true" outlineLevel="0" collapsed="false">
      <c r="A16" s="18" t="n">
        <v>2015</v>
      </c>
      <c r="B16" s="18" t="n">
        <v>2</v>
      </c>
      <c r="C16" s="24"/>
      <c r="D16" s="24"/>
      <c r="E16" s="24"/>
      <c r="F16" s="24"/>
      <c r="G16" s="24"/>
      <c r="H16" s="24"/>
      <c r="I16" s="142" t="n">
        <v>631</v>
      </c>
      <c r="J16" s="143"/>
      <c r="K16" s="144"/>
      <c r="L16" s="25" t="n">
        <v>1141486</v>
      </c>
      <c r="M16" s="63" t="n">
        <v>356140.35</v>
      </c>
      <c r="N16" s="29" t="n">
        <v>407124.39</v>
      </c>
      <c r="O16" s="29" t="n">
        <v>754157.26</v>
      </c>
      <c r="P16" s="145" t="n">
        <f aca="false">'$'!C39</f>
        <v>2.465029</v>
      </c>
      <c r="Q16" s="35"/>
      <c r="R16" s="35" t="n">
        <f aca="false">100*(L16/P16)/M16</f>
        <v>130.025153533067</v>
      </c>
      <c r="S16" s="146"/>
      <c r="T16" s="35"/>
      <c r="U16" s="29" t="n">
        <f aca="false">O16/I16</f>
        <v>1195.17790808241</v>
      </c>
      <c r="V16" s="29" t="n">
        <f aca="false">M16/I16</f>
        <v>564.406259904913</v>
      </c>
      <c r="W16" s="147"/>
      <c r="X16" s="143" t="n">
        <f aca="false">'UT1 (1273)'!F52</f>
        <v>94592.2</v>
      </c>
      <c r="Y16" s="143"/>
      <c r="Z16" s="143"/>
      <c r="AA16" s="143"/>
      <c r="AB16" s="148"/>
      <c r="AC16" s="149" t="n">
        <f aca="false">AB16/P16</f>
        <v>0</v>
      </c>
      <c r="AD16" s="150"/>
      <c r="AE16" s="148" t="n">
        <f aca="false">1000*SUM(X16:AA16)/O16</f>
        <v>125.42768599748</v>
      </c>
      <c r="AF16" s="151" t="n">
        <f aca="false">'UT1 (1273)'!G52</f>
        <v>17016</v>
      </c>
      <c r="AG16" s="143"/>
      <c r="AH16" s="143"/>
      <c r="AI16" s="143"/>
      <c r="AJ16" s="143"/>
      <c r="AK16" s="152"/>
      <c r="AL16" s="149" t="n">
        <f aca="false">AK16/P16</f>
        <v>0</v>
      </c>
      <c r="AM16" s="153"/>
      <c r="AN16" s="150" t="n">
        <f aca="false">AL16/SUM($AF$144:$AJ$144)</f>
        <v>0</v>
      </c>
      <c r="AO16" s="152"/>
      <c r="AP16" s="148" t="n">
        <f aca="false">1000*SUM(AF16:AJ16)/O16</f>
        <v>22.5629333595489</v>
      </c>
      <c r="AQ16" s="151" t="n">
        <f aca="false">'UT1 (1273)'!I52</f>
        <v>208236.6</v>
      </c>
      <c r="AR16" s="143"/>
      <c r="AS16" s="143"/>
      <c r="AT16" s="143"/>
      <c r="AU16" s="143"/>
      <c r="AV16" s="143"/>
      <c r="AW16" s="148"/>
      <c r="AX16" s="149" t="n">
        <f aca="false">AW16/P16</f>
        <v>0</v>
      </c>
      <c r="AY16" s="149"/>
      <c r="AZ16" s="148"/>
      <c r="BA16" s="148"/>
      <c r="BB16" s="148"/>
      <c r="BC16" s="148"/>
      <c r="BD16" s="148"/>
      <c r="BE16" s="148" t="n">
        <f aca="false">1000*SUM(AQ16:AV16)/O16</f>
        <v>276.118272732666</v>
      </c>
      <c r="BF16" s="151"/>
      <c r="BG16" s="143"/>
      <c r="BH16" s="143"/>
      <c r="BI16" s="143"/>
      <c r="BJ16" s="143"/>
    </row>
    <row r="17" customFormat="false" ht="18.75" hidden="false" customHeight="true" outlineLevel="0" collapsed="false">
      <c r="A17" s="18" t="n">
        <v>2015</v>
      </c>
      <c r="B17" s="18" t="n">
        <v>3</v>
      </c>
      <c r="C17" s="24"/>
      <c r="D17" s="24"/>
      <c r="E17" s="24"/>
      <c r="F17" s="24"/>
      <c r="G17" s="24"/>
      <c r="H17" s="24"/>
      <c r="I17" s="142" t="n">
        <v>651</v>
      </c>
      <c r="J17" s="143"/>
      <c r="K17" s="144"/>
      <c r="L17" s="25" t="n">
        <v>1274112</v>
      </c>
      <c r="M17" s="63" t="n">
        <v>428090.47</v>
      </c>
      <c r="N17" s="29" t="n">
        <v>445079.36</v>
      </c>
      <c r="O17" s="29" t="n">
        <v>835748.31</v>
      </c>
      <c r="P17" s="145" t="n">
        <f aca="false">'$'!C40</f>
        <v>2.595899</v>
      </c>
      <c r="Q17" s="35"/>
      <c r="R17" s="35" t="n">
        <f aca="false">100*(L17/P17)/M17</f>
        <v>114.652691694323</v>
      </c>
      <c r="S17" s="146"/>
      <c r="T17" s="35"/>
      <c r="U17" s="29" t="n">
        <f aca="false">O17/I17</f>
        <v>1283.79156682028</v>
      </c>
      <c r="V17" s="29" t="n">
        <f aca="false">M17/I17</f>
        <v>657.589047619048</v>
      </c>
      <c r="W17" s="147"/>
      <c r="X17" s="143" t="n">
        <f aca="false">'UT1 (1273)'!F53</f>
        <v>118529.95</v>
      </c>
      <c r="Y17" s="143"/>
      <c r="Z17" s="143"/>
      <c r="AA17" s="143"/>
      <c r="AB17" s="148"/>
      <c r="AC17" s="149" t="n">
        <f aca="false">AB17/P17</f>
        <v>0</v>
      </c>
      <c r="AD17" s="150"/>
      <c r="AE17" s="148" t="n">
        <f aca="false">1000*SUM(X17:AA17)/O17</f>
        <v>141.824935308574</v>
      </c>
      <c r="AF17" s="151" t="n">
        <f aca="false">'UT1 (1273)'!G53</f>
        <v>18236</v>
      </c>
      <c r="AG17" s="143"/>
      <c r="AH17" s="143"/>
      <c r="AI17" s="143"/>
      <c r="AJ17" s="143"/>
      <c r="AK17" s="152"/>
      <c r="AL17" s="149" t="n">
        <f aca="false">AK17/P17</f>
        <v>0</v>
      </c>
      <c r="AM17" s="153"/>
      <c r="AN17" s="150" t="n">
        <f aca="false">AL17/SUM($AF$144:$AJ$144)</f>
        <v>0</v>
      </c>
      <c r="AO17" s="152"/>
      <c r="AP17" s="148" t="n">
        <f aca="false">1000*SUM(AF17:AJ17)/O17</f>
        <v>21.8199663484812</v>
      </c>
      <c r="AQ17" s="151" t="n">
        <f aca="false">'UT1 (1273)'!I53</f>
        <v>267514.2</v>
      </c>
      <c r="AR17" s="143"/>
      <c r="AS17" s="143"/>
      <c r="AT17" s="143"/>
      <c r="AU17" s="143"/>
      <c r="AV17" s="143"/>
      <c r="AW17" s="148"/>
      <c r="AX17" s="149" t="n">
        <f aca="false">AW17/P17</f>
        <v>0</v>
      </c>
      <c r="AY17" s="149"/>
      <c r="AZ17" s="148"/>
      <c r="BA17" s="148"/>
      <c r="BB17" s="148"/>
      <c r="BC17" s="148"/>
      <c r="BD17" s="148"/>
      <c r="BE17" s="148" t="n">
        <f aca="false">1000*SUM(AQ17:AV17)/O17</f>
        <v>320.089429794958</v>
      </c>
      <c r="BF17" s="151"/>
      <c r="BG17" s="143"/>
      <c r="BH17" s="143"/>
      <c r="BI17" s="143"/>
      <c r="BJ17" s="143"/>
    </row>
    <row r="18" customFormat="false" ht="18.75" hidden="false" customHeight="true" outlineLevel="0" collapsed="false">
      <c r="A18" s="18" t="n">
        <v>2015</v>
      </c>
      <c r="B18" s="18" t="n">
        <v>4</v>
      </c>
      <c r="C18" s="24"/>
      <c r="D18" s="24"/>
      <c r="E18" s="24"/>
      <c r="F18" s="24"/>
      <c r="G18" s="24"/>
      <c r="H18" s="24"/>
      <c r="I18" s="142" t="n">
        <v>597</v>
      </c>
      <c r="J18" s="143"/>
      <c r="K18" s="144"/>
      <c r="L18" s="25" t="n">
        <v>1254182</v>
      </c>
      <c r="M18" s="63" t="n">
        <v>463207.66</v>
      </c>
      <c r="N18" s="29" t="n">
        <v>475786.3</v>
      </c>
      <c r="O18" s="29" t="n">
        <v>935487.68</v>
      </c>
      <c r="P18" s="145" t="n">
        <f aca="false">'$'!C41</f>
        <v>2.651767</v>
      </c>
      <c r="Q18" s="35"/>
      <c r="R18" s="35" t="n">
        <f aca="false">100*(L18/P18)/M18</f>
        <v>102.105578237496</v>
      </c>
      <c r="S18" s="146"/>
      <c r="T18" s="35"/>
      <c r="U18" s="29" t="n">
        <f aca="false">O18/I18</f>
        <v>1566.98103852596</v>
      </c>
      <c r="V18" s="29" t="n">
        <f aca="false">M18/I18</f>
        <v>775.892227805695</v>
      </c>
      <c r="W18" s="147"/>
      <c r="X18" s="143" t="n">
        <f aca="false">'UT1 (1273)'!F54</f>
        <v>117538.42</v>
      </c>
      <c r="Y18" s="143"/>
      <c r="Z18" s="143"/>
      <c r="AA18" s="143"/>
      <c r="AB18" s="148"/>
      <c r="AC18" s="149" t="n">
        <f aca="false">AB18/P18</f>
        <v>0</v>
      </c>
      <c r="AD18" s="150"/>
      <c r="AE18" s="148" t="n">
        <f aca="false">1000*SUM(X18:AA18)/O18</f>
        <v>125.644006343301</v>
      </c>
      <c r="AF18" s="151" t="n">
        <f aca="false">'UT1 (1273)'!G54</f>
        <v>19071</v>
      </c>
      <c r="AG18" s="143"/>
      <c r="AH18" s="143"/>
      <c r="AI18" s="143"/>
      <c r="AJ18" s="143"/>
      <c r="AK18" s="152"/>
      <c r="AL18" s="149" t="n">
        <f aca="false">AK18/P18</f>
        <v>0</v>
      </c>
      <c r="AM18" s="153"/>
      <c r="AN18" s="150" t="n">
        <f aca="false">AL18/SUM($AF$144:$AJ$144)</f>
        <v>0</v>
      </c>
      <c r="AO18" s="152"/>
      <c r="AP18" s="148" t="n">
        <f aca="false">1000*SUM(AF18:AJ18)/O18</f>
        <v>20.3861583724972</v>
      </c>
      <c r="AQ18" s="151" t="n">
        <f aca="false">'UT1 (1273)'!I54</f>
        <v>237133.8</v>
      </c>
      <c r="AR18" s="143"/>
      <c r="AS18" s="143"/>
      <c r="AT18" s="143"/>
      <c r="AU18" s="143"/>
      <c r="AV18" s="143"/>
      <c r="AW18" s="148"/>
      <c r="AX18" s="149" t="n">
        <f aca="false">AW18/P18</f>
        <v>0</v>
      </c>
      <c r="AY18" s="149"/>
      <c r="AZ18" s="148"/>
      <c r="BA18" s="148"/>
      <c r="BB18" s="148"/>
      <c r="BC18" s="148"/>
      <c r="BD18" s="148"/>
      <c r="BE18" s="148" t="n">
        <f aca="false">1000*SUM(AQ18:AV18)/O18</f>
        <v>253.486823043998</v>
      </c>
      <c r="BF18" s="151"/>
      <c r="BG18" s="143"/>
      <c r="BH18" s="143"/>
      <c r="BI18" s="143"/>
      <c r="BJ18" s="143"/>
    </row>
    <row r="19" customFormat="false" ht="18.75" hidden="false" customHeight="true" outlineLevel="0" collapsed="false">
      <c r="A19" s="18" t="n">
        <v>2015</v>
      </c>
      <c r="B19" s="18" t="n">
        <v>5</v>
      </c>
      <c r="C19" s="24"/>
      <c r="D19" s="24"/>
      <c r="E19" s="24"/>
      <c r="F19" s="24"/>
      <c r="G19" s="24"/>
      <c r="H19" s="24"/>
      <c r="I19" s="142" t="n">
        <v>623</v>
      </c>
      <c r="J19" s="143"/>
      <c r="K19" s="144"/>
      <c r="L19" s="25" t="n">
        <v>1303761</v>
      </c>
      <c r="M19" s="63" t="n">
        <v>412468.04</v>
      </c>
      <c r="N19" s="29" t="n">
        <v>482799.03</v>
      </c>
      <c r="O19" s="29" t="n">
        <v>928972.01</v>
      </c>
      <c r="P19" s="145" t="n">
        <f aca="false">'$'!C42</f>
        <v>2.644839</v>
      </c>
      <c r="Q19" s="35"/>
      <c r="R19" s="35" t="n">
        <f aca="false">100*(L19/P19)/M19</f>
        <v>119.511154676712</v>
      </c>
      <c r="S19" s="146"/>
      <c r="T19" s="35"/>
      <c r="U19" s="29" t="n">
        <f aca="false">O19/I19</f>
        <v>1491.12682182986</v>
      </c>
      <c r="V19" s="29" t="n">
        <f aca="false">M19/I19</f>
        <v>662.067479935795</v>
      </c>
      <c r="W19" s="147"/>
      <c r="X19" s="143" t="n">
        <f aca="false">'UT1 (1273)'!F55</f>
        <v>101506.2</v>
      </c>
      <c r="Y19" s="143"/>
      <c r="Z19" s="143"/>
      <c r="AA19" s="143"/>
      <c r="AB19" s="148"/>
      <c r="AC19" s="149" t="n">
        <f aca="false">AB19/P19</f>
        <v>0</v>
      </c>
      <c r="AD19" s="150"/>
      <c r="AE19" s="148" t="n">
        <f aca="false">1000*SUM(X19:AA19)/O19</f>
        <v>109.267231851259</v>
      </c>
      <c r="AF19" s="151" t="n">
        <f aca="false">'UT1 (1273)'!G55</f>
        <v>22027</v>
      </c>
      <c r="AG19" s="143"/>
      <c r="AH19" s="143"/>
      <c r="AI19" s="143"/>
      <c r="AJ19" s="143"/>
      <c r="AK19" s="152"/>
      <c r="AL19" s="149" t="n">
        <f aca="false">AK19/P19</f>
        <v>0</v>
      </c>
      <c r="AM19" s="153"/>
      <c r="AN19" s="150" t="n">
        <f aca="false">AL19/SUM($AF$144:$AJ$144)</f>
        <v>0</v>
      </c>
      <c r="AO19" s="152"/>
      <c r="AP19" s="148" t="n">
        <f aca="false">1000*SUM(AF19:AJ19)/O19</f>
        <v>23.7111557322378</v>
      </c>
      <c r="AQ19" s="151" t="n">
        <f aca="false">'UT1 (1273)'!I55</f>
        <v>231544.8</v>
      </c>
      <c r="AR19" s="143"/>
      <c r="AS19" s="143"/>
      <c r="AT19" s="143"/>
      <c r="AU19" s="143"/>
      <c r="AV19" s="143"/>
      <c r="AW19" s="148"/>
      <c r="AX19" s="149" t="n">
        <f aca="false">AW19/P19</f>
        <v>0</v>
      </c>
      <c r="AY19" s="149"/>
      <c r="AZ19" s="148"/>
      <c r="BA19" s="148"/>
      <c r="BB19" s="148"/>
      <c r="BC19" s="148"/>
      <c r="BD19" s="148"/>
      <c r="BE19" s="148" t="n">
        <f aca="false">1000*SUM(AQ19:AV19)/O19</f>
        <v>249.248413846182</v>
      </c>
      <c r="BF19" s="151"/>
      <c r="BG19" s="143"/>
      <c r="BH19" s="143"/>
      <c r="BI19" s="143"/>
      <c r="BJ19" s="143"/>
    </row>
    <row r="20" customFormat="false" ht="18.75" hidden="false" customHeight="true" outlineLevel="0" collapsed="false">
      <c r="A20" s="18" t="n">
        <v>2015</v>
      </c>
      <c r="B20" s="18" t="n">
        <v>6</v>
      </c>
      <c r="C20" s="24"/>
      <c r="D20" s="24"/>
      <c r="E20" s="24"/>
      <c r="F20" s="24"/>
      <c r="G20" s="24"/>
      <c r="H20" s="24"/>
      <c r="I20" s="142" t="n">
        <v>642</v>
      </c>
      <c r="J20" s="143"/>
      <c r="K20" s="144"/>
      <c r="L20" s="25" t="n">
        <v>1310800</v>
      </c>
      <c r="M20" s="63" t="n">
        <v>425509.59</v>
      </c>
      <c r="N20" s="29" t="n">
        <v>534101.33</v>
      </c>
      <c r="O20" s="29" t="n">
        <v>958008.23</v>
      </c>
      <c r="P20" s="145" t="n">
        <f aca="false">'$'!C43</f>
        <v>2.695537</v>
      </c>
      <c r="Q20" s="35"/>
      <c r="R20" s="35" t="n">
        <f aca="false">100*(L20/P20)/M20</f>
        <v>114.283039557427</v>
      </c>
      <c r="S20" s="146"/>
      <c r="T20" s="35"/>
      <c r="U20" s="29" t="n">
        <f aca="false">O20/I20</f>
        <v>1492.22465732087</v>
      </c>
      <c r="V20" s="29" t="n">
        <f aca="false">M20/I20</f>
        <v>662.787523364486</v>
      </c>
      <c r="W20" s="147"/>
      <c r="X20" s="143" t="n">
        <f aca="false">'UT1 (1273)'!F56</f>
        <v>106845.4</v>
      </c>
      <c r="Y20" s="143"/>
      <c r="Z20" s="143"/>
      <c r="AA20" s="143"/>
      <c r="AB20" s="148"/>
      <c r="AC20" s="149" t="n">
        <f aca="false">AB20/P20</f>
        <v>0</v>
      </c>
      <c r="AD20" s="150"/>
      <c r="AE20" s="148" t="n">
        <f aca="false">1000*SUM(X20:AA20)/O20</f>
        <v>111.528686971718</v>
      </c>
      <c r="AF20" s="151" t="n">
        <f aca="false">'UT1 (1273)'!G56</f>
        <v>21301</v>
      </c>
      <c r="AG20" s="143"/>
      <c r="AH20" s="143"/>
      <c r="AI20" s="143"/>
      <c r="AJ20" s="143"/>
      <c r="AK20" s="152"/>
      <c r="AL20" s="149" t="n">
        <f aca="false">AK20/P20</f>
        <v>0</v>
      </c>
      <c r="AM20" s="153"/>
      <c r="AN20" s="150" t="n">
        <f aca="false">AL20/SUM($AF$144:$AJ$144)</f>
        <v>0</v>
      </c>
      <c r="AO20" s="152"/>
      <c r="AP20" s="148" t="n">
        <f aca="false">1000*SUM(AF20:AJ20)/O20</f>
        <v>22.2346732866794</v>
      </c>
      <c r="AQ20" s="151" t="n">
        <f aca="false">'UT1 (1273)'!I56</f>
        <v>258757.2</v>
      </c>
      <c r="AR20" s="143"/>
      <c r="AS20" s="143"/>
      <c r="AT20" s="143"/>
      <c r="AU20" s="143"/>
      <c r="AV20" s="143"/>
      <c r="AW20" s="148"/>
      <c r="AX20" s="149" t="n">
        <f aca="false">AW20/P20</f>
        <v>0</v>
      </c>
      <c r="AY20" s="149"/>
      <c r="AZ20" s="148"/>
      <c r="BA20" s="148"/>
      <c r="BB20" s="148"/>
      <c r="BC20" s="148"/>
      <c r="BD20" s="148"/>
      <c r="BE20" s="148" t="n">
        <f aca="false">1000*SUM(AQ20:AV20)/O20</f>
        <v>270.099141006336</v>
      </c>
      <c r="BF20" s="151"/>
      <c r="BG20" s="143"/>
      <c r="BH20" s="143"/>
      <c r="BI20" s="143"/>
      <c r="BJ20" s="143"/>
    </row>
    <row r="21" customFormat="false" ht="18.75" hidden="false" customHeight="true" outlineLevel="0" collapsed="false">
      <c r="A21" s="18" t="n">
        <v>2015</v>
      </c>
      <c r="B21" s="18" t="n">
        <v>7</v>
      </c>
      <c r="C21" s="24"/>
      <c r="D21" s="24"/>
      <c r="E21" s="24"/>
      <c r="F21" s="24"/>
      <c r="G21" s="24"/>
      <c r="H21" s="24"/>
      <c r="I21" s="142" t="n">
        <v>642</v>
      </c>
      <c r="J21" s="143"/>
      <c r="K21" s="144"/>
      <c r="L21" s="25" t="n">
        <v>1381565</v>
      </c>
      <c r="M21" s="63" t="n">
        <v>391123.71</v>
      </c>
      <c r="N21" s="29" t="n">
        <v>516473.81</v>
      </c>
      <c r="O21" s="29" t="n">
        <v>917064.23</v>
      </c>
      <c r="P21" s="145" t="n">
        <f aca="false">'$'!C44</f>
        <v>2.697111</v>
      </c>
      <c r="Q21" s="35"/>
      <c r="R21" s="35" t="n">
        <f aca="false">100*(L21/P21)/M21</f>
        <v>130.965938192695</v>
      </c>
      <c r="S21" s="146"/>
      <c r="T21" s="35"/>
      <c r="U21" s="29" t="n">
        <f aca="false">O21/I21</f>
        <v>1428.44895638629</v>
      </c>
      <c r="V21" s="29" t="n">
        <f aca="false">M21/I21</f>
        <v>609.226962616823</v>
      </c>
      <c r="W21" s="147"/>
      <c r="X21" s="143" t="n">
        <f aca="false">'UT1 (1273)'!F57</f>
        <v>83693.52</v>
      </c>
      <c r="Y21" s="143"/>
      <c r="Z21" s="143"/>
      <c r="AA21" s="143"/>
      <c r="AB21" s="148"/>
      <c r="AC21" s="149" t="n">
        <f aca="false">AB21/P21</f>
        <v>0</v>
      </c>
      <c r="AD21" s="150"/>
      <c r="AE21" s="148" t="n">
        <f aca="false">1000*SUM(X21:AA21)/O21</f>
        <v>91.2624407998118</v>
      </c>
      <c r="AF21" s="151" t="n">
        <f aca="false">'UT1 (1273)'!G57</f>
        <v>18594</v>
      </c>
      <c r="AG21" s="143"/>
      <c r="AH21" s="143"/>
      <c r="AI21" s="143"/>
      <c r="AJ21" s="143"/>
      <c r="AK21" s="152"/>
      <c r="AL21" s="149" t="n">
        <f aca="false">AK21/P21</f>
        <v>0</v>
      </c>
      <c r="AM21" s="153"/>
      <c r="AN21" s="150" t="n">
        <f aca="false">AL21/SUM($AF$144:$AJ$144)</f>
        <v>0</v>
      </c>
      <c r="AO21" s="152"/>
      <c r="AP21" s="148" t="n">
        <f aca="false">1000*SUM(AF21:AJ21)/O21</f>
        <v>20.2755700110558</v>
      </c>
      <c r="AQ21" s="151" t="n">
        <f aca="false">'UT1 (1273)'!I57</f>
        <v>224190</v>
      </c>
      <c r="AR21" s="143"/>
      <c r="AS21" s="143"/>
      <c r="AT21" s="143"/>
      <c r="AU21" s="143"/>
      <c r="AV21" s="143"/>
      <c r="AW21" s="148"/>
      <c r="AX21" s="149" t="n">
        <f aca="false">AW21/P21</f>
        <v>0</v>
      </c>
      <c r="AY21" s="149"/>
      <c r="AZ21" s="148"/>
      <c r="BA21" s="148"/>
      <c r="BB21" s="148"/>
      <c r="BC21" s="148"/>
      <c r="BD21" s="148"/>
      <c r="BE21" s="148" t="n">
        <f aca="false">1000*SUM(AQ21:AV21)/O21</f>
        <v>244.464883337561</v>
      </c>
      <c r="BF21" s="151"/>
      <c r="BG21" s="143"/>
      <c r="BH21" s="143"/>
      <c r="BI21" s="143"/>
      <c r="BJ21" s="143"/>
    </row>
    <row r="22" customFormat="false" ht="18.75" hidden="false" customHeight="true" outlineLevel="0" collapsed="false">
      <c r="A22" s="18" t="n">
        <v>2015</v>
      </c>
      <c r="B22" s="18" t="n">
        <v>8</v>
      </c>
      <c r="C22" s="24"/>
      <c r="D22" s="24"/>
      <c r="E22" s="24"/>
      <c r="F22" s="24"/>
      <c r="G22" s="24"/>
      <c r="H22" s="24"/>
      <c r="I22" s="142" t="n">
        <v>648</v>
      </c>
      <c r="J22" s="143"/>
      <c r="K22" s="144"/>
      <c r="L22" s="25" t="n">
        <v>1408588</v>
      </c>
      <c r="M22" s="63" t="n">
        <v>581412.07</v>
      </c>
      <c r="N22" s="29" t="n">
        <v>533572.24</v>
      </c>
      <c r="O22" s="29" t="n">
        <v>1050679.19</v>
      </c>
      <c r="P22" s="145" t="n">
        <f aca="false">'$'!C45</f>
        <v>2.85218</v>
      </c>
      <c r="Q22" s="35"/>
      <c r="R22" s="35" t="n">
        <f aca="false">100*(L22/P22)/M22</f>
        <v>84.942103308015</v>
      </c>
      <c r="S22" s="146"/>
      <c r="T22" s="35"/>
      <c r="U22" s="29" t="n">
        <f aca="false">O22/I22</f>
        <v>1621.41850308642</v>
      </c>
      <c r="V22" s="29" t="n">
        <f aca="false">M22/I22</f>
        <v>897.240848765432</v>
      </c>
      <c r="W22" s="147"/>
      <c r="X22" s="143" t="n">
        <f aca="false">'UT1 (1273)'!F58</f>
        <v>100268.47</v>
      </c>
      <c r="Y22" s="143"/>
      <c r="Z22" s="143"/>
      <c r="AA22" s="143"/>
      <c r="AB22" s="148"/>
      <c r="AC22" s="149" t="n">
        <f aca="false">AB22/P22</f>
        <v>0</v>
      </c>
      <c r="AD22" s="150"/>
      <c r="AE22" s="148" t="n">
        <f aca="false">1000*SUM(X22:AA22)/O22</f>
        <v>95.4320509574383</v>
      </c>
      <c r="AF22" s="151" t="n">
        <f aca="false">'UT1 (1273)'!G58</f>
        <v>20622</v>
      </c>
      <c r="AG22" s="143"/>
      <c r="AH22" s="143"/>
      <c r="AI22" s="143"/>
      <c r="AJ22" s="143"/>
      <c r="AK22" s="152"/>
      <c r="AL22" s="149" t="n">
        <f aca="false">AK22/P22</f>
        <v>0</v>
      </c>
      <c r="AM22" s="153"/>
      <c r="AN22" s="150" t="n">
        <f aca="false">AL22/SUM($AF$144:$AJ$144)</f>
        <v>0</v>
      </c>
      <c r="AO22" s="152"/>
      <c r="AP22" s="148" t="n">
        <f aca="false">1000*SUM(AF22:AJ22)/O22</f>
        <v>19.6273041250584</v>
      </c>
      <c r="AQ22" s="151" t="n">
        <f aca="false">'UT1 (1273)'!I58</f>
        <v>297761.4</v>
      </c>
      <c r="AR22" s="143"/>
      <c r="AS22" s="143"/>
      <c r="AT22" s="143"/>
      <c r="AU22" s="143"/>
      <c r="AV22" s="143"/>
      <c r="AW22" s="148"/>
      <c r="AX22" s="149" t="n">
        <f aca="false">AW22/P22</f>
        <v>0</v>
      </c>
      <c r="AY22" s="149"/>
      <c r="AZ22" s="148"/>
      <c r="BA22" s="148"/>
      <c r="BB22" s="148"/>
      <c r="BC22" s="148"/>
      <c r="BD22" s="148"/>
      <c r="BE22" s="148" t="n">
        <f aca="false">1000*SUM(AQ22:AV22)/O22</f>
        <v>283.398969765452</v>
      </c>
      <c r="BF22" s="151"/>
      <c r="BG22" s="143"/>
      <c r="BH22" s="143"/>
      <c r="BI22" s="143"/>
      <c r="BJ22" s="143"/>
    </row>
    <row r="23" customFormat="false" ht="18.75" hidden="false" customHeight="true" outlineLevel="0" collapsed="false">
      <c r="A23" s="18" t="n">
        <v>2015</v>
      </c>
      <c r="B23" s="18" t="n">
        <v>9</v>
      </c>
      <c r="C23" s="24"/>
      <c r="D23" s="24"/>
      <c r="E23" s="24"/>
      <c r="F23" s="24"/>
      <c r="G23" s="24"/>
      <c r="H23" s="24"/>
      <c r="I23" s="142" t="n">
        <v>644</v>
      </c>
      <c r="J23" s="143"/>
      <c r="K23" s="144"/>
      <c r="L23" s="25" t="n">
        <v>1361890</v>
      </c>
      <c r="M23" s="63" t="n">
        <v>422058.24</v>
      </c>
      <c r="N23" s="29" t="n">
        <v>483675.26</v>
      </c>
      <c r="O23" s="29" t="n">
        <v>864524.21</v>
      </c>
      <c r="P23" s="145" t="n">
        <f aca="false">'$'!C46</f>
        <v>3.019192</v>
      </c>
      <c r="Q23" s="35"/>
      <c r="R23" s="35" t="n">
        <f aca="false">100*(L23/P23)/M23</f>
        <v>106.875685999027</v>
      </c>
      <c r="S23" s="146"/>
      <c r="T23" s="35"/>
      <c r="U23" s="29" t="n">
        <f aca="false">O23/I23</f>
        <v>1342.42889751553</v>
      </c>
      <c r="V23" s="29" t="n">
        <f aca="false">M23/I23</f>
        <v>655.369937888199</v>
      </c>
      <c r="W23" s="147"/>
      <c r="X23" s="143" t="n">
        <f aca="false">'UT1 (1273)'!F59</f>
        <v>92937.05</v>
      </c>
      <c r="Y23" s="143"/>
      <c r="Z23" s="143"/>
      <c r="AA23" s="143"/>
      <c r="AB23" s="148"/>
      <c r="AC23" s="149" t="n">
        <f aca="false">AB23/P23</f>
        <v>0</v>
      </c>
      <c r="AD23" s="150"/>
      <c r="AE23" s="148" t="n">
        <f aca="false">1000*SUM(X23:AA23)/O23</f>
        <v>107.500806715407</v>
      </c>
      <c r="AF23" s="151" t="n">
        <f aca="false">'UT1 (1273)'!G59</f>
        <v>20197</v>
      </c>
      <c r="AG23" s="143"/>
      <c r="AH23" s="143"/>
      <c r="AI23" s="143"/>
      <c r="AJ23" s="143"/>
      <c r="AK23" s="152"/>
      <c r="AL23" s="149" t="n">
        <f aca="false">AK23/P23</f>
        <v>0</v>
      </c>
      <c r="AM23" s="153"/>
      <c r="AN23" s="150" t="n">
        <f aca="false">AL23/SUM($AF$144:$AJ$144)</f>
        <v>0</v>
      </c>
      <c r="AO23" s="152"/>
      <c r="AP23" s="148" t="n">
        <f aca="false">1000*SUM(AF23:AJ23)/O23</f>
        <v>23.3619831190153</v>
      </c>
      <c r="AQ23" s="151" t="n">
        <f aca="false">'UT1 (1273)'!I59</f>
        <v>273988.8</v>
      </c>
      <c r="AR23" s="143"/>
      <c r="AS23" s="143"/>
      <c r="AT23" s="143"/>
      <c r="AU23" s="143"/>
      <c r="AV23" s="143"/>
      <c r="AW23" s="148"/>
      <c r="AX23" s="149" t="n">
        <f aca="false">AW23/P23</f>
        <v>0</v>
      </c>
      <c r="AY23" s="149"/>
      <c r="AZ23" s="148"/>
      <c r="BA23" s="148"/>
      <c r="BB23" s="148"/>
      <c r="BC23" s="148"/>
      <c r="BD23" s="148"/>
      <c r="BE23" s="148" t="n">
        <f aca="false">1000*SUM(AQ23:AV23)/O23</f>
        <v>316.924380868409</v>
      </c>
      <c r="BF23" s="151"/>
      <c r="BG23" s="143"/>
      <c r="BH23" s="143"/>
      <c r="BI23" s="143"/>
      <c r="BJ23" s="143"/>
    </row>
    <row r="24" customFormat="false" ht="18.75" hidden="false" customHeight="true" outlineLevel="0" collapsed="false">
      <c r="A24" s="18" t="n">
        <v>2015</v>
      </c>
      <c r="B24" s="18" t="n">
        <v>10</v>
      </c>
      <c r="C24" s="24"/>
      <c r="D24" s="24"/>
      <c r="E24" s="24"/>
      <c r="F24" s="24"/>
      <c r="G24" s="24"/>
      <c r="H24" s="24"/>
      <c r="I24" s="142" t="n">
        <v>676</v>
      </c>
      <c r="J24" s="143"/>
      <c r="K24" s="144"/>
      <c r="L24" s="25" t="n">
        <v>1516545</v>
      </c>
      <c r="M24" s="63" t="n">
        <v>493886.88</v>
      </c>
      <c r="N24" s="29" t="n">
        <v>626671.58</v>
      </c>
      <c r="O24" s="29" t="n">
        <v>1115134.68</v>
      </c>
      <c r="P24" s="145" t="n">
        <f aca="false">'$'!C47</f>
        <v>2.924633</v>
      </c>
      <c r="Q24" s="35"/>
      <c r="R24" s="35" t="n">
        <f aca="false">100*(L24/P24)/M24</f>
        <v>104.992054979077</v>
      </c>
      <c r="S24" s="146"/>
      <c r="T24" s="35"/>
      <c r="U24" s="29" t="n">
        <f aca="false">O24/I24</f>
        <v>1649.6075147929</v>
      </c>
      <c r="V24" s="29" t="n">
        <f aca="false">M24/I24</f>
        <v>730.601893491124</v>
      </c>
      <c r="W24" s="147"/>
      <c r="X24" s="143" t="n">
        <f aca="false">'UT1 (1273)'!F60</f>
        <v>105943.18</v>
      </c>
      <c r="Y24" s="143"/>
      <c r="Z24" s="143"/>
      <c r="AA24" s="143"/>
      <c r="AB24" s="148"/>
      <c r="AC24" s="149" t="n">
        <f aca="false">AB24/P24</f>
        <v>0</v>
      </c>
      <c r="AD24" s="150"/>
      <c r="AE24" s="148" t="n">
        <f aca="false">1000*SUM(X24:AA24)/O24</f>
        <v>95.0048293718208</v>
      </c>
      <c r="AF24" s="151" t="n">
        <f aca="false">'UT1 (1273)'!G60</f>
        <v>21150</v>
      </c>
      <c r="AG24" s="143"/>
      <c r="AH24" s="143"/>
      <c r="AI24" s="143"/>
      <c r="AJ24" s="143"/>
      <c r="AK24" s="152"/>
      <c r="AL24" s="149" t="n">
        <f aca="false">AK24/P24</f>
        <v>0</v>
      </c>
      <c r="AM24" s="153"/>
      <c r="AN24" s="150" t="n">
        <f aca="false">AL24/SUM($AF$144:$AJ$144)</f>
        <v>0</v>
      </c>
      <c r="AO24" s="152"/>
      <c r="AP24" s="148" t="n">
        <f aca="false">1000*SUM(AF24:AJ24)/O24</f>
        <v>18.9663189382649</v>
      </c>
      <c r="AQ24" s="151" t="n">
        <f aca="false">'UT1 (1273)'!I60</f>
        <v>327495.6</v>
      </c>
      <c r="AR24" s="143"/>
      <c r="AS24" s="143"/>
      <c r="AT24" s="143"/>
      <c r="AU24" s="143"/>
      <c r="AV24" s="143"/>
      <c r="AW24" s="148"/>
      <c r="AX24" s="149" t="n">
        <f aca="false">AW24/P24</f>
        <v>0</v>
      </c>
      <c r="AY24" s="149"/>
      <c r="AZ24" s="148"/>
      <c r="BA24" s="148"/>
      <c r="BB24" s="148"/>
      <c r="BC24" s="148"/>
      <c r="BD24" s="148"/>
      <c r="BE24" s="148" t="n">
        <f aca="false">1000*SUM(AQ24:AV24)/O24</f>
        <v>293.68255321411</v>
      </c>
      <c r="BF24" s="151"/>
      <c r="BG24" s="143"/>
      <c r="BH24" s="143"/>
      <c r="BI24" s="143"/>
      <c r="BJ24" s="143"/>
    </row>
    <row r="25" customFormat="false" ht="18.75" hidden="false" customHeight="true" outlineLevel="0" collapsed="false">
      <c r="A25" s="18" t="n">
        <v>2015</v>
      </c>
      <c r="B25" s="18" t="n">
        <v>11</v>
      </c>
      <c r="C25" s="24"/>
      <c r="D25" s="24"/>
      <c r="E25" s="24"/>
      <c r="F25" s="24"/>
      <c r="G25" s="24"/>
      <c r="H25" s="24"/>
      <c r="I25" s="142" t="n">
        <v>685</v>
      </c>
      <c r="J25" s="143"/>
      <c r="K25" s="144"/>
      <c r="L25" s="25" t="n">
        <v>1504736</v>
      </c>
      <c r="M25" s="63" t="n">
        <v>476139.92</v>
      </c>
      <c r="N25" s="29" t="n">
        <v>537138.4</v>
      </c>
      <c r="O25" s="29" t="n">
        <v>1056625.49</v>
      </c>
      <c r="P25" s="145" t="n">
        <f aca="false">'$'!C48</f>
        <v>2.88002</v>
      </c>
      <c r="Q25" s="35"/>
      <c r="R25" s="35" t="n">
        <f aca="false">100*(L25/P25)/M25</f>
        <v>109.731221336172</v>
      </c>
      <c r="S25" s="146"/>
      <c r="T25" s="35"/>
      <c r="U25" s="29" t="n">
        <f aca="false">O25/I25</f>
        <v>1542.51896350365</v>
      </c>
      <c r="V25" s="29" t="n">
        <f aca="false">M25/I25</f>
        <v>695.094773722628</v>
      </c>
      <c r="W25" s="147"/>
      <c r="X25" s="143" t="n">
        <f aca="false">'UT1 (1273)'!F61</f>
        <v>117330.42</v>
      </c>
      <c r="Y25" s="143"/>
      <c r="Z25" s="143"/>
      <c r="AA25" s="143"/>
      <c r="AB25" s="148"/>
      <c r="AC25" s="149" t="n">
        <f aca="false">AB25/P25</f>
        <v>0</v>
      </c>
      <c r="AD25" s="150"/>
      <c r="AE25" s="148" t="n">
        <f aca="false">1000*SUM(X25:AA25)/O25</f>
        <v>111.042579523612</v>
      </c>
      <c r="AF25" s="151" t="n">
        <f aca="false">'UT1 (1273)'!G61</f>
        <v>19648</v>
      </c>
      <c r="AG25" s="143"/>
      <c r="AH25" s="143"/>
      <c r="AI25" s="143"/>
      <c r="AJ25" s="143"/>
      <c r="AK25" s="152"/>
      <c r="AL25" s="149" t="n">
        <f aca="false">AK25/P25</f>
        <v>0</v>
      </c>
      <c r="AM25" s="153"/>
      <c r="AN25" s="150" t="n">
        <f aca="false">AL25/SUM($AF$144:$AJ$144)</f>
        <v>0</v>
      </c>
      <c r="AO25" s="152"/>
      <c r="AP25" s="148" t="n">
        <f aca="false">1000*SUM(AF25:AJ25)/O25</f>
        <v>18.5950463867761</v>
      </c>
      <c r="AQ25" s="151" t="n">
        <f aca="false">'UT1 (1273)'!I61</f>
        <v>339103.8</v>
      </c>
      <c r="AR25" s="143"/>
      <c r="AS25" s="143"/>
      <c r="AT25" s="143"/>
      <c r="AU25" s="143"/>
      <c r="AV25" s="143"/>
      <c r="AW25" s="148"/>
      <c r="AX25" s="149" t="n">
        <f aca="false">AW25/P25</f>
        <v>0</v>
      </c>
      <c r="AY25" s="149"/>
      <c r="AZ25" s="148"/>
      <c r="BA25" s="148"/>
      <c r="BB25" s="148"/>
      <c r="BC25" s="148"/>
      <c r="BD25" s="148"/>
      <c r="BE25" s="148" t="n">
        <f aca="false">1000*SUM(AQ25:AV25)/O25</f>
        <v>320.930928895157</v>
      </c>
      <c r="BF25" s="151"/>
      <c r="BG25" s="143"/>
      <c r="BH25" s="143"/>
      <c r="BI25" s="143"/>
      <c r="BJ25" s="143"/>
    </row>
    <row r="26" customFormat="false" ht="18.75" hidden="false" customHeight="true" outlineLevel="0" collapsed="false">
      <c r="A26" s="18" t="n">
        <v>2015</v>
      </c>
      <c r="B26" s="18" t="n">
        <v>12</v>
      </c>
      <c r="C26" s="24"/>
      <c r="D26" s="24"/>
      <c r="E26" s="24"/>
      <c r="F26" s="24"/>
      <c r="G26" s="24"/>
      <c r="H26" s="24"/>
      <c r="I26" s="142" t="n">
        <v>650</v>
      </c>
      <c r="J26" s="143"/>
      <c r="K26" s="144"/>
      <c r="L26" s="25" t="n">
        <v>1489792</v>
      </c>
      <c r="M26" s="63" t="n">
        <v>458236.59</v>
      </c>
      <c r="N26" s="29" t="n">
        <v>585870.12</v>
      </c>
      <c r="O26" s="29" t="n">
        <v>1079477.18</v>
      </c>
      <c r="P26" s="145" t="n">
        <f aca="false">'$'!C49</f>
        <v>2.92173</v>
      </c>
      <c r="Q26" s="35"/>
      <c r="R26" s="35" t="n">
        <f aca="false">100*(L26/P26)/M26</f>
        <v>111.274536382734</v>
      </c>
      <c r="S26" s="146"/>
      <c r="T26" s="35"/>
      <c r="U26" s="29" t="n">
        <f aca="false">O26/I26</f>
        <v>1660.73412307692</v>
      </c>
      <c r="V26" s="29" t="n">
        <f aca="false">M26/I26</f>
        <v>704.979369230769</v>
      </c>
      <c r="W26" s="147"/>
      <c r="X26" s="143" t="n">
        <f aca="false">'UT1 (1273)'!F62</f>
        <v>125916.92</v>
      </c>
      <c r="Y26" s="143"/>
      <c r="Z26" s="143"/>
      <c r="AA26" s="143"/>
      <c r="AB26" s="148"/>
      <c r="AC26" s="149" t="n">
        <f aca="false">AB26/P26</f>
        <v>0</v>
      </c>
      <c r="AD26" s="150"/>
      <c r="AE26" s="148" t="n">
        <f aca="false">1000*SUM(X26:AA26)/O26</f>
        <v>116.646208306136</v>
      </c>
      <c r="AF26" s="151" t="n">
        <f aca="false">'UT1 (1273)'!G62</f>
        <v>18840</v>
      </c>
      <c r="AG26" s="143"/>
      <c r="AH26" s="143"/>
      <c r="AI26" s="143"/>
      <c r="AJ26" s="143"/>
      <c r="AK26" s="152"/>
      <c r="AL26" s="149" t="n">
        <f aca="false">AK26/P26</f>
        <v>0</v>
      </c>
      <c r="AM26" s="153"/>
      <c r="AN26" s="150" t="n">
        <f aca="false">AL26/SUM($AF$144:$AJ$144)</f>
        <v>0</v>
      </c>
      <c r="AO26" s="152"/>
      <c r="AP26" s="148" t="n">
        <f aca="false">1000*SUM(AF26:AJ26)/O26</f>
        <v>17.4528932607913</v>
      </c>
      <c r="AQ26" s="151" t="n">
        <f aca="false">'UT1 (1273)'!I62</f>
        <v>342966.6</v>
      </c>
      <c r="AR26" s="143"/>
      <c r="AS26" s="143"/>
      <c r="AT26" s="143"/>
      <c r="AU26" s="143"/>
      <c r="AV26" s="143"/>
      <c r="AW26" s="148"/>
      <c r="AX26" s="149" t="n">
        <f aca="false">AW26/P26</f>
        <v>0</v>
      </c>
      <c r="AY26" s="149"/>
      <c r="AZ26" s="148"/>
      <c r="BA26" s="148"/>
      <c r="BB26" s="148"/>
      <c r="BC26" s="148"/>
      <c r="BD26" s="148"/>
      <c r="BE26" s="148" t="n">
        <f aca="false">1000*SUM(AQ26:AV26)/O26</f>
        <v>317.715470372426</v>
      </c>
      <c r="BF26" s="151"/>
      <c r="BG26" s="143"/>
      <c r="BH26" s="143"/>
      <c r="BI26" s="143"/>
      <c r="BJ26" s="143"/>
    </row>
    <row r="27" customFormat="false" ht="18.75" hidden="false" customHeight="true" outlineLevel="0" collapsed="false">
      <c r="A27" s="18" t="n">
        <v>2016</v>
      </c>
      <c r="B27" s="18" t="n">
        <v>1</v>
      </c>
      <c r="C27" s="24" t="n">
        <f aca="false">SUM('UT1 (1273)'!C63:E63)</f>
        <v>198776.39</v>
      </c>
      <c r="D27" s="24" t="n">
        <f aca="false">SUM('UT2 (12334)'!C3:E3)</f>
        <v>99772.88</v>
      </c>
      <c r="E27" s="24" t="n">
        <f aca="false">SUM('UT3 (1279)'!C3:E3)</f>
        <v>67715.55</v>
      </c>
      <c r="F27" s="24" t="n">
        <f aca="false">SUM('Osm.'!C3:E3)</f>
        <v>126996.99</v>
      </c>
      <c r="G27" s="24"/>
      <c r="H27" s="24"/>
      <c r="I27" s="142" t="n">
        <v>633</v>
      </c>
      <c r="J27" s="143"/>
      <c r="K27" s="144"/>
      <c r="L27" s="25" t="n">
        <v>1696742</v>
      </c>
      <c r="M27" s="63" t="n">
        <v>404856.95</v>
      </c>
      <c r="N27" s="29" t="n">
        <v>503968.62</v>
      </c>
      <c r="O27" s="29" t="n">
        <v>945023.79</v>
      </c>
      <c r="P27" s="145" t="n">
        <f aca="false">'$'!C50</f>
        <v>3.001791</v>
      </c>
      <c r="Q27" s="35" t="n">
        <f aca="false">100*(SUM(C27:H27)/P27)/M27</f>
        <v>40.5877934908027</v>
      </c>
      <c r="R27" s="35" t="n">
        <f aca="false">100*(L27/P27)/M27</f>
        <v>139.615539875612</v>
      </c>
      <c r="S27" s="146" t="n">
        <f aca="false">SUM(Q27:R27)</f>
        <v>180.203333366415</v>
      </c>
      <c r="T27" s="35" t="n">
        <f aca="false">100*SUM(L27,C27:H27)/O27/P27</f>
        <v>77.2007781164534</v>
      </c>
      <c r="U27" s="29" t="n">
        <f aca="false">O27/I27</f>
        <v>1492.92857819905</v>
      </c>
      <c r="V27" s="29" t="n">
        <f aca="false">M27/I27</f>
        <v>639.584439178515</v>
      </c>
      <c r="W27" s="147"/>
      <c r="X27" s="143" t="n">
        <f aca="false">'UT1 (1273)'!F63</f>
        <v>113068.31</v>
      </c>
      <c r="Y27" s="143" t="n">
        <f aca="false">'UT2 (12334)'!F3</f>
        <v>11529.5</v>
      </c>
      <c r="Z27" s="143"/>
      <c r="AA27" s="143"/>
      <c r="AB27" s="148"/>
      <c r="AC27" s="149" t="n">
        <f aca="false">AB27/P27</f>
        <v>0</v>
      </c>
      <c r="AD27" s="150"/>
      <c r="AE27" s="148" t="n">
        <f aca="false">1000*SUM(X27:AA27)/O27</f>
        <v>131.846215215386</v>
      </c>
      <c r="AF27" s="151" t="n">
        <f aca="false">'UT1 (1273)'!G63</f>
        <v>16744</v>
      </c>
      <c r="AG27" s="143" t="n">
        <f aca="false">'UT2 (12334)'!G3</f>
        <v>2094</v>
      </c>
      <c r="AH27" s="143"/>
      <c r="AI27" s="143"/>
      <c r="AJ27" s="143"/>
      <c r="AK27" s="152"/>
      <c r="AL27" s="149" t="n">
        <f aca="false">AK27/P27</f>
        <v>0</v>
      </c>
      <c r="AM27" s="153"/>
      <c r="AN27" s="150" t="n">
        <f aca="false">AL27/SUM($AF$144:$AJ$144)</f>
        <v>0</v>
      </c>
      <c r="AO27" s="152"/>
      <c r="AP27" s="148" t="n">
        <f aca="false">1000*SUM(AF27:AJ27)/O27</f>
        <v>19.9338897066284</v>
      </c>
      <c r="AQ27" s="151" t="n">
        <f aca="false">'UT1 (1273)'!I63</f>
        <v>319743</v>
      </c>
      <c r="AR27" s="143" t="n">
        <f aca="false">'UT2 (12334)'!H3</f>
        <v>379834.56</v>
      </c>
      <c r="AS27" s="143"/>
      <c r="AT27" s="143"/>
      <c r="AU27" s="143"/>
      <c r="AV27" s="143"/>
      <c r="AW27" s="148"/>
      <c r="AX27" s="149" t="n">
        <f aca="false">AW27/P27</f>
        <v>0</v>
      </c>
      <c r="AY27" s="149"/>
      <c r="AZ27" s="148"/>
      <c r="BA27" s="148"/>
      <c r="BB27" s="148"/>
      <c r="BC27" s="148"/>
      <c r="BD27" s="148"/>
      <c r="BE27" s="148" t="n">
        <f aca="false">1000*SUM(AQ27:AV27)/O27</f>
        <v>740.275078154382</v>
      </c>
      <c r="BF27" s="151"/>
      <c r="BG27" s="143"/>
      <c r="BH27" s="143"/>
      <c r="BI27" s="143"/>
      <c r="BJ27" s="143"/>
    </row>
    <row r="28" customFormat="false" ht="18.75" hidden="false" customHeight="true" outlineLevel="0" collapsed="false">
      <c r="A28" s="18" t="n">
        <v>2016</v>
      </c>
      <c r="B28" s="18" t="n">
        <v>2</v>
      </c>
      <c r="C28" s="24" t="n">
        <f aca="false">SUM('UT1 (1273)'!C64:E64)</f>
        <v>206057.81</v>
      </c>
      <c r="D28" s="24" t="n">
        <f aca="false">SUM('UT2 (12334)'!C4:E4)</f>
        <v>107227.65</v>
      </c>
      <c r="E28" s="24" t="n">
        <f aca="false">SUM('UT3 (1279)'!C4:E4)</f>
        <v>67417.94</v>
      </c>
      <c r="F28" s="24" t="n">
        <f aca="false">SUM('Osm.'!C4:E4)</f>
        <v>140048.49</v>
      </c>
      <c r="G28" s="24"/>
      <c r="H28" s="24"/>
      <c r="I28" s="142" t="n">
        <v>638</v>
      </c>
      <c r="J28" s="143"/>
      <c r="K28" s="144"/>
      <c r="L28" s="25" t="n">
        <v>1607834</v>
      </c>
      <c r="M28" s="63" t="n">
        <v>484846.13</v>
      </c>
      <c r="N28" s="29" t="n">
        <v>583521.02</v>
      </c>
      <c r="O28" s="29" t="n">
        <v>1107047.41</v>
      </c>
      <c r="P28" s="145" t="n">
        <f aca="false">'$'!C51</f>
        <v>2.945324</v>
      </c>
      <c r="Q28" s="35" t="n">
        <f aca="false">100*(SUM(C28:H28)/P28)/M28</f>
        <v>36.4664800775971</v>
      </c>
      <c r="R28" s="35" t="n">
        <f aca="false">100*(L28/P28)/M28</f>
        <v>112.591135346783</v>
      </c>
      <c r="S28" s="146" t="n">
        <f aca="false">SUM(Q28:R28)</f>
        <v>149.05761542438</v>
      </c>
      <c r="T28" s="35" t="n">
        <f aca="false">100*SUM(L28,C28:H28)/O28/P28</f>
        <v>65.281764206954</v>
      </c>
      <c r="U28" s="29" t="n">
        <f aca="false">O28/I28</f>
        <v>1735.18402821317</v>
      </c>
      <c r="V28" s="29" t="n">
        <f aca="false">M28/I28</f>
        <v>759.946912225705</v>
      </c>
      <c r="W28" s="147"/>
      <c r="X28" s="143" t="n">
        <f aca="false">'UT1 (1273)'!F64</f>
        <v>113514.67</v>
      </c>
      <c r="Y28" s="143" t="n">
        <f aca="false">'UT2 (12334)'!F4</f>
        <v>11801.3</v>
      </c>
      <c r="Z28" s="143"/>
      <c r="AA28" s="143"/>
      <c r="AB28" s="148"/>
      <c r="AC28" s="149" t="n">
        <f aca="false">AB28/P28</f>
        <v>0</v>
      </c>
      <c r="AD28" s="150"/>
      <c r="AE28" s="148" t="n">
        <f aca="false">1000*SUM(X28:AA28)/O28</f>
        <v>113.198376933107</v>
      </c>
      <c r="AF28" s="151" t="n">
        <f aca="false">'UT1 (1273)'!G64</f>
        <v>18653</v>
      </c>
      <c r="AG28" s="143" t="n">
        <f aca="false">'UT2 (12334)'!G4</f>
        <v>1703</v>
      </c>
      <c r="AH28" s="143"/>
      <c r="AI28" s="143"/>
      <c r="AJ28" s="143"/>
      <c r="AK28" s="152"/>
      <c r="AL28" s="149" t="n">
        <f aca="false">AK28/P28</f>
        <v>0</v>
      </c>
      <c r="AM28" s="153"/>
      <c r="AN28" s="150" t="n">
        <f aca="false">AL28/SUM($AF$144:$AJ$144)</f>
        <v>0</v>
      </c>
      <c r="AO28" s="152"/>
      <c r="AP28" s="148" t="n">
        <f aca="false">1000*SUM(AF28:AJ28)/O28</f>
        <v>18.387649721343</v>
      </c>
      <c r="AQ28" s="151" t="n">
        <f aca="false">'UT1 (1273)'!I64</f>
        <v>332553.6</v>
      </c>
      <c r="AR28" s="143" t="n">
        <f aca="false">'UT2 (12334)'!H4</f>
        <v>402900.12</v>
      </c>
      <c r="AS28" s="143"/>
      <c r="AT28" s="143"/>
      <c r="AU28" s="143"/>
      <c r="AV28" s="143"/>
      <c r="AW28" s="148"/>
      <c r="AX28" s="149" t="n">
        <f aca="false">AW28/P28</f>
        <v>0</v>
      </c>
      <c r="AY28" s="149"/>
      <c r="AZ28" s="148"/>
      <c r="BA28" s="148"/>
      <c r="BB28" s="148"/>
      <c r="BC28" s="148"/>
      <c r="BD28" s="148"/>
      <c r="BE28" s="148" t="n">
        <f aca="false">1000*SUM(AQ28:AV28)/O28</f>
        <v>664.338052152618</v>
      </c>
      <c r="BF28" s="151"/>
      <c r="BG28" s="143"/>
      <c r="BH28" s="143"/>
      <c r="BI28" s="143"/>
      <c r="BJ28" s="143"/>
    </row>
    <row r="29" customFormat="false" ht="18.75" hidden="false" customHeight="true" outlineLevel="0" collapsed="false">
      <c r="A29" s="18" t="n">
        <v>2016</v>
      </c>
      <c r="B29" s="18" t="n">
        <v>3</v>
      </c>
      <c r="C29" s="24" t="n">
        <f aca="false">SUM('UT1 (1273)'!C65:E65)</f>
        <v>177502.8</v>
      </c>
      <c r="D29" s="24" t="n">
        <f aca="false">SUM('UT2 (12334)'!C5:E5)</f>
        <v>103057.93</v>
      </c>
      <c r="E29" s="24" t="n">
        <f aca="false">SUM('UT3 (1279)'!C5:E5)</f>
        <v>70357.73</v>
      </c>
      <c r="F29" s="24" t="n">
        <f aca="false">SUM('Osm.'!C5:E5)</f>
        <v>139193.25</v>
      </c>
      <c r="G29" s="24"/>
      <c r="H29" s="24"/>
      <c r="I29" s="142" t="n">
        <v>631</v>
      </c>
      <c r="J29" s="143"/>
      <c r="K29" s="144"/>
      <c r="L29" s="25" t="n">
        <v>1659224</v>
      </c>
      <c r="M29" s="63" t="n">
        <v>479236.52</v>
      </c>
      <c r="N29" s="29" t="n">
        <v>591774.08</v>
      </c>
      <c r="O29" s="29" t="n">
        <v>1129087.13</v>
      </c>
      <c r="P29" s="145" t="n">
        <f aca="false">'$'!C52</f>
        <v>2.882802</v>
      </c>
      <c r="Q29" s="35" t="n">
        <f aca="false">100*(SUM(C29:H29)/P29)/M29</f>
        <v>35.4756497507704</v>
      </c>
      <c r="R29" s="35" t="n">
        <f aca="false">100*(L29/P29)/M29</f>
        <v>120.099251417748</v>
      </c>
      <c r="S29" s="146" t="n">
        <f aca="false">SUM(Q29:R29)</f>
        <v>155.574901168518</v>
      </c>
      <c r="T29" s="35" t="n">
        <f aca="false">100*SUM(L29,C29:H29)/O29/P29</f>
        <v>66.0331450552843</v>
      </c>
      <c r="U29" s="29" t="n">
        <f aca="false">O29/I29</f>
        <v>1789.36153724247</v>
      </c>
      <c r="V29" s="29" t="n">
        <f aca="false">M29/I29</f>
        <v>759.48735340729</v>
      </c>
      <c r="W29" s="147"/>
      <c r="X29" s="143" t="n">
        <f aca="false">'UT1 (1273)'!F65</f>
        <v>98130.62</v>
      </c>
      <c r="Y29" s="143" t="n">
        <f aca="false">'UT2 (12334)'!F5</f>
        <v>9271.63</v>
      </c>
      <c r="Z29" s="143"/>
      <c r="AA29" s="143"/>
      <c r="AB29" s="148"/>
      <c r="AC29" s="149" t="n">
        <f aca="false">AB29/P29</f>
        <v>0</v>
      </c>
      <c r="AD29" s="150"/>
      <c r="AE29" s="148" t="n">
        <f aca="false">1000*SUM(X29:AA29)/O29</f>
        <v>95.1230840794368</v>
      </c>
      <c r="AF29" s="151" t="n">
        <f aca="false">'UT1 (1273)'!G65</f>
        <v>17623</v>
      </c>
      <c r="AG29" s="143" t="n">
        <f aca="false">'UT2 (12334)'!G5</f>
        <v>1475</v>
      </c>
      <c r="AH29" s="143"/>
      <c r="AI29" s="143"/>
      <c r="AJ29" s="143"/>
      <c r="AK29" s="152"/>
      <c r="AL29" s="149" t="n">
        <f aca="false">AK29/P29</f>
        <v>0</v>
      </c>
      <c r="AM29" s="153"/>
      <c r="AN29" s="150" t="n">
        <f aca="false">AL29/SUM($AF$144:$AJ$144)</f>
        <v>0</v>
      </c>
      <c r="AO29" s="152"/>
      <c r="AP29" s="148" t="n">
        <f aca="false">1000*SUM(AF29:AJ29)/O29</f>
        <v>16.914549366974</v>
      </c>
      <c r="AQ29" s="151" t="n">
        <f aca="false">'UT1 (1273)'!I65</f>
        <v>278049.6</v>
      </c>
      <c r="AR29" s="143" t="n">
        <f aca="false">'UT2 (12334)'!H5</f>
        <v>396199.44</v>
      </c>
      <c r="AS29" s="143"/>
      <c r="AT29" s="143"/>
      <c r="AU29" s="143"/>
      <c r="AV29" s="143"/>
      <c r="AW29" s="148"/>
      <c r="AX29" s="149" t="n">
        <f aca="false">AW29/P29</f>
        <v>0</v>
      </c>
      <c r="AY29" s="149"/>
      <c r="AZ29" s="148"/>
      <c r="BA29" s="148"/>
      <c r="BB29" s="148"/>
      <c r="BC29" s="148"/>
      <c r="BD29" s="148"/>
      <c r="BE29" s="148" t="n">
        <f aca="false">1000*SUM(AQ29:AV29)/O29</f>
        <v>597.162984224256</v>
      </c>
      <c r="BF29" s="151"/>
      <c r="BG29" s="143"/>
      <c r="BH29" s="143"/>
      <c r="BI29" s="143"/>
      <c r="BJ29" s="143"/>
    </row>
    <row r="30" customFormat="false" ht="18.75" hidden="false" customHeight="true" outlineLevel="0" collapsed="false">
      <c r="A30" s="18" t="n">
        <v>2016</v>
      </c>
      <c r="B30" s="18" t="n">
        <v>4</v>
      </c>
      <c r="C30" s="24" t="n">
        <f aca="false">SUM('UT1 (1273)'!C66:E66)</f>
        <v>171435.74</v>
      </c>
      <c r="D30" s="24" t="n">
        <f aca="false">SUM('UT2 (12334)'!C6:E6)</f>
        <v>91949.13</v>
      </c>
      <c r="E30" s="24" t="n">
        <f aca="false">SUM('UT3 (1279)'!C6:E6)</f>
        <v>61595.05</v>
      </c>
      <c r="F30" s="24" t="n">
        <f aca="false">SUM('Osm.'!C6:E6)</f>
        <v>121991.76</v>
      </c>
      <c r="G30" s="24"/>
      <c r="H30" s="24"/>
      <c r="I30" s="142" t="n">
        <v>639</v>
      </c>
      <c r="J30" s="143"/>
      <c r="K30" s="144"/>
      <c r="L30" s="25" t="n">
        <v>1644234</v>
      </c>
      <c r="M30" s="63" t="n">
        <v>438293.88</v>
      </c>
      <c r="N30" s="29" t="n">
        <v>566050.45</v>
      </c>
      <c r="O30" s="29" t="n">
        <v>1023250.66</v>
      </c>
      <c r="P30" s="145" t="n">
        <f aca="false">'$'!C53</f>
        <v>2.834917</v>
      </c>
      <c r="Q30" s="35" t="n">
        <f aca="false">100*(SUM(C30:H30)/P30)/M30</f>
        <v>35.9728007706037</v>
      </c>
      <c r="R30" s="35" t="n">
        <f aca="false">100*(L30/P30)/M30</f>
        <v>132.329865064947</v>
      </c>
      <c r="S30" s="146" t="n">
        <f aca="false">SUM(Q30:R30)</f>
        <v>168.302665835551</v>
      </c>
      <c r="T30" s="35" t="n">
        <f aca="false">100*SUM(L30,C30:H30)/O30/P30</f>
        <v>72.0898908810937</v>
      </c>
      <c r="U30" s="29" t="n">
        <f aca="false">O30/I30</f>
        <v>1601.33123630673</v>
      </c>
      <c r="V30" s="29" t="n">
        <f aca="false">M30/I30</f>
        <v>685.905915492958</v>
      </c>
      <c r="W30" s="147"/>
      <c r="X30" s="143" t="n">
        <f aca="false">'UT1 (1273)'!F66</f>
        <v>92708.78</v>
      </c>
      <c r="Y30" s="143" t="n">
        <f aca="false">'UT2 (12334)'!F6</f>
        <v>8085.83</v>
      </c>
      <c r="Z30" s="143"/>
      <c r="AA30" s="143"/>
      <c r="AB30" s="148"/>
      <c r="AC30" s="149" t="n">
        <f aca="false">AB30/P30</f>
        <v>0</v>
      </c>
      <c r="AD30" s="150"/>
      <c r="AE30" s="148" t="n">
        <f aca="false">1000*SUM(X30:AA30)/O30</f>
        <v>98.5043195574386</v>
      </c>
      <c r="AF30" s="151" t="n">
        <f aca="false">'UT1 (1273)'!G66</f>
        <v>17623</v>
      </c>
      <c r="AG30" s="143" t="n">
        <f aca="false">'UT2 (12334)'!G6</f>
        <v>1857.93</v>
      </c>
      <c r="AH30" s="143"/>
      <c r="AI30" s="143"/>
      <c r="AJ30" s="143"/>
      <c r="AK30" s="152"/>
      <c r="AL30" s="149" t="n">
        <f aca="false">AK30/P30</f>
        <v>0</v>
      </c>
      <c r="AM30" s="153"/>
      <c r="AN30" s="150" t="n">
        <f aca="false">AL30/SUM($AF$144:$AJ$144)</f>
        <v>0</v>
      </c>
      <c r="AO30" s="152"/>
      <c r="AP30" s="148" t="n">
        <f aca="false">1000*SUM(AF30:AJ30)/O30</f>
        <v>19.0382774832513</v>
      </c>
      <c r="AQ30" s="151" t="n">
        <f aca="false">'UT1 (1273)'!I66</f>
        <v>274428</v>
      </c>
      <c r="AR30" s="143" t="n">
        <f aca="false">'UT2 (12334)'!H6</f>
        <v>352164.96</v>
      </c>
      <c r="AS30" s="143"/>
      <c r="AT30" s="143"/>
      <c r="AU30" s="143"/>
      <c r="AV30" s="143"/>
      <c r="AW30" s="148"/>
      <c r="AX30" s="149" t="n">
        <f aca="false">AW30/P30</f>
        <v>0</v>
      </c>
      <c r="AY30" s="149"/>
      <c r="AZ30" s="148"/>
      <c r="BA30" s="148"/>
      <c r="BB30" s="148"/>
      <c r="BC30" s="148"/>
      <c r="BD30" s="148"/>
      <c r="BE30" s="148" t="n">
        <f aca="false">1000*SUM(AQ30:AV30)/O30</f>
        <v>612.355295231376</v>
      </c>
      <c r="BF30" s="151"/>
      <c r="BG30" s="143"/>
      <c r="BH30" s="143"/>
      <c r="BI30" s="143"/>
      <c r="BJ30" s="143"/>
    </row>
    <row r="31" customFormat="false" ht="18.75" hidden="false" customHeight="true" outlineLevel="0" collapsed="false">
      <c r="A31" s="18" t="n">
        <v>2016</v>
      </c>
      <c r="B31" s="18" t="n">
        <v>5</v>
      </c>
      <c r="C31" s="24" t="n">
        <f aca="false">SUM('UT1 (1273)'!C67:E67)</f>
        <v>203567.57</v>
      </c>
      <c r="D31" s="24" t="n">
        <f aca="false">SUM('UT2 (12334)'!C7:E7)</f>
        <v>89962.16</v>
      </c>
      <c r="E31" s="24" t="n">
        <f aca="false">SUM('UT3 (1279)'!C7:E7)</f>
        <v>77754.88</v>
      </c>
      <c r="F31" s="24" t="n">
        <f aca="false">SUM('Osm.'!C7:E7)</f>
        <v>13088.6</v>
      </c>
      <c r="G31" s="24"/>
      <c r="H31" s="24"/>
      <c r="I31" s="142" t="n">
        <v>630</v>
      </c>
      <c r="J31" s="143"/>
      <c r="K31" s="144"/>
      <c r="L31" s="25" t="n">
        <v>1703049</v>
      </c>
      <c r="M31" s="63" t="n">
        <v>434698.59</v>
      </c>
      <c r="N31" s="29" t="n">
        <v>633530.74</v>
      </c>
      <c r="O31" s="29" t="n">
        <v>1087659.1</v>
      </c>
      <c r="P31" s="145" t="n">
        <f aca="false">'$'!C54</f>
        <v>2.940724</v>
      </c>
      <c r="Q31" s="35" t="n">
        <f aca="false">100*(SUM(C31:H31)/P31)/M31</f>
        <v>30.0684203656566</v>
      </c>
      <c r="R31" s="35" t="n">
        <f aca="false">100*(L31/P31)/M31</f>
        <v>133.224667856824</v>
      </c>
      <c r="S31" s="146" t="n">
        <f aca="false">SUM(Q31:R31)</f>
        <v>163.29308822248</v>
      </c>
      <c r="T31" s="35" t="n">
        <f aca="false">100*SUM(L31,C31:H31)/O31/P31</f>
        <v>65.2624293834878</v>
      </c>
      <c r="U31" s="29" t="n">
        <f aca="false">O31/I31</f>
        <v>1726.44301587302</v>
      </c>
      <c r="V31" s="29" t="n">
        <f aca="false">M31/I31</f>
        <v>689.997761904762</v>
      </c>
      <c r="W31" s="147"/>
      <c r="X31" s="143" t="n">
        <f aca="false">'UT1 (1273)'!F67</f>
        <v>112980.98</v>
      </c>
      <c r="Y31" s="143" t="n">
        <f aca="false">'UT2 (12334)'!F7</f>
        <v>11888.61</v>
      </c>
      <c r="Z31" s="143"/>
      <c r="AA31" s="143"/>
      <c r="AB31" s="148"/>
      <c r="AC31" s="149" t="n">
        <f aca="false">AB31/P31</f>
        <v>0</v>
      </c>
      <c r="AD31" s="150"/>
      <c r="AE31" s="148" t="n">
        <f aca="false">1000*SUM(X31:AA31)/O31</f>
        <v>114.805815535401</v>
      </c>
      <c r="AF31" s="151" t="n">
        <f aca="false">'UT1 (1273)'!G67</f>
        <v>21094</v>
      </c>
      <c r="AG31" s="143" t="n">
        <f aca="false">'UT2 (12334)'!G7</f>
        <v>2287</v>
      </c>
      <c r="AH31" s="143"/>
      <c r="AI31" s="143"/>
      <c r="AJ31" s="143"/>
      <c r="AK31" s="152"/>
      <c r="AL31" s="149" t="n">
        <f aca="false">AK31/P31</f>
        <v>0</v>
      </c>
      <c r="AM31" s="153"/>
      <c r="AN31" s="150" t="n">
        <f aca="false">AL31/SUM($AF$144:$AJ$144)</f>
        <v>0</v>
      </c>
      <c r="AO31" s="152"/>
      <c r="AP31" s="148" t="n">
        <f aca="false">1000*SUM(AF31:AJ31)/O31</f>
        <v>21.496625183387</v>
      </c>
      <c r="AQ31" s="151" t="n">
        <f aca="false">'UT1 (1273)'!I67</f>
        <v>311576.4</v>
      </c>
      <c r="AR31" s="143" t="n">
        <f aca="false">'UT2 (12334)'!H7</f>
        <v>323530.2</v>
      </c>
      <c r="AS31" s="143"/>
      <c r="AT31" s="143"/>
      <c r="AU31" s="143"/>
      <c r="AV31" s="143"/>
      <c r="AW31" s="148"/>
      <c r="AX31" s="149" t="n">
        <f aca="false">AW31/P31</f>
        <v>0</v>
      </c>
      <c r="AY31" s="149"/>
      <c r="AZ31" s="148"/>
      <c r="BA31" s="148"/>
      <c r="BB31" s="148"/>
      <c r="BC31" s="148"/>
      <c r="BD31" s="148"/>
      <c r="BE31" s="148" t="n">
        <f aca="false">1000*SUM(AQ31:AV31)/O31</f>
        <v>583.920642046759</v>
      </c>
      <c r="BF31" s="151"/>
      <c r="BG31" s="143"/>
      <c r="BH31" s="143"/>
      <c r="BI31" s="143"/>
      <c r="BJ31" s="143"/>
    </row>
    <row r="32" customFormat="false" ht="18.75" hidden="false" customHeight="true" outlineLevel="0" collapsed="false">
      <c r="A32" s="18" t="n">
        <v>2016</v>
      </c>
      <c r="B32" s="18" t="n">
        <v>6</v>
      </c>
      <c r="C32" s="24" t="n">
        <f aca="false">SUM('UT1 (1273)'!C68:E68)</f>
        <v>197023.01</v>
      </c>
      <c r="D32" s="24" t="n">
        <f aca="false">SUM('UT2 (12334)'!C8:E8)</f>
        <v>90430.19</v>
      </c>
      <c r="E32" s="24" t="n">
        <f aca="false">SUM('UT3 (1279)'!C8:E8)</f>
        <v>67153.24</v>
      </c>
      <c r="F32" s="24" t="n">
        <f aca="false">SUM('Osm.'!C8:E8)</f>
        <v>113256.34</v>
      </c>
      <c r="G32" s="24"/>
      <c r="H32" s="24"/>
      <c r="I32" s="142" t="n">
        <v>620</v>
      </c>
      <c r="J32" s="143"/>
      <c r="K32" s="144"/>
      <c r="L32" s="25" t="n">
        <v>1619634</v>
      </c>
      <c r="M32" s="63" t="n">
        <v>469947.81</v>
      </c>
      <c r="N32" s="29" t="n">
        <v>577289.57</v>
      </c>
      <c r="O32" s="29" t="n">
        <v>1035717.17</v>
      </c>
      <c r="P32" s="145" t="n">
        <f aca="false">'$'!C55</f>
        <v>2.914586</v>
      </c>
      <c r="Q32" s="35" t="n">
        <f aca="false">100*(SUM(C32:H32)/P32)/M32</f>
        <v>34.1579652579126</v>
      </c>
      <c r="R32" s="35" t="n">
        <f aca="false">100*(L32/P32)/M32</f>
        <v>118.247067874333</v>
      </c>
      <c r="S32" s="146" t="n">
        <f aca="false">SUM(Q32:R32)</f>
        <v>152.405033132246</v>
      </c>
      <c r="T32" s="35" t="n">
        <f aca="false">100*SUM(L32,C32:H32)/O32/P32</f>
        <v>69.1524806463102</v>
      </c>
      <c r="U32" s="29" t="n">
        <f aca="false">O32/I32</f>
        <v>1670.51156451613</v>
      </c>
      <c r="V32" s="29" t="n">
        <f aca="false">M32/I32</f>
        <v>757.980338709677</v>
      </c>
      <c r="W32" s="147"/>
      <c r="X32" s="143" t="n">
        <f aca="false">'UT1 (1273)'!F68</f>
        <v>106307.95</v>
      </c>
      <c r="Y32" s="143" t="n">
        <f aca="false">'UT2 (12334)'!F8</f>
        <v>11945.41</v>
      </c>
      <c r="Z32" s="143"/>
      <c r="AA32" s="143"/>
      <c r="AB32" s="148"/>
      <c r="AC32" s="149" t="n">
        <f aca="false">AB32/P32</f>
        <v>0</v>
      </c>
      <c r="AD32" s="150"/>
      <c r="AE32" s="148" t="n">
        <f aca="false">1000*SUM(X32:AA32)/O32</f>
        <v>114.175339972398</v>
      </c>
      <c r="AF32" s="151" t="n">
        <f aca="false">'UT1 (1273)'!G68</f>
        <v>20311</v>
      </c>
      <c r="AG32" s="143" t="n">
        <f aca="false">'UT2 (12334)'!G8</f>
        <v>2446</v>
      </c>
      <c r="AH32" s="143"/>
      <c r="AI32" s="143"/>
      <c r="AJ32" s="143"/>
      <c r="AK32" s="152"/>
      <c r="AL32" s="149" t="n">
        <f aca="false">AK32/P32</f>
        <v>0</v>
      </c>
      <c r="AM32" s="153"/>
      <c r="AN32" s="150" t="n">
        <f aca="false">AL32/SUM($AF$144:$AJ$144)</f>
        <v>0</v>
      </c>
      <c r="AO32" s="152"/>
      <c r="AP32" s="148" t="n">
        <f aca="false">1000*SUM(AF32:AJ32)/O32</f>
        <v>21.9722146732394</v>
      </c>
      <c r="AQ32" s="151" t="n">
        <f aca="false">'UT1 (1273)'!I68</f>
        <v>322840.8</v>
      </c>
      <c r="AR32" s="143" t="n">
        <f aca="false">'UT2 (12334)'!H8</f>
        <v>332569.44</v>
      </c>
      <c r="AS32" s="143"/>
      <c r="AT32" s="143"/>
      <c r="AU32" s="143"/>
      <c r="AV32" s="143"/>
      <c r="AW32" s="148"/>
      <c r="AX32" s="149" t="n">
        <f aca="false">AW32/P32</f>
        <v>0</v>
      </c>
      <c r="AY32" s="149"/>
      <c r="AZ32" s="148"/>
      <c r="BA32" s="148"/>
      <c r="BB32" s="148"/>
      <c r="BC32" s="148"/>
      <c r="BD32" s="148"/>
      <c r="BE32" s="148" t="n">
        <f aca="false">1000*SUM(AQ32:AV32)/O32</f>
        <v>632.80812463503</v>
      </c>
      <c r="BF32" s="151"/>
      <c r="BG32" s="143"/>
      <c r="BH32" s="143"/>
      <c r="BI32" s="143"/>
      <c r="BJ32" s="143"/>
    </row>
    <row r="33" customFormat="false" ht="18.75" hidden="false" customHeight="true" outlineLevel="0" collapsed="false">
      <c r="A33" s="18" t="n">
        <v>2016</v>
      </c>
      <c r="B33" s="18" t="n">
        <v>7</v>
      </c>
      <c r="C33" s="24" t="n">
        <f aca="false">SUM('UT1 (1273)'!C69:E69)</f>
        <v>145226.56</v>
      </c>
      <c r="D33" s="24" t="n">
        <f aca="false">SUM('UT2 (12334)'!C9:E9)</f>
        <v>88888.55</v>
      </c>
      <c r="E33" s="24" t="n">
        <f aca="false">SUM('UT3 (1279)'!C9:E9)</f>
        <v>75324.65</v>
      </c>
      <c r="F33" s="24" t="n">
        <f aca="false">SUM('Osm.'!C9:E9)</f>
        <v>121688.82</v>
      </c>
      <c r="G33" s="24"/>
      <c r="H33" s="24"/>
      <c r="I33" s="142" t="n">
        <v>612</v>
      </c>
      <c r="J33" s="143"/>
      <c r="K33" s="144"/>
      <c r="L33" s="25" t="n">
        <v>1653286</v>
      </c>
      <c r="M33" s="63" t="n">
        <v>399856.85</v>
      </c>
      <c r="N33" s="29" t="n">
        <v>498467.62</v>
      </c>
      <c r="O33" s="29" t="n">
        <v>909557.37</v>
      </c>
      <c r="P33" s="145" t="n">
        <f aca="false">'$'!C56</f>
        <v>2.969792</v>
      </c>
      <c r="Q33" s="35" t="n">
        <f aca="false">100*(SUM(C33:H33)/P33)/M33</f>
        <v>36.3058191766392</v>
      </c>
      <c r="R33" s="35" t="n">
        <f aca="false">100*(L33/P33)/M33</f>
        <v>139.225060336453</v>
      </c>
      <c r="S33" s="146" t="n">
        <f aca="false">SUM(Q33:R33)</f>
        <v>175.530879513092</v>
      </c>
      <c r="T33" s="35" t="n">
        <f aca="false">100*SUM(L33,C33:H33)/O33/P33</f>
        <v>77.1663524202267</v>
      </c>
      <c r="U33" s="29" t="n">
        <f aca="false">O33/I33</f>
        <v>1486.20485294118</v>
      </c>
      <c r="V33" s="29" t="n">
        <f aca="false">M33/I33</f>
        <v>653.360866013072</v>
      </c>
      <c r="W33" s="147"/>
      <c r="X33" s="143" t="n">
        <f aca="false">'UT1 (1273)'!F69</f>
        <v>79731.89</v>
      </c>
      <c r="Y33" s="143" t="n">
        <f aca="false">'UT2 (12334)'!F9</f>
        <v>10307.09</v>
      </c>
      <c r="Z33" s="143"/>
      <c r="AA33" s="143"/>
      <c r="AB33" s="148"/>
      <c r="AC33" s="149" t="n">
        <f aca="false">AB33/P33</f>
        <v>0</v>
      </c>
      <c r="AD33" s="150"/>
      <c r="AE33" s="148" t="n">
        <f aca="false">1000*SUM(X33:AA33)/O33</f>
        <v>98.9920844685146</v>
      </c>
      <c r="AF33" s="151" t="n">
        <f aca="false">'UT1 (1273)'!G69</f>
        <v>15795</v>
      </c>
      <c r="AG33" s="143" t="n">
        <f aca="false">'UT2 (12334)'!G9</f>
        <v>1851</v>
      </c>
      <c r="AH33" s="143"/>
      <c r="AI33" s="143"/>
      <c r="AJ33" s="143"/>
      <c r="AK33" s="152"/>
      <c r="AL33" s="149" t="n">
        <f aca="false">AK33/P33</f>
        <v>0</v>
      </c>
      <c r="AM33" s="153"/>
      <c r="AN33" s="150" t="n">
        <f aca="false">AL33/SUM($AF$144:$AJ$144)</f>
        <v>0</v>
      </c>
      <c r="AO33" s="152"/>
      <c r="AP33" s="148" t="n">
        <f aca="false">1000*SUM(AF33:AJ33)/O33</f>
        <v>19.4006453930443</v>
      </c>
      <c r="AQ33" s="151" t="n">
        <f aca="false">'UT1 (1273)'!I69</f>
        <v>228168</v>
      </c>
      <c r="AR33" s="143" t="n">
        <f aca="false">'UT2 (12334)'!H9</f>
        <v>336110.04</v>
      </c>
      <c r="AS33" s="143"/>
      <c r="AT33" s="143"/>
      <c r="AU33" s="143"/>
      <c r="AV33" s="143"/>
      <c r="AW33" s="148"/>
      <c r="AX33" s="149" t="n">
        <f aca="false">AW33/P33</f>
        <v>0</v>
      </c>
      <c r="AY33" s="149"/>
      <c r="AZ33" s="148"/>
      <c r="BA33" s="148"/>
      <c r="BB33" s="148"/>
      <c r="BC33" s="148"/>
      <c r="BD33" s="148"/>
      <c r="BE33" s="148" t="n">
        <f aca="false">1000*SUM(AQ33:AV33)/O33</f>
        <v>620.38751882138</v>
      </c>
      <c r="BF33" s="151"/>
      <c r="BG33" s="143"/>
      <c r="BH33" s="143"/>
      <c r="BI33" s="143"/>
      <c r="BJ33" s="143"/>
    </row>
    <row r="34" customFormat="false" ht="18.75" hidden="false" customHeight="true" outlineLevel="0" collapsed="false">
      <c r="A34" s="18" t="n">
        <v>2016</v>
      </c>
      <c r="B34" s="18" t="n">
        <v>8</v>
      </c>
      <c r="C34" s="24" t="n">
        <f aca="false">SUM('UT1 (1273)'!C70:E70)</f>
        <v>166225</v>
      </c>
      <c r="D34" s="24" t="n">
        <f aca="false">SUM('UT2 (12334)'!C10:E10)</f>
        <v>103558.05</v>
      </c>
      <c r="E34" s="24" t="n">
        <f aca="false">SUM('UT3 (1279)'!C10:E10)</f>
        <v>86295.64</v>
      </c>
      <c r="F34" s="24" t="n">
        <f aca="false">SUM('Osm.'!C10:E10)</f>
        <v>115237.2</v>
      </c>
      <c r="G34" s="24"/>
      <c r="H34" s="24"/>
      <c r="I34" s="142" t="n">
        <v>637</v>
      </c>
      <c r="J34" s="143"/>
      <c r="K34" s="144"/>
      <c r="L34" s="25" t="n">
        <v>1751085</v>
      </c>
      <c r="M34" s="63" t="n">
        <v>472437.4</v>
      </c>
      <c r="N34" s="29" t="n">
        <v>552335.08</v>
      </c>
      <c r="O34" s="29" t="n">
        <v>1075312.25</v>
      </c>
      <c r="P34" s="145" t="n">
        <f aca="false">'$'!C57</f>
        <v>2.960826</v>
      </c>
      <c r="Q34" s="35" t="n">
        <f aca="false">100*(SUM(C34:H34)/P34)/M34</f>
        <v>33.694182615076</v>
      </c>
      <c r="R34" s="35" t="n">
        <f aca="false">100*(L34/P34)/M34</f>
        <v>125.184359399638</v>
      </c>
      <c r="S34" s="146" t="n">
        <f aca="false">SUM(Q34:R34)</f>
        <v>158.878542014714</v>
      </c>
      <c r="T34" s="35" t="n">
        <f aca="false">100*SUM(L34,C34:H34)/O34/P34</f>
        <v>69.8031342107581</v>
      </c>
      <c r="U34" s="29" t="n">
        <f aca="false">O34/I34</f>
        <v>1688.08830455259</v>
      </c>
      <c r="V34" s="29" t="n">
        <f aca="false">M34/I34</f>
        <v>741.659968602826</v>
      </c>
      <c r="W34" s="147"/>
      <c r="X34" s="143" t="n">
        <f aca="false">'UT1 (1273)'!F70</f>
        <v>94703.58</v>
      </c>
      <c r="Y34" s="143" t="n">
        <f aca="false">'UT2 (12334)'!F10</f>
        <v>12156.21</v>
      </c>
      <c r="Z34" s="143"/>
      <c r="AA34" s="143"/>
      <c r="AB34" s="148"/>
      <c r="AC34" s="149" t="n">
        <f aca="false">AB34/P34</f>
        <v>0</v>
      </c>
      <c r="AD34" s="150"/>
      <c r="AE34" s="148" t="n">
        <f aca="false">1000*SUM(X34:AA34)/O34</f>
        <v>99.3755906714538</v>
      </c>
      <c r="AF34" s="151" t="n">
        <f aca="false">'UT1 (1273)'!G70</f>
        <v>16397</v>
      </c>
      <c r="AG34" s="143" t="n">
        <f aca="false">'UT2 (12334)'!G10</f>
        <v>2216</v>
      </c>
      <c r="AH34" s="143"/>
      <c r="AI34" s="143"/>
      <c r="AJ34" s="143"/>
      <c r="AK34" s="152"/>
      <c r="AL34" s="149" t="n">
        <f aca="false">AK34/P34</f>
        <v>0</v>
      </c>
      <c r="AM34" s="153"/>
      <c r="AN34" s="150" t="n">
        <f aca="false">AL34/SUM($AF$144:$AJ$144)</f>
        <v>0</v>
      </c>
      <c r="AO34" s="152"/>
      <c r="AP34" s="148" t="n">
        <f aca="false">1000*SUM(AF34:AJ34)/O34</f>
        <v>17.3093908304309</v>
      </c>
      <c r="AQ34" s="151" t="n">
        <f aca="false">'UT1 (1273)'!I70</f>
        <v>252550.8</v>
      </c>
      <c r="AR34" s="143" t="n">
        <f aca="false">'UT2 (12334)'!H10</f>
        <v>390126.24</v>
      </c>
      <c r="AS34" s="143"/>
      <c r="AT34" s="143"/>
      <c r="AU34" s="143"/>
      <c r="AV34" s="143"/>
      <c r="AW34" s="148"/>
      <c r="AX34" s="149" t="n">
        <f aca="false">AW34/P34</f>
        <v>0</v>
      </c>
      <c r="AY34" s="149"/>
      <c r="AZ34" s="148"/>
      <c r="BA34" s="148"/>
      <c r="BB34" s="148"/>
      <c r="BC34" s="148"/>
      <c r="BD34" s="148"/>
      <c r="BE34" s="148" t="n">
        <f aca="false">1000*SUM(AQ34:AV34)/O34</f>
        <v>597.665505996049</v>
      </c>
      <c r="BF34" s="151"/>
      <c r="BG34" s="143"/>
      <c r="BH34" s="143"/>
      <c r="BI34" s="143"/>
      <c r="BJ34" s="143"/>
    </row>
    <row r="35" customFormat="false" ht="18.75" hidden="false" customHeight="true" outlineLevel="0" collapsed="false">
      <c r="A35" s="18" t="n">
        <v>2016</v>
      </c>
      <c r="B35" s="18" t="n">
        <v>9</v>
      </c>
      <c r="C35" s="24" t="n">
        <f aca="false">SUM('UT1 (1273)'!C71:E71)</f>
        <v>143919.44</v>
      </c>
      <c r="D35" s="24" t="n">
        <f aca="false">SUM('UT2 (12334)'!C11:E11)</f>
        <v>83352.48</v>
      </c>
      <c r="E35" s="24" t="n">
        <f aca="false">SUM('UT3 (1279)'!C11:E11)</f>
        <v>68279.84</v>
      </c>
      <c r="F35" s="24" t="n">
        <f aca="false">SUM('Osm.'!C11:E11)</f>
        <v>124355.73</v>
      </c>
      <c r="G35" s="24"/>
      <c r="H35" s="24"/>
      <c r="I35" s="142" t="n">
        <v>620</v>
      </c>
      <c r="J35" s="143"/>
      <c r="K35" s="144"/>
      <c r="L35" s="25" t="n">
        <v>1662511</v>
      </c>
      <c r="M35" s="63" t="n">
        <v>423283.49</v>
      </c>
      <c r="N35" s="29" t="n">
        <v>445741.79</v>
      </c>
      <c r="O35" s="29" t="n">
        <v>853051.3</v>
      </c>
      <c r="P35" s="145" t="n">
        <f aca="false">'$'!C58</f>
        <v>2.968482</v>
      </c>
      <c r="Q35" s="35" t="n">
        <f aca="false">100*(SUM(C35:H35)/P35)/M35</f>
        <v>33.4185707639544</v>
      </c>
      <c r="R35" s="35" t="n">
        <f aca="false">100*(L35/P35)/M35</f>
        <v>132.311861118154</v>
      </c>
      <c r="S35" s="146" t="n">
        <f aca="false">SUM(Q35:R35)</f>
        <v>165.730431882108</v>
      </c>
      <c r="T35" s="35" t="n">
        <f aca="false">100*SUM(L35,C35:H35)/O35/P35</f>
        <v>82.2353305202936</v>
      </c>
      <c r="U35" s="29" t="n">
        <f aca="false">O35/I35</f>
        <v>1375.88919354839</v>
      </c>
      <c r="V35" s="29" t="n">
        <f aca="false">M35/I35</f>
        <v>682.715306451613</v>
      </c>
      <c r="W35" s="147"/>
      <c r="X35" s="143" t="n">
        <f aca="false">'UT1 (1273)'!F71</f>
        <v>81911.4</v>
      </c>
      <c r="Y35" s="143" t="n">
        <f aca="false">'UT2 (12334)'!F11</f>
        <v>8294.64</v>
      </c>
      <c r="Z35" s="143"/>
      <c r="AA35" s="143"/>
      <c r="AB35" s="148"/>
      <c r="AC35" s="149" t="n">
        <f aca="false">AB35/P35</f>
        <v>0</v>
      </c>
      <c r="AD35" s="150"/>
      <c r="AE35" s="148" t="n">
        <f aca="false">1000*SUM(X35:AA35)/O35</f>
        <v>105.745152724109</v>
      </c>
      <c r="AF35" s="151" t="n">
        <f aca="false">'UT1 (1273)'!G71</f>
        <v>15021</v>
      </c>
      <c r="AG35" s="143" t="n">
        <f aca="false">'UT2 (12334)'!G11</f>
        <v>2054</v>
      </c>
      <c r="AH35" s="143"/>
      <c r="AI35" s="143"/>
      <c r="AJ35" s="143"/>
      <c r="AK35" s="152"/>
      <c r="AL35" s="149" t="n">
        <f aca="false">AK35/P35</f>
        <v>0</v>
      </c>
      <c r="AM35" s="153"/>
      <c r="AN35" s="150" t="n">
        <f aca="false">AL35/SUM($AF$144:$AJ$144)</f>
        <v>0</v>
      </c>
      <c r="AO35" s="152"/>
      <c r="AP35" s="148" t="n">
        <f aca="false">1000*SUM(AF35:AJ35)/O35</f>
        <v>20.016381195363</v>
      </c>
      <c r="AQ35" s="151" t="n">
        <f aca="false">'UT1 (1273)'!I71</f>
        <v>215542.8</v>
      </c>
      <c r="AR35" s="143" t="n">
        <f aca="false">'UT2 (12334)'!H11</f>
        <v>316484.28</v>
      </c>
      <c r="AS35" s="143"/>
      <c r="AT35" s="143"/>
      <c r="AU35" s="143"/>
      <c r="AV35" s="143"/>
      <c r="AW35" s="148"/>
      <c r="AX35" s="149" t="n">
        <f aca="false">AW35/P35</f>
        <v>0</v>
      </c>
      <c r="AY35" s="149"/>
      <c r="AZ35" s="148"/>
      <c r="BA35" s="148"/>
      <c r="BB35" s="148"/>
      <c r="BC35" s="148"/>
      <c r="BD35" s="148"/>
      <c r="BE35" s="148" t="n">
        <f aca="false">1000*SUM(AQ35:AV35)/O35</f>
        <v>623.675363955251</v>
      </c>
      <c r="BF35" s="151"/>
      <c r="BG35" s="143"/>
      <c r="BH35" s="143"/>
      <c r="BI35" s="143"/>
      <c r="BJ35" s="143"/>
    </row>
    <row r="36" customFormat="false" ht="18.75" hidden="false" customHeight="true" outlineLevel="0" collapsed="false">
      <c r="A36" s="18" t="n">
        <v>2016</v>
      </c>
      <c r="B36" s="18" t="n">
        <v>10</v>
      </c>
      <c r="C36" s="24" t="n">
        <f aca="false">SUM('UT1 (1273)'!C72:E72)</f>
        <v>203647.38</v>
      </c>
      <c r="D36" s="24" t="n">
        <f aca="false">SUM('UT2 (12334)'!C12:E12)</f>
        <v>112061.33</v>
      </c>
      <c r="E36" s="24" t="n">
        <f aca="false">SUM('UT3 (1279)'!C12:E12)</f>
        <v>82221.29</v>
      </c>
      <c r="F36" s="24" t="n">
        <f aca="false">SUM('Osm.'!C12:E12)</f>
        <v>100566.23</v>
      </c>
      <c r="G36" s="24"/>
      <c r="H36" s="24"/>
      <c r="I36" s="142" t="n">
        <v>653</v>
      </c>
      <c r="J36" s="143"/>
      <c r="K36" s="144"/>
      <c r="L36" s="25" t="n">
        <v>1861428</v>
      </c>
      <c r="M36" s="63" t="n">
        <v>555743.64</v>
      </c>
      <c r="N36" s="29" t="n">
        <v>623902.06</v>
      </c>
      <c r="O36" s="29" t="n">
        <v>1191299.76</v>
      </c>
      <c r="P36" s="145" t="n">
        <f aca="false">'$'!C59</f>
        <v>3.073362</v>
      </c>
      <c r="Q36" s="35" t="n">
        <f aca="false">100*(SUM(C36:H36)/P36)/M36</f>
        <v>29.1859382786171</v>
      </c>
      <c r="R36" s="35" t="n">
        <f aca="false">100*(L36/P36)/M36</f>
        <v>108.98281561345</v>
      </c>
      <c r="S36" s="146" t="n">
        <f aca="false">SUM(Q36:R36)</f>
        <v>138.168753892067</v>
      </c>
      <c r="T36" s="35" t="n">
        <f aca="false">100*SUM(L36,C36:H36)/O36/P36</f>
        <v>64.455990675463</v>
      </c>
      <c r="U36" s="29" t="n">
        <f aca="false">O36/I36</f>
        <v>1824.34879019908</v>
      </c>
      <c r="V36" s="29" t="n">
        <f aca="false">M36/I36</f>
        <v>851.06223583461</v>
      </c>
      <c r="W36" s="147"/>
      <c r="X36" s="143" t="n">
        <f aca="false">'UT1 (1273)'!F72</f>
        <v>132105.32</v>
      </c>
      <c r="Y36" s="143" t="n">
        <f aca="false">'UT2 (12334)'!F12</f>
        <v>7946.96</v>
      </c>
      <c r="Z36" s="143"/>
      <c r="AA36" s="143"/>
      <c r="AB36" s="148"/>
      <c r="AC36" s="149" t="n">
        <f aca="false">AB36/P36</f>
        <v>0</v>
      </c>
      <c r="AD36" s="150"/>
      <c r="AE36" s="148" t="n">
        <f aca="false">1000*SUM(X36:AA36)/O36</f>
        <v>117.562585591388</v>
      </c>
      <c r="AF36" s="151" t="n">
        <f aca="false">'UT1 (1273)'!G72</f>
        <v>21436</v>
      </c>
      <c r="AG36" s="143" t="n">
        <f aca="false">'UT2 (12334)'!G12</f>
        <v>2604</v>
      </c>
      <c r="AH36" s="143"/>
      <c r="AI36" s="143"/>
      <c r="AJ36" s="143"/>
      <c r="AK36" s="152"/>
      <c r="AL36" s="149" t="n">
        <f aca="false">AK36/P36</f>
        <v>0</v>
      </c>
      <c r="AM36" s="153"/>
      <c r="AN36" s="150" t="n">
        <f aca="false">AL36/SUM($AF$144:$AJ$144)</f>
        <v>0</v>
      </c>
      <c r="AO36" s="152"/>
      <c r="AP36" s="148" t="n">
        <f aca="false">1000*SUM(AF36:AJ36)/O36</f>
        <v>20.1796397575032</v>
      </c>
      <c r="AQ36" s="151" t="n">
        <f aca="false">'UT1 (1273)'!I72</f>
        <v>276660</v>
      </c>
      <c r="AR36" s="143" t="n">
        <f aca="false">'UT2 (12334)'!H12</f>
        <v>430640.28</v>
      </c>
      <c r="AS36" s="143"/>
      <c r="AT36" s="143"/>
      <c r="AU36" s="143"/>
      <c r="AV36" s="143"/>
      <c r="AW36" s="148"/>
      <c r="AX36" s="149" t="n">
        <f aca="false">AW36/P36</f>
        <v>0</v>
      </c>
      <c r="AY36" s="149"/>
      <c r="AZ36" s="148"/>
      <c r="BA36" s="148"/>
      <c r="BB36" s="148"/>
      <c r="BC36" s="148"/>
      <c r="BD36" s="148"/>
      <c r="BE36" s="148" t="n">
        <f aca="false">1000*SUM(AQ36:AV36)/O36</f>
        <v>593.72149961652</v>
      </c>
      <c r="BF36" s="151"/>
      <c r="BG36" s="143"/>
      <c r="BH36" s="143"/>
      <c r="BI36" s="143"/>
      <c r="BJ36" s="143"/>
    </row>
    <row r="37" customFormat="false" ht="18.75" hidden="false" customHeight="true" outlineLevel="0" collapsed="false">
      <c r="A37" s="18" t="n">
        <v>2016</v>
      </c>
      <c r="B37" s="18" t="n">
        <v>11</v>
      </c>
      <c r="C37" s="24" t="n">
        <f aca="false">SUM('UT1 (1273)'!C73:E73)</f>
        <v>208150.76</v>
      </c>
      <c r="D37" s="24" t="n">
        <f aca="false">SUM('UT2 (12334)'!C13:E13)</f>
        <v>122344.67</v>
      </c>
      <c r="E37" s="24" t="n">
        <f aca="false">SUM('UT3 (1279)'!C13:E13)</f>
        <v>94507.3</v>
      </c>
      <c r="F37" s="24" t="n">
        <f aca="false">SUM('Osm.'!C13:E13)</f>
        <v>142202.93</v>
      </c>
      <c r="G37" s="24"/>
      <c r="H37" s="24"/>
      <c r="I37" s="142" t="n">
        <v>657</v>
      </c>
      <c r="J37" s="143"/>
      <c r="K37" s="144"/>
      <c r="L37" s="25" t="n">
        <v>1809334</v>
      </c>
      <c r="M37" s="63" t="n">
        <v>498032.59</v>
      </c>
      <c r="N37" s="29" t="n">
        <v>617252.78</v>
      </c>
      <c r="O37" s="29" t="n">
        <v>1200561.68</v>
      </c>
      <c r="P37" s="145" t="n">
        <f aca="false">'$'!C60</f>
        <v>3.299438</v>
      </c>
      <c r="Q37" s="35" t="n">
        <f aca="false">100*(SUM(C37:H37)/P37)/M37</f>
        <v>34.5177771974198</v>
      </c>
      <c r="R37" s="35" t="n">
        <f aca="false">100*(L37/P37)/M37</f>
        <v>110.108541384648</v>
      </c>
      <c r="S37" s="146" t="n">
        <f aca="false">SUM(Q37:R37)</f>
        <v>144.626318582068</v>
      </c>
      <c r="T37" s="35" t="n">
        <f aca="false">100*SUM(L37,C37:H37)/O37/P37</f>
        <v>59.995768002184</v>
      </c>
      <c r="U37" s="29" t="n">
        <f aca="false">O37/I37</f>
        <v>1827.33893455099</v>
      </c>
      <c r="V37" s="29" t="n">
        <f aca="false">M37/I37</f>
        <v>758.040471841705</v>
      </c>
      <c r="W37" s="147"/>
      <c r="X37" s="143" t="n">
        <f aca="false">'UT1 (1273)'!F73</f>
        <v>136295.74</v>
      </c>
      <c r="Y37" s="143" t="n">
        <f aca="false">'UT2 (12334)'!F13</f>
        <v>10240.94</v>
      </c>
      <c r="Z37" s="143"/>
      <c r="AA37" s="143"/>
      <c r="AB37" s="148"/>
      <c r="AC37" s="149" t="n">
        <f aca="false">AB37/P37</f>
        <v>0</v>
      </c>
      <c r="AD37" s="150"/>
      <c r="AE37" s="148" t="n">
        <f aca="false">1000*SUM(X37:AA37)/O37</f>
        <v>122.056769294852</v>
      </c>
      <c r="AF37" s="151" t="n">
        <f aca="false">'UT1 (1273)'!G73</f>
        <v>20625</v>
      </c>
      <c r="AG37" s="143" t="n">
        <f aca="false">'UT2 (12334)'!G13</f>
        <v>2711</v>
      </c>
      <c r="AH37" s="143"/>
      <c r="AI37" s="143"/>
      <c r="AJ37" s="143"/>
      <c r="AK37" s="152"/>
      <c r="AL37" s="149" t="n">
        <f aca="false">AK37/P37</f>
        <v>0</v>
      </c>
      <c r="AM37" s="153"/>
      <c r="AN37" s="150" t="n">
        <f aca="false">AL37/SUM($AF$144:$AJ$144)</f>
        <v>0</v>
      </c>
      <c r="AO37" s="152"/>
      <c r="AP37" s="148" t="n">
        <f aca="false">1000*SUM(AF37:AJ37)/O37</f>
        <v>19.4375685887292</v>
      </c>
      <c r="AQ37" s="151" t="n">
        <f aca="false">'UT1 (1273)'!I73</f>
        <v>286275</v>
      </c>
      <c r="AR37" s="143" t="n">
        <f aca="false">'UT2 (12334)'!H13</f>
        <v>477973.44</v>
      </c>
      <c r="AS37" s="143"/>
      <c r="AT37" s="143"/>
      <c r="AU37" s="143"/>
      <c r="AV37" s="143"/>
      <c r="AW37" s="148"/>
      <c r="AX37" s="149" t="n">
        <f aca="false">AW37/P37</f>
        <v>0</v>
      </c>
      <c r="AY37" s="149"/>
      <c r="AZ37" s="148"/>
      <c r="BA37" s="148"/>
      <c r="BB37" s="148"/>
      <c r="BC37" s="148"/>
      <c r="BD37" s="148"/>
      <c r="BE37" s="148" t="n">
        <f aca="false">1000*SUM(AQ37:AV37)/O37</f>
        <v>636.575740115243</v>
      </c>
      <c r="BF37" s="151"/>
      <c r="BG37" s="143"/>
      <c r="BH37" s="143"/>
      <c r="BI37" s="143"/>
      <c r="BJ37" s="143"/>
    </row>
    <row r="38" customFormat="false" ht="18.75" hidden="false" customHeight="true" outlineLevel="0" collapsed="false">
      <c r="A38" s="18" t="n">
        <v>2016</v>
      </c>
      <c r="B38" s="18" t="n">
        <v>12</v>
      </c>
      <c r="C38" s="24" t="n">
        <f aca="false">SUM('UT1 (1273)'!C74:E74)</f>
        <v>215773.82</v>
      </c>
      <c r="D38" s="24" t="n">
        <f aca="false">SUM('UT2 (12334)'!C14:E14)</f>
        <v>140669.82</v>
      </c>
      <c r="E38" s="24" t="n">
        <f aca="false">SUM('UT3 (1279)'!C14:E14)</f>
        <v>108605.25</v>
      </c>
      <c r="F38" s="24" t="n">
        <f aca="false">SUM('Osm.'!C14:E14)</f>
        <v>138605.47</v>
      </c>
      <c r="G38" s="24"/>
      <c r="H38" s="24"/>
      <c r="I38" s="142" t="n">
        <v>652</v>
      </c>
      <c r="J38" s="143"/>
      <c r="K38" s="144"/>
      <c r="L38" s="25" t="n">
        <v>1868469</v>
      </c>
      <c r="M38" s="63" t="n">
        <v>577660.61</v>
      </c>
      <c r="N38" s="29" t="n">
        <v>653855.95</v>
      </c>
      <c r="O38" s="29" t="n">
        <v>1328851.56</v>
      </c>
      <c r="P38" s="145" t="n">
        <f aca="false">'$'!C61</f>
        <v>3.502333</v>
      </c>
      <c r="Q38" s="35" t="n">
        <f aca="false">100*(SUM(C38:H38)/P38)/M38</f>
        <v>29.8372058829494</v>
      </c>
      <c r="R38" s="35" t="n">
        <f aca="false">100*(L38/P38)/M38</f>
        <v>92.3539991310732</v>
      </c>
      <c r="S38" s="146" t="n">
        <f aca="false">SUM(Q38:R38)</f>
        <v>122.191205014023</v>
      </c>
      <c r="T38" s="35" t="n">
        <f aca="false">100*SUM(L38,C38:H38)/O38/P38</f>
        <v>53.1173293915803</v>
      </c>
      <c r="U38" s="29" t="n">
        <f aca="false">O38/I38</f>
        <v>2038.11588957055</v>
      </c>
      <c r="V38" s="29" t="n">
        <f aca="false">M38/I38</f>
        <v>885.982530674847</v>
      </c>
      <c r="W38" s="147"/>
      <c r="X38" s="143" t="n">
        <f aca="false">'UT1 (1273)'!F74</f>
        <v>125916.92</v>
      </c>
      <c r="Y38" s="143" t="n">
        <f aca="false">'UT2 (12334)'!F14</f>
        <v>15421.8</v>
      </c>
      <c r="Z38" s="143"/>
      <c r="AA38" s="143"/>
      <c r="AB38" s="148"/>
      <c r="AC38" s="149" t="n">
        <f aca="false">AB38/P38</f>
        <v>0</v>
      </c>
      <c r="AD38" s="150"/>
      <c r="AE38" s="148" t="n">
        <f aca="false">1000*SUM(X38:AA38)/O38</f>
        <v>106.361556290004</v>
      </c>
      <c r="AF38" s="151" t="n">
        <f aca="false">'UT1 (1273)'!G74</f>
        <v>18840</v>
      </c>
      <c r="AG38" s="143" t="n">
        <f aca="false">'UT2 (12334)'!G14</f>
        <v>3781</v>
      </c>
      <c r="AH38" s="143"/>
      <c r="AI38" s="143"/>
      <c r="AJ38" s="143"/>
      <c r="AK38" s="152"/>
      <c r="AL38" s="149" t="n">
        <f aca="false">AK38/P38</f>
        <v>0</v>
      </c>
      <c r="AM38" s="153"/>
      <c r="AN38" s="150" t="n">
        <f aca="false">AL38/SUM($AF$144:$AJ$144)</f>
        <v>0</v>
      </c>
      <c r="AO38" s="152"/>
      <c r="AP38" s="148" t="n">
        <f aca="false">1000*SUM(AF38:AJ38)/O38</f>
        <v>17.0229698191422</v>
      </c>
      <c r="AQ38" s="151" t="n">
        <f aca="false">'UT1 (1273)'!I74</f>
        <v>342966.6</v>
      </c>
      <c r="AR38" s="143" t="n">
        <f aca="false">'UT2 (12334)'!H14</f>
        <v>494086.32</v>
      </c>
      <c r="AS38" s="143"/>
      <c r="AT38" s="143"/>
      <c r="AU38" s="143"/>
      <c r="AV38" s="143"/>
      <c r="AW38" s="148"/>
      <c r="AX38" s="149" t="n">
        <f aca="false">AW38/P38</f>
        <v>0</v>
      </c>
      <c r="AY38" s="149"/>
      <c r="AZ38" s="148"/>
      <c r="BA38" s="148"/>
      <c r="BB38" s="148"/>
      <c r="BC38" s="148"/>
      <c r="BD38" s="148"/>
      <c r="BE38" s="148" t="n">
        <f aca="false">1000*SUM(AQ38:AV38)/O38</f>
        <v>629.907015347899</v>
      </c>
      <c r="BF38" s="151"/>
      <c r="BG38" s="143"/>
      <c r="BH38" s="143"/>
      <c r="BI38" s="143"/>
      <c r="BJ38" s="143"/>
    </row>
    <row r="39" customFormat="false" ht="18.75" hidden="false" customHeight="true" outlineLevel="0" collapsed="false">
      <c r="A39" s="18" t="n">
        <v>2017</v>
      </c>
      <c r="B39" s="18" t="n">
        <v>1</v>
      </c>
      <c r="C39" s="24" t="n">
        <f aca="false">SUM('UT1 (1273)'!C75:E75)</f>
        <v>177320.5</v>
      </c>
      <c r="D39" s="24" t="n">
        <f aca="false">SUM('UT2 (12334)'!C15:E15)</f>
        <v>131570.34</v>
      </c>
      <c r="E39" s="24" t="n">
        <f aca="false">SUM('UT3 (1279)'!C15:E15)</f>
        <v>102605.95</v>
      </c>
      <c r="F39" s="24" t="n">
        <f aca="false">SUM('Osm.'!C15:E15)</f>
        <v>16250.57</v>
      </c>
      <c r="G39" s="24"/>
      <c r="H39" s="24"/>
      <c r="I39" s="142" t="n">
        <v>664</v>
      </c>
      <c r="J39" s="143"/>
      <c r="K39" s="144"/>
      <c r="L39" s="25" t="n">
        <v>1953407</v>
      </c>
      <c r="M39" s="63" t="n">
        <v>537258.16</v>
      </c>
      <c r="N39" s="29" t="n">
        <v>656253.87</v>
      </c>
      <c r="O39" s="29" t="n">
        <v>1260029.93</v>
      </c>
      <c r="P39" s="145" t="n">
        <f aca="false">'$'!C62</f>
        <v>3.812</v>
      </c>
      <c r="Q39" s="35" t="n">
        <f aca="false">100*(SUM(C39:H39)/P39)/M39</f>
        <v>20.8858149340607</v>
      </c>
      <c r="R39" s="35" t="n">
        <f aca="false">100*(L39/P39)/M39</f>
        <v>95.3798922169823</v>
      </c>
      <c r="S39" s="146" t="n">
        <f aca="false">SUM(Q39:R39)</f>
        <v>116.265707151043</v>
      </c>
      <c r="T39" s="35" t="n">
        <f aca="false">100*SUM(L39,C39:H39)/O39/P39</f>
        <v>49.573981068107</v>
      </c>
      <c r="U39" s="29" t="n">
        <f aca="false">O39/I39</f>
        <v>1897.63543674699</v>
      </c>
      <c r="V39" s="29" t="n">
        <f aca="false">M39/I39</f>
        <v>809.123734939759</v>
      </c>
      <c r="W39" s="147"/>
      <c r="X39" s="143" t="n">
        <f aca="false">'UT1 (1273)'!F75</f>
        <v>109483.48</v>
      </c>
      <c r="Y39" s="143" t="n">
        <f aca="false">'UT2 (12334)'!F15</f>
        <v>9883.94</v>
      </c>
      <c r="Z39" s="143"/>
      <c r="AA39" s="143"/>
      <c r="AB39" s="148"/>
      <c r="AC39" s="149" t="n">
        <f aca="false">AB39/P39</f>
        <v>0</v>
      </c>
      <c r="AD39" s="150"/>
      <c r="AE39" s="148" t="n">
        <f aca="false">1000*SUM(X39:AA39)/O39</f>
        <v>94.7337973154336</v>
      </c>
      <c r="AF39" s="151" t="n">
        <f aca="false">'UT1 (1273)'!G75</f>
        <v>15041</v>
      </c>
      <c r="AG39" s="143" t="n">
        <f aca="false">'UT2 (12334)'!G15</f>
        <v>2408</v>
      </c>
      <c r="AH39" s="143"/>
      <c r="AI39" s="143"/>
      <c r="AJ39" s="143"/>
      <c r="AK39" s="152"/>
      <c r="AL39" s="149" t="n">
        <f aca="false">AK39/P39</f>
        <v>0</v>
      </c>
      <c r="AM39" s="153"/>
      <c r="AN39" s="150" t="n">
        <f aca="false">AL39/SUM($AF$144:$AJ$144)</f>
        <v>0</v>
      </c>
      <c r="AO39" s="152"/>
      <c r="AP39" s="148" t="n">
        <f aca="false">1000*SUM(AF39:AJ39)/O39</f>
        <v>13.8480837514709</v>
      </c>
      <c r="AQ39" s="151" t="n">
        <f aca="false">'UT1 (1273)'!I75</f>
        <v>270381.6</v>
      </c>
      <c r="AR39" s="143" t="n">
        <f aca="false">'UT2 (12334)'!H15</f>
        <v>514951.92</v>
      </c>
      <c r="AS39" s="143"/>
      <c r="AT39" s="143"/>
      <c r="AU39" s="143"/>
      <c r="AV39" s="143"/>
      <c r="AW39" s="148"/>
      <c r="AX39" s="149" t="n">
        <f aca="false">AW39/P39</f>
        <v>0</v>
      </c>
      <c r="AY39" s="149"/>
      <c r="AZ39" s="148"/>
      <c r="BA39" s="148"/>
      <c r="BB39" s="148"/>
      <c r="BC39" s="148"/>
      <c r="BD39" s="148"/>
      <c r="BE39" s="148" t="n">
        <f aca="false">1000*SUM(AQ39:AV39)/O39</f>
        <v>623.265766393343</v>
      </c>
      <c r="BF39" s="151"/>
      <c r="BG39" s="143"/>
      <c r="BH39" s="143"/>
      <c r="BI39" s="143"/>
      <c r="BJ39" s="143"/>
    </row>
    <row r="40" customFormat="false" ht="18.75" hidden="false" customHeight="true" outlineLevel="0" collapsed="false">
      <c r="A40" s="18" t="n">
        <v>2017</v>
      </c>
      <c r="B40" s="18" t="n">
        <v>2</v>
      </c>
      <c r="C40" s="24" t="n">
        <f aca="false">SUM('UT1 (1273)'!C76:E76)</f>
        <v>183579.83</v>
      </c>
      <c r="D40" s="24" t="n">
        <f aca="false">SUM('UT2 (12334)'!C16:E16)</f>
        <v>144891.11</v>
      </c>
      <c r="E40" s="24" t="n">
        <f aca="false">SUM('UT3 (1279)'!C16:E16)</f>
        <v>94301.33</v>
      </c>
      <c r="F40" s="24" t="n">
        <f aca="false">SUM('Osm.'!C16:E16)</f>
        <v>15544.2</v>
      </c>
      <c r="G40" s="24"/>
      <c r="H40" s="24"/>
      <c r="I40" s="142" t="n">
        <v>665</v>
      </c>
      <c r="J40" s="143"/>
      <c r="K40" s="144"/>
      <c r="L40" s="25" t="n">
        <v>1916152</v>
      </c>
      <c r="M40" s="63" t="n">
        <v>472187.72</v>
      </c>
      <c r="N40" s="29" t="n">
        <v>737959.81</v>
      </c>
      <c r="O40" s="29" t="n">
        <v>1246790.99</v>
      </c>
      <c r="P40" s="145" t="n">
        <f aca="false">'$'!C63</f>
        <v>3.666612</v>
      </c>
      <c r="Q40" s="35" t="n">
        <f aca="false">100*(SUM(C40:H40)/P40)/M40</f>
        <v>25.3167612505041</v>
      </c>
      <c r="R40" s="35" t="n">
        <f aca="false">100*(L40/P40)/M40</f>
        <v>110.675199368338</v>
      </c>
      <c r="S40" s="146" t="n">
        <f aca="false">SUM(Q40:R40)</f>
        <v>135.991960618842</v>
      </c>
      <c r="T40" s="35" t="n">
        <f aca="false">100*SUM(L40,C40:H40)/O40/P40</f>
        <v>51.5032065021104</v>
      </c>
      <c r="U40" s="29" t="n">
        <f aca="false">O40/I40</f>
        <v>1874.87366917293</v>
      </c>
      <c r="V40" s="29" t="n">
        <f aca="false">M40/I40</f>
        <v>710.056721804511</v>
      </c>
      <c r="W40" s="147"/>
      <c r="X40" s="143" t="n">
        <f aca="false">'UT1 (1273)'!F76</f>
        <v>110886.34</v>
      </c>
      <c r="Y40" s="143" t="n">
        <f aca="false">'UT2 (12334)'!F16</f>
        <v>15260.59</v>
      </c>
      <c r="Z40" s="143"/>
      <c r="AA40" s="143"/>
      <c r="AB40" s="148"/>
      <c r="AC40" s="149" t="n">
        <f aca="false">AB40/P40</f>
        <v>0</v>
      </c>
      <c r="AD40" s="150"/>
      <c r="AE40" s="148" t="n">
        <f aca="false">1000*SUM(X40:AA40)/O40</f>
        <v>101.177287140967</v>
      </c>
      <c r="AF40" s="151" t="n">
        <f aca="false">'UT1 (1273)'!G76</f>
        <v>18594</v>
      </c>
      <c r="AG40" s="143" t="n">
        <f aca="false">'UT2 (12334)'!G16</f>
        <v>2321</v>
      </c>
      <c r="AH40" s="143"/>
      <c r="AI40" s="143"/>
      <c r="AJ40" s="143"/>
      <c r="AK40" s="152"/>
      <c r="AL40" s="149" t="n">
        <f aca="false">AK40/P40</f>
        <v>0</v>
      </c>
      <c r="AM40" s="153"/>
      <c r="AN40" s="150" t="n">
        <f aca="false">AL40/SUM($AF$144:$AJ$144)</f>
        <v>0</v>
      </c>
      <c r="AO40" s="152"/>
      <c r="AP40" s="148" t="n">
        <f aca="false">1000*SUM(AF40:AJ40)/O40</f>
        <v>16.7750650812772</v>
      </c>
      <c r="AQ40" s="151" t="n">
        <f aca="false">'UT1 (1273)'!I76</f>
        <v>269339.4</v>
      </c>
      <c r="AR40" s="143" t="n">
        <f aca="false">'UT2 (12334)'!H16</f>
        <v>535298.4</v>
      </c>
      <c r="AS40" s="143"/>
      <c r="AT40" s="143"/>
      <c r="AU40" s="143"/>
      <c r="AV40" s="143"/>
      <c r="AW40" s="148"/>
      <c r="AX40" s="149" t="n">
        <f aca="false">AW40/P40</f>
        <v>0</v>
      </c>
      <c r="AY40" s="149"/>
      <c r="AZ40" s="148"/>
      <c r="BA40" s="148"/>
      <c r="BB40" s="148"/>
      <c r="BC40" s="148"/>
      <c r="BD40" s="148"/>
      <c r="BE40" s="148" t="n">
        <f aca="false">1000*SUM(AQ40:AV40)/O40</f>
        <v>645.367031405962</v>
      </c>
      <c r="BF40" s="151"/>
      <c r="BG40" s="143"/>
      <c r="BH40" s="143"/>
      <c r="BI40" s="143"/>
      <c r="BJ40" s="143"/>
    </row>
    <row r="41" customFormat="false" ht="18.75" hidden="false" customHeight="true" outlineLevel="0" collapsed="false">
      <c r="A41" s="18" t="n">
        <v>2017</v>
      </c>
      <c r="B41" s="18" t="n">
        <v>3</v>
      </c>
      <c r="C41" s="24" t="n">
        <f aca="false">SUM('UT1 (1273)'!C77:E77)</f>
        <v>205837.64</v>
      </c>
      <c r="D41" s="24" t="n">
        <f aca="false">SUM('UT2 (12334)'!C17:E17)</f>
        <v>171508.59</v>
      </c>
      <c r="E41" s="24" t="n">
        <f aca="false">SUM('UT3 (1279)'!C17:E17)</f>
        <v>108051.58</v>
      </c>
      <c r="F41" s="24" t="n">
        <f aca="false">SUM('Osm.'!C17:E17)</f>
        <v>16357.61</v>
      </c>
      <c r="G41" s="24"/>
      <c r="H41" s="24"/>
      <c r="I41" s="142" t="n">
        <v>687</v>
      </c>
      <c r="J41" s="143"/>
      <c r="K41" s="144"/>
      <c r="L41" s="25" t="n">
        <v>2110006</v>
      </c>
      <c r="M41" s="63" t="n">
        <v>615428.69</v>
      </c>
      <c r="N41" s="29" t="n">
        <v>832768.08</v>
      </c>
      <c r="O41" s="29" t="n">
        <v>1479367.03</v>
      </c>
      <c r="P41" s="145" t="n">
        <f aca="false">'$'!C64</f>
        <v>3.599536</v>
      </c>
      <c r="Q41" s="35" t="n">
        <f aca="false">100*(SUM(C41:H41)/P41)/M41</f>
        <v>22.6499794727092</v>
      </c>
      <c r="R41" s="35" t="n">
        <f aca="false">100*(L41/P41)/M41</f>
        <v>95.2487819409967</v>
      </c>
      <c r="S41" s="146" t="n">
        <f aca="false">SUM(Q41:R41)</f>
        <v>117.898761413706</v>
      </c>
      <c r="T41" s="35" t="n">
        <f aca="false">100*SUM(L41,C41:H41)/O41/P41</f>
        <v>49.0468415329356</v>
      </c>
      <c r="U41" s="29" t="n">
        <f aca="false">O41/I41</f>
        <v>2153.3726783115</v>
      </c>
      <c r="V41" s="29" t="n">
        <f aca="false">M41/I41</f>
        <v>895.820509461426</v>
      </c>
      <c r="W41" s="147"/>
      <c r="X41" s="143" t="n">
        <f aca="false">'UT1 (1273)'!F77</f>
        <v>115114.21</v>
      </c>
      <c r="Y41" s="143" t="n">
        <f aca="false">'UT2 (12334)'!F17</f>
        <v>14302.08</v>
      </c>
      <c r="Z41" s="143"/>
      <c r="AA41" s="143"/>
      <c r="AB41" s="148"/>
      <c r="AC41" s="149" t="n">
        <f aca="false">AB41/P41</f>
        <v>0</v>
      </c>
      <c r="AD41" s="150"/>
      <c r="AE41" s="148" t="n">
        <f aca="false">1000*SUM(X41:AA41)/O41</f>
        <v>87.4808532132827</v>
      </c>
      <c r="AF41" s="151" t="n">
        <f aca="false">'UT1 (1273)'!G77</f>
        <v>23170</v>
      </c>
      <c r="AG41" s="143" t="n">
        <f aca="false">'UT2 (12334)'!G17</f>
        <v>2235</v>
      </c>
      <c r="AH41" s="143"/>
      <c r="AI41" s="143"/>
      <c r="AJ41" s="143"/>
      <c r="AK41" s="152"/>
      <c r="AL41" s="149" t="n">
        <f aca="false">AK41/P41</f>
        <v>0</v>
      </c>
      <c r="AM41" s="153"/>
      <c r="AN41" s="150" t="n">
        <f aca="false">AL41/SUM($AF$144:$AJ$144)</f>
        <v>0</v>
      </c>
      <c r="AO41" s="152"/>
      <c r="AP41" s="148" t="n">
        <f aca="false">1000*SUM(AF41:AJ41)/O41</f>
        <v>17.1728850818042</v>
      </c>
      <c r="AQ41" s="151" t="n">
        <f aca="false">'UT1 (1273)'!I77</f>
        <v>319867.2</v>
      </c>
      <c r="AR41" s="143" t="n">
        <f aca="false">'UT2 (12334)'!H17</f>
        <v>604290.96</v>
      </c>
      <c r="AS41" s="143"/>
      <c r="AT41" s="143"/>
      <c r="AU41" s="143"/>
      <c r="AV41" s="143"/>
      <c r="AW41" s="148"/>
      <c r="AX41" s="149" t="n">
        <f aca="false">AW41/P41</f>
        <v>0</v>
      </c>
      <c r="AY41" s="149"/>
      <c r="AZ41" s="148"/>
      <c r="BA41" s="148"/>
      <c r="BB41" s="148"/>
      <c r="BC41" s="148"/>
      <c r="BD41" s="148"/>
      <c r="BE41" s="148" t="n">
        <f aca="false">1000*SUM(AQ41:AV41)/O41</f>
        <v>624.698361704059</v>
      </c>
      <c r="BF41" s="151"/>
      <c r="BG41" s="143"/>
      <c r="BH41" s="143"/>
      <c r="BI41" s="143"/>
      <c r="BJ41" s="143"/>
    </row>
    <row r="42" customFormat="false" ht="18.75" hidden="false" customHeight="true" outlineLevel="0" collapsed="false">
      <c r="A42" s="18" t="n">
        <v>2017</v>
      </c>
      <c r="B42" s="18" t="n">
        <v>4</v>
      </c>
      <c r="C42" s="24" t="n">
        <f aca="false">SUM('UT1 (1273)'!C78:E78)</f>
        <v>168180.65</v>
      </c>
      <c r="D42" s="24" t="n">
        <f aca="false">SUM('UT2 (12334)'!C18:E18)</f>
        <v>164310.9</v>
      </c>
      <c r="E42" s="24" t="n">
        <f aca="false">SUM('UT3 (1279)'!C18:E18)</f>
        <v>104360.04</v>
      </c>
      <c r="F42" s="24" t="n">
        <f aca="false">SUM('Osm.'!C18:E18)</f>
        <v>14858.55</v>
      </c>
      <c r="G42" s="24"/>
      <c r="H42" s="24"/>
      <c r="I42" s="142" t="n">
        <v>680</v>
      </c>
      <c r="J42" s="143"/>
      <c r="K42" s="144"/>
      <c r="L42" s="25" t="n">
        <v>2074414</v>
      </c>
      <c r="M42" s="63" t="n">
        <v>595066.38</v>
      </c>
      <c r="N42" s="29" t="n">
        <v>775788.07</v>
      </c>
      <c r="O42" s="29" t="n">
        <v>1330021.34</v>
      </c>
      <c r="P42" s="145" t="n">
        <f aca="false">'$'!C65</f>
        <v>3.653912</v>
      </c>
      <c r="Q42" s="35" t="n">
        <f aca="false">100*(SUM(C42:H42)/P42)/M42</f>
        <v>20.7747756180299</v>
      </c>
      <c r="R42" s="35" t="n">
        <f aca="false">100*(L42/P42)/M42</f>
        <v>95.4051759584142</v>
      </c>
      <c r="S42" s="146" t="n">
        <f aca="false">SUM(Q42:R42)</f>
        <v>116.179951576444</v>
      </c>
      <c r="T42" s="35" t="n">
        <f aca="false">100*SUM(L42,C42:H42)/O42/P42</f>
        <v>51.9802059816348</v>
      </c>
      <c r="U42" s="29" t="n">
        <f aca="false">O42/I42</f>
        <v>1955.91373529412</v>
      </c>
      <c r="V42" s="29" t="n">
        <f aca="false">M42/I42</f>
        <v>875.097617647059</v>
      </c>
      <c r="W42" s="147"/>
      <c r="X42" s="143" t="n">
        <f aca="false">'UT1 (1273)'!F78</f>
        <v>92516.01</v>
      </c>
      <c r="Y42" s="143" t="n">
        <f aca="false">'UT2 (12334)'!F18</f>
        <v>16170.2</v>
      </c>
      <c r="Z42" s="143"/>
      <c r="AA42" s="143"/>
      <c r="AB42" s="148"/>
      <c r="AC42" s="149" t="n">
        <f aca="false">AB42/P42</f>
        <v>0</v>
      </c>
      <c r="AD42" s="150"/>
      <c r="AE42" s="148" t="n">
        <f aca="false">1000*SUM(X42:AA42)/O42</f>
        <v>81.7176437184083</v>
      </c>
      <c r="AF42" s="151" t="n">
        <f aca="false">'UT1 (1273)'!G78</f>
        <v>16930</v>
      </c>
      <c r="AG42" s="143" t="n">
        <f aca="false">'UT2 (12334)'!G18</f>
        <v>2143</v>
      </c>
      <c r="AH42" s="143"/>
      <c r="AI42" s="143"/>
      <c r="AJ42" s="143"/>
      <c r="AK42" s="152"/>
      <c r="AL42" s="149" t="n">
        <f aca="false">AK42/P42</f>
        <v>0</v>
      </c>
      <c r="AM42" s="153"/>
      <c r="AN42" s="150" t="n">
        <f aca="false">AL42/SUM($AF$144:$AJ$144)</f>
        <v>0</v>
      </c>
      <c r="AO42" s="152"/>
      <c r="AP42" s="148" t="n">
        <f aca="false">1000*SUM(AF42:AJ42)/O42</f>
        <v>14.3403714108828</v>
      </c>
      <c r="AQ42" s="151" t="n">
        <f aca="false">'UT1 (1273)'!I78</f>
        <v>278920.8</v>
      </c>
      <c r="AR42" s="143" t="n">
        <f aca="false">'UT2 (12334)'!H18</f>
        <v>568764</v>
      </c>
      <c r="AS42" s="143"/>
      <c r="AT42" s="143"/>
      <c r="AU42" s="143"/>
      <c r="AV42" s="143"/>
      <c r="AW42" s="148"/>
      <c r="AX42" s="149" t="n">
        <f aca="false">AW42/P42</f>
        <v>0</v>
      </c>
      <c r="AY42" s="149"/>
      <c r="AZ42" s="148"/>
      <c r="BA42" s="148"/>
      <c r="BB42" s="148"/>
      <c r="BC42" s="148"/>
      <c r="BD42" s="148"/>
      <c r="BE42" s="148" t="n">
        <f aca="false">1000*SUM(AQ42:AV42)/O42</f>
        <v>637.346766180458</v>
      </c>
      <c r="BF42" s="151"/>
      <c r="BG42" s="143"/>
      <c r="BH42" s="143"/>
      <c r="BI42" s="143"/>
      <c r="BJ42" s="143"/>
    </row>
    <row r="43" customFormat="false" ht="18.75" hidden="false" customHeight="true" outlineLevel="0" collapsed="false">
      <c r="A43" s="18" t="n">
        <v>2017</v>
      </c>
      <c r="B43" s="18" t="n">
        <v>5</v>
      </c>
      <c r="C43" s="24" t="n">
        <f aca="false">SUM('UT1 (1273)'!C79:E79)</f>
        <v>189100.57</v>
      </c>
      <c r="D43" s="24" t="n">
        <f aca="false">SUM('UT2 (12334)'!C19:E19)</f>
        <v>165184.16</v>
      </c>
      <c r="E43" s="24" t="n">
        <f aca="false">SUM('UT3 (1279)'!C19:E19)</f>
        <v>127110.5</v>
      </c>
      <c r="F43" s="24" t="n">
        <f aca="false">SUM('Osm.'!C19:E19)</f>
        <v>127428.7</v>
      </c>
      <c r="G43" s="24"/>
      <c r="H43" s="24"/>
      <c r="I43" s="142" t="n">
        <v>675</v>
      </c>
      <c r="J43" s="143"/>
      <c r="K43" s="144"/>
      <c r="L43" s="25" t="n">
        <v>2125207</v>
      </c>
      <c r="M43" s="63" t="n">
        <v>574613.03</v>
      </c>
      <c r="N43" s="29" t="n">
        <v>809158.08</v>
      </c>
      <c r="O43" s="29" t="n">
        <v>1453584.42</v>
      </c>
      <c r="P43" s="145" t="n">
        <f aca="false">'$'!C66</f>
        <v>3.568617</v>
      </c>
      <c r="Q43" s="35" t="n">
        <f aca="false">100*(SUM(C43:H43)/P43)/M43</f>
        <v>29.6904174773227</v>
      </c>
      <c r="R43" s="35" t="n">
        <f aca="false">100*(L43/P43)/M43</f>
        <v>103.639623783724</v>
      </c>
      <c r="S43" s="146" t="n">
        <f aca="false">SUM(Q43:R43)</f>
        <v>133.330041261047</v>
      </c>
      <c r="T43" s="35" t="n">
        <f aca="false">100*SUM(L43,C43:H43)/O43/P43</f>
        <v>52.706384262866</v>
      </c>
      <c r="U43" s="29" t="n">
        <f aca="false">O43/I43</f>
        <v>2153.4584</v>
      </c>
      <c r="V43" s="29" t="n">
        <f aca="false">M43/I43</f>
        <v>851.278562962963</v>
      </c>
      <c r="W43" s="147"/>
      <c r="X43" s="143" t="n">
        <f aca="false">'UT1 (1273)'!F79</f>
        <v>103231.61</v>
      </c>
      <c r="Y43" s="143" t="n">
        <f aca="false">'UT2 (12334)'!F19</f>
        <v>17560.85</v>
      </c>
      <c r="Z43" s="143"/>
      <c r="AA43" s="143"/>
      <c r="AB43" s="148"/>
      <c r="AC43" s="149" t="n">
        <f aca="false">AB43/P43</f>
        <v>0</v>
      </c>
      <c r="AD43" s="150"/>
      <c r="AE43" s="148" t="n">
        <f aca="false">1000*SUM(X43:AA43)/O43</f>
        <v>83.0997211706493</v>
      </c>
      <c r="AF43" s="151" t="n">
        <f aca="false">'UT1 (1273)'!G79</f>
        <v>20144</v>
      </c>
      <c r="AG43" s="143" t="n">
        <f aca="false">'UT2 (12334)'!G19</f>
        <v>2298</v>
      </c>
      <c r="AH43" s="143"/>
      <c r="AI43" s="143"/>
      <c r="AJ43" s="143"/>
      <c r="AK43" s="152"/>
      <c r="AL43" s="149" t="n">
        <f aca="false">AK43/P43</f>
        <v>0</v>
      </c>
      <c r="AM43" s="153"/>
      <c r="AN43" s="150" t="n">
        <f aca="false">AL43/SUM($AF$144:$AJ$144)</f>
        <v>0</v>
      </c>
      <c r="AO43" s="152"/>
      <c r="AP43" s="148" t="n">
        <f aca="false">1000*SUM(AF43:AJ43)/O43</f>
        <v>15.4390757710515</v>
      </c>
      <c r="AQ43" s="151" t="n">
        <f aca="false">'UT1 (1273)'!I79</f>
        <v>307544.4</v>
      </c>
      <c r="AR43" s="143" t="n">
        <f aca="false">'UT2 (12334)'!H19</f>
        <v>566317.08</v>
      </c>
      <c r="AS43" s="143"/>
      <c r="AT43" s="143"/>
      <c r="AU43" s="143"/>
      <c r="AV43" s="143"/>
      <c r="AW43" s="148"/>
      <c r="AX43" s="149" t="n">
        <f aca="false">AW43/P43</f>
        <v>0</v>
      </c>
      <c r="AY43" s="149"/>
      <c r="AZ43" s="148"/>
      <c r="BA43" s="148"/>
      <c r="BB43" s="148"/>
      <c r="BC43" s="148"/>
      <c r="BD43" s="148"/>
      <c r="BE43" s="148" t="n">
        <f aca="false">1000*SUM(AQ43:AV43)/O43</f>
        <v>601.176971888568</v>
      </c>
      <c r="BF43" s="151"/>
      <c r="BG43" s="143"/>
      <c r="BH43" s="143"/>
      <c r="BI43" s="143"/>
      <c r="BJ43" s="143"/>
    </row>
    <row r="44" customFormat="false" ht="18.75" hidden="false" customHeight="true" outlineLevel="0" collapsed="false">
      <c r="A44" s="18" t="n">
        <v>2017</v>
      </c>
      <c r="B44" s="18" t="n">
        <v>6</v>
      </c>
      <c r="C44" s="24" t="n">
        <f aca="false">SUM('UT1 (1273)'!C80:E80)</f>
        <v>172873.93</v>
      </c>
      <c r="D44" s="24" t="n">
        <f aca="false">SUM('UT2 (12334)'!C20:E20)</f>
        <v>173374.8</v>
      </c>
      <c r="E44" s="24" t="n">
        <f aca="false">SUM('UT3 (1279)'!C20:E20)</f>
        <v>128461</v>
      </c>
      <c r="F44" s="24" t="n">
        <f aca="false">SUM('Osm.'!C20:E20)</f>
        <v>37158.31</v>
      </c>
      <c r="G44" s="24"/>
      <c r="H44" s="24"/>
      <c r="I44" s="142" t="n">
        <v>670</v>
      </c>
      <c r="J44" s="143"/>
      <c r="K44" s="144"/>
      <c r="L44" s="25" t="n">
        <v>2043833</v>
      </c>
      <c r="M44" s="63" t="n">
        <v>509131.72</v>
      </c>
      <c r="N44" s="29" t="n">
        <v>647870.36</v>
      </c>
      <c r="O44" s="29" t="n">
        <v>1195359.61</v>
      </c>
      <c r="P44" s="145" t="n">
        <f aca="false">'$'!C67</f>
        <v>3.519175</v>
      </c>
      <c r="Q44" s="35" t="n">
        <f aca="false">100*(SUM(C44:H44)/P44)/M44</f>
        <v>28.5684708331949</v>
      </c>
      <c r="R44" s="35" t="n">
        <f aca="false">100*(L44/P44)/M44</f>
        <v>114.07077388231</v>
      </c>
      <c r="S44" s="146" t="n">
        <f aca="false">SUM(Q44:R44)</f>
        <v>142.639244715505</v>
      </c>
      <c r="T44" s="35" t="n">
        <f aca="false">100*SUM(L44,C44:H44)/O44/P44</f>
        <v>60.7534029040065</v>
      </c>
      <c r="U44" s="29" t="n">
        <f aca="false">O44/I44</f>
        <v>1784.11882089552</v>
      </c>
      <c r="V44" s="29" t="n">
        <f aca="false">M44/I44</f>
        <v>759.898089552239</v>
      </c>
      <c r="W44" s="147"/>
      <c r="X44" s="143" t="n">
        <f aca="false">'UT1 (1273)'!F80</f>
        <v>89891.35</v>
      </c>
      <c r="Y44" s="143" t="n">
        <f aca="false">'UT2 (12334)'!F20</f>
        <v>17240.71</v>
      </c>
      <c r="Z44" s="143"/>
      <c r="AA44" s="143"/>
      <c r="AB44" s="148"/>
      <c r="AC44" s="149" t="n">
        <f aca="false">AB44/P44</f>
        <v>0</v>
      </c>
      <c r="AD44" s="150"/>
      <c r="AE44" s="148" t="n">
        <f aca="false">1000*SUM(X44:AA44)/O44</f>
        <v>89.6232891790614</v>
      </c>
      <c r="AF44" s="151" t="n">
        <f aca="false">'UT1 (1273)'!G80</f>
        <v>19247</v>
      </c>
      <c r="AG44" s="143" t="n">
        <f aca="false">'UT2 (12334)'!G20</f>
        <v>2136</v>
      </c>
      <c r="AH44" s="143"/>
      <c r="AI44" s="143"/>
      <c r="AJ44" s="143"/>
      <c r="AK44" s="152"/>
      <c r="AL44" s="149" t="n">
        <f aca="false">AK44/P44</f>
        <v>0</v>
      </c>
      <c r="AM44" s="153"/>
      <c r="AN44" s="150" t="n">
        <f aca="false">AL44/SUM($AF$144:$AJ$144)</f>
        <v>0</v>
      </c>
      <c r="AO44" s="152"/>
      <c r="AP44" s="148" t="n">
        <f aca="false">1000*SUM(AF44:AJ44)/O44</f>
        <v>17.8883407312047</v>
      </c>
      <c r="AQ44" s="151" t="n">
        <f aca="false">'UT1 (1273)'!I80</f>
        <v>272768.4</v>
      </c>
      <c r="AR44" s="143" t="n">
        <f aca="false">'UT2 (12334)'!H20</f>
        <v>554898.96</v>
      </c>
      <c r="AS44" s="143"/>
      <c r="AT44" s="143"/>
      <c r="AU44" s="143"/>
      <c r="AV44" s="143"/>
      <c r="AW44" s="148"/>
      <c r="AX44" s="149" t="n">
        <f aca="false">AW44/P44</f>
        <v>0</v>
      </c>
      <c r="AY44" s="149"/>
      <c r="AZ44" s="148"/>
      <c r="BA44" s="148"/>
      <c r="BB44" s="148"/>
      <c r="BC44" s="148"/>
      <c r="BD44" s="148"/>
      <c r="BE44" s="148" t="n">
        <f aca="false">1000*SUM(AQ44:AV44)/O44</f>
        <v>692.400306214127</v>
      </c>
      <c r="BF44" s="151"/>
      <c r="BG44" s="143"/>
      <c r="BH44" s="143"/>
      <c r="BI44" s="143"/>
      <c r="BJ44" s="143"/>
    </row>
    <row r="45" customFormat="false" ht="18.75" hidden="false" customHeight="true" outlineLevel="0" collapsed="false">
      <c r="A45" s="18" t="n">
        <v>2017</v>
      </c>
      <c r="B45" s="18" t="n">
        <v>7</v>
      </c>
      <c r="C45" s="24" t="n">
        <f aca="false">SUM('UT1 (1273)'!C81:E81)</f>
        <v>169058.11</v>
      </c>
      <c r="D45" s="24" t="n">
        <f aca="false">SUM('UT2 (12334)'!C21:E21)</f>
        <v>174220</v>
      </c>
      <c r="E45" s="24" t="n">
        <f aca="false">SUM('UT3 (1279)'!C21:E21)</f>
        <v>130166.3</v>
      </c>
      <c r="F45" s="24" t="n">
        <f aca="false">SUM('Osm.'!C21:E21)</f>
        <v>253295.87</v>
      </c>
      <c r="G45" s="24"/>
      <c r="H45" s="24"/>
      <c r="I45" s="142" t="n">
        <v>688</v>
      </c>
      <c r="J45" s="143"/>
      <c r="K45" s="144"/>
      <c r="L45" s="25" t="n">
        <v>2135863</v>
      </c>
      <c r="M45" s="63" t="n">
        <v>598719.24</v>
      </c>
      <c r="N45" s="29" t="n">
        <v>758333.43</v>
      </c>
      <c r="O45" s="29" t="n">
        <v>1332754.7</v>
      </c>
      <c r="P45" s="145" t="n">
        <f aca="false">'$'!C68</f>
        <v>3.556397</v>
      </c>
      <c r="Q45" s="35" t="n">
        <f aca="false">100*(SUM(C45:H45)/P45)/M45</f>
        <v>34.1307461029561</v>
      </c>
      <c r="R45" s="35" t="n">
        <f aca="false">100*(L45/P45)/M45</f>
        <v>100.309009655689</v>
      </c>
      <c r="S45" s="146" t="n">
        <f aca="false">SUM(Q45:R45)</f>
        <v>134.439755758645</v>
      </c>
      <c r="T45" s="35" t="n">
        <f aca="false">100*SUM(L45,C45:H45)/O45/P45</f>
        <v>60.3949611984874</v>
      </c>
      <c r="U45" s="29" t="n">
        <f aca="false">O45/I45</f>
        <v>1937.14345930233</v>
      </c>
      <c r="V45" s="29" t="n">
        <f aca="false">M45/I45</f>
        <v>870.231453488372</v>
      </c>
      <c r="W45" s="147"/>
      <c r="X45" s="143" t="n">
        <f aca="false">'UT1 (1273)'!F81</f>
        <v>84952.31</v>
      </c>
      <c r="Y45" s="143" t="n">
        <f aca="false">'UT2 (12334)'!F21</f>
        <v>19014.65</v>
      </c>
      <c r="Z45" s="143"/>
      <c r="AA45" s="143"/>
      <c r="AB45" s="148"/>
      <c r="AC45" s="149" t="n">
        <f aca="false">AB45/P45</f>
        <v>0</v>
      </c>
      <c r="AD45" s="150"/>
      <c r="AE45" s="148" t="n">
        <f aca="false">1000*SUM(X45:AA45)/O45</f>
        <v>78.0090739878839</v>
      </c>
      <c r="AF45" s="151" t="n">
        <f aca="false">'UT1 (1273)'!G81</f>
        <v>19713</v>
      </c>
      <c r="AG45" s="143" t="n">
        <f aca="false">'UT2 (12334)'!G21</f>
        <v>2401</v>
      </c>
      <c r="AH45" s="143"/>
      <c r="AI45" s="143"/>
      <c r="AJ45" s="143"/>
      <c r="AK45" s="152"/>
      <c r="AL45" s="149" t="n">
        <f aca="false">AK45/P45</f>
        <v>0</v>
      </c>
      <c r="AM45" s="153"/>
      <c r="AN45" s="150" t="n">
        <f aca="false">AL45/SUM($AF$144:$AJ$144)</f>
        <v>0</v>
      </c>
      <c r="AO45" s="152"/>
      <c r="AP45" s="148" t="n">
        <f aca="false">1000*SUM(AF45:AJ45)/O45</f>
        <v>16.5927008173372</v>
      </c>
      <c r="AQ45" s="151" t="n">
        <f aca="false">'UT1 (1273)'!I81</f>
        <v>280506.6</v>
      </c>
      <c r="AR45" s="143" t="n">
        <f aca="false">'UT2 (12334)'!H21</f>
        <v>599770.08</v>
      </c>
      <c r="AS45" s="143"/>
      <c r="AT45" s="143"/>
      <c r="AU45" s="143"/>
      <c r="AV45" s="143"/>
      <c r="AW45" s="148"/>
      <c r="AX45" s="149" t="n">
        <f aca="false">AW45/P45</f>
        <v>0</v>
      </c>
      <c r="AY45" s="149"/>
      <c r="AZ45" s="148"/>
      <c r="BA45" s="148"/>
      <c r="BB45" s="148"/>
      <c r="BC45" s="148"/>
      <c r="BD45" s="148"/>
      <c r="BE45" s="148" t="n">
        <f aca="false">1000*SUM(AQ45:AV45)/O45</f>
        <v>660.494147947856</v>
      </c>
      <c r="BF45" s="151"/>
      <c r="BG45" s="143"/>
      <c r="BH45" s="143"/>
      <c r="BI45" s="143"/>
      <c r="BJ45" s="143"/>
    </row>
    <row r="46" customFormat="false" ht="18.75" hidden="false" customHeight="true" outlineLevel="0" collapsed="false">
      <c r="A46" s="18" t="n">
        <v>2017</v>
      </c>
      <c r="B46" s="18" t="n">
        <v>8</v>
      </c>
      <c r="C46" s="24" t="n">
        <f aca="false">SUM('UT1 (1273)'!C82:E82)</f>
        <v>165665.97</v>
      </c>
      <c r="D46" s="24" t="n">
        <f aca="false">SUM('UT2 (12334)'!C22:E22)</f>
        <v>177060.04</v>
      </c>
      <c r="E46" s="24" t="n">
        <f aca="false">SUM('UT3 (1279)'!C22:E22)</f>
        <v>116541.06</v>
      </c>
      <c r="F46" s="24" t="n">
        <f aca="false">SUM('Osm.'!C22:E22)</f>
        <v>132827.41</v>
      </c>
      <c r="G46" s="24"/>
      <c r="H46" s="24"/>
      <c r="I46" s="142" t="n">
        <v>696</v>
      </c>
      <c r="J46" s="143"/>
      <c r="K46" s="144"/>
      <c r="L46" s="25" t="n">
        <v>2117158</v>
      </c>
      <c r="M46" s="63" t="n">
        <v>571372.09</v>
      </c>
      <c r="N46" s="29" t="n">
        <v>724599.6</v>
      </c>
      <c r="O46" s="29" t="n">
        <v>1422145.38</v>
      </c>
      <c r="P46" s="145" t="n">
        <f aca="false">'$'!C69</f>
        <v>3.50946</v>
      </c>
      <c r="Q46" s="35" t="n">
        <f aca="false">100*(SUM(C46:H46)/P46)/M46</f>
        <v>29.5278409583466</v>
      </c>
      <c r="R46" s="35" t="n">
        <f aca="false">100*(L46/P46)/M46</f>
        <v>105.582988559007</v>
      </c>
      <c r="S46" s="146" t="n">
        <f aca="false">SUM(Q46:R46)</f>
        <v>135.110829517353</v>
      </c>
      <c r="T46" s="35" t="n">
        <f aca="false">100*SUM(L46,C46:H46)/O46/P46</f>
        <v>54.283168323455</v>
      </c>
      <c r="U46" s="29" t="n">
        <f aca="false">O46/I46</f>
        <v>2043.31232758621</v>
      </c>
      <c r="V46" s="29" t="n">
        <f aca="false">M46/I46</f>
        <v>820.93691091954</v>
      </c>
      <c r="W46" s="147"/>
      <c r="X46" s="143" t="n">
        <f aca="false">'UT1 (1273)'!F82</f>
        <v>82566.19</v>
      </c>
      <c r="Y46" s="143" t="n">
        <f aca="false">'UT2 (12334)'!F22</f>
        <v>18530.1</v>
      </c>
      <c r="Z46" s="143"/>
      <c r="AA46" s="143"/>
      <c r="AB46" s="148"/>
      <c r="AC46" s="149" t="n">
        <f aca="false">AB46/P46</f>
        <v>0</v>
      </c>
      <c r="AD46" s="150"/>
      <c r="AE46" s="148" t="n">
        <f aca="false">1000*SUM(X46:AA46)/O46</f>
        <v>71.0871697238155</v>
      </c>
      <c r="AF46" s="151" t="n">
        <f aca="false">'UT1 (1273)'!G82</f>
        <v>20150</v>
      </c>
      <c r="AG46" s="143" t="n">
        <f aca="false">'UT2 (12334)'!G22</f>
        <v>2762</v>
      </c>
      <c r="AH46" s="143"/>
      <c r="AI46" s="143"/>
      <c r="AJ46" s="143"/>
      <c r="AK46" s="152"/>
      <c r="AL46" s="149" t="n">
        <f aca="false">AK46/P46</f>
        <v>0</v>
      </c>
      <c r="AM46" s="153"/>
      <c r="AN46" s="150" t="n">
        <f aca="false">AL46/SUM($AF$144:$AJ$144)</f>
        <v>0</v>
      </c>
      <c r="AO46" s="152"/>
      <c r="AP46" s="148" t="n">
        <f aca="false">1000*SUM(AF46:AJ46)/O46</f>
        <v>16.1108704652966</v>
      </c>
      <c r="AQ46" s="151" t="n">
        <f aca="false">'UT1 (1273)'!I82</f>
        <v>268396.2</v>
      </c>
      <c r="AR46" s="143" t="n">
        <f aca="false">'UT2 (12334)'!H22</f>
        <v>604646.28</v>
      </c>
      <c r="AS46" s="143"/>
      <c r="AT46" s="143"/>
      <c r="AU46" s="143"/>
      <c r="AV46" s="143"/>
      <c r="AW46" s="148"/>
      <c r="AX46" s="149" t="n">
        <f aca="false">AW46/P46</f>
        <v>0</v>
      </c>
      <c r="AY46" s="149"/>
      <c r="AZ46" s="148"/>
      <c r="BA46" s="148"/>
      <c r="BB46" s="148"/>
      <c r="BC46" s="148"/>
      <c r="BD46" s="148"/>
      <c r="BE46" s="148" t="n">
        <f aca="false">1000*SUM(AQ46:AV46)/O46</f>
        <v>613.891162097647</v>
      </c>
      <c r="BF46" s="151"/>
      <c r="BG46" s="143"/>
      <c r="BH46" s="143"/>
      <c r="BI46" s="143"/>
      <c r="BJ46" s="143"/>
    </row>
    <row r="47" customFormat="false" ht="18.75" hidden="false" customHeight="true" outlineLevel="0" collapsed="false">
      <c r="A47" s="18" t="n">
        <v>2017</v>
      </c>
      <c r="B47" s="18" t="n">
        <v>9</v>
      </c>
      <c r="C47" s="24" t="n">
        <f aca="false">SUM('UT1 (1273)'!C83:E83)</f>
        <v>170062.17</v>
      </c>
      <c r="D47" s="24" t="n">
        <f aca="false">SUM('UT2 (12334)'!C23:E23)</f>
        <v>157006.53</v>
      </c>
      <c r="E47" s="24" t="n">
        <f aca="false">SUM('UT3 (1279)'!C23:E23)</f>
        <v>107018.82</v>
      </c>
      <c r="F47" s="24" t="n">
        <f aca="false">SUM('Osm.'!C23:E23)</f>
        <v>134671.32</v>
      </c>
      <c r="G47" s="24"/>
      <c r="H47" s="24"/>
      <c r="I47" s="142" t="n">
        <v>706</v>
      </c>
      <c r="J47" s="143"/>
      <c r="K47" s="144"/>
      <c r="L47" s="25" t="n">
        <v>2057144</v>
      </c>
      <c r="M47" s="63" t="n">
        <v>569925.2</v>
      </c>
      <c r="N47" s="29" t="n">
        <v>707076.72</v>
      </c>
      <c r="O47" s="29" t="n">
        <v>1302245.25</v>
      </c>
      <c r="P47" s="145" t="n">
        <f aca="false">'$'!C70</f>
        <v>3.467228</v>
      </c>
      <c r="Q47" s="35" t="n">
        <f aca="false">100*(SUM(C47:H47)/P47)/M47</f>
        <v>28.7824592390768</v>
      </c>
      <c r="R47" s="35" t="n">
        <f aca="false">100*(L47/P47)/M47</f>
        <v>104.103284493849</v>
      </c>
      <c r="S47" s="146" t="n">
        <f aca="false">SUM(Q47:R47)</f>
        <v>132.885743732926</v>
      </c>
      <c r="T47" s="35" t="n">
        <f aca="false">100*SUM(L47,C47:H47)/O47/P47</f>
        <v>58.1571974051251</v>
      </c>
      <c r="U47" s="29" t="n">
        <f aca="false">O47/I47</f>
        <v>1844.54001416431</v>
      </c>
      <c r="V47" s="29" t="n">
        <f aca="false">M47/I47</f>
        <v>807.259490084986</v>
      </c>
      <c r="W47" s="147"/>
      <c r="X47" s="143" t="n">
        <f aca="false">'UT1 (1273)'!F83</f>
        <v>89690.3</v>
      </c>
      <c r="Y47" s="143" t="n">
        <f aca="false">'UT2 (12334)'!F23</f>
        <v>14491.48</v>
      </c>
      <c r="Z47" s="143"/>
      <c r="AA47" s="143"/>
      <c r="AB47" s="148"/>
      <c r="AC47" s="149" t="n">
        <f aca="false">AB47/P47</f>
        <v>0</v>
      </c>
      <c r="AD47" s="150"/>
      <c r="AE47" s="148" t="n">
        <f aca="false">1000*SUM(X47:AA47)/O47</f>
        <v>80.0016586737406</v>
      </c>
      <c r="AF47" s="151" t="n">
        <f aca="false">'UT1 (1273)'!G83</f>
        <v>21230</v>
      </c>
      <c r="AG47" s="143" t="n">
        <f aca="false">'UT2 (12334)'!G23</f>
        <v>1983</v>
      </c>
      <c r="AH47" s="143"/>
      <c r="AI47" s="143"/>
      <c r="AJ47" s="143"/>
      <c r="AK47" s="152"/>
      <c r="AL47" s="149" t="n">
        <f aca="false">AK47/P47</f>
        <v>0</v>
      </c>
      <c r="AM47" s="153"/>
      <c r="AN47" s="150" t="n">
        <f aca="false">AL47/SUM($AF$144:$AJ$144)</f>
        <v>0</v>
      </c>
      <c r="AO47" s="152"/>
      <c r="AP47" s="148" t="n">
        <f aca="false">1000*SUM(AF47:AJ47)/O47</f>
        <v>17.8253673799156</v>
      </c>
      <c r="AQ47" s="151" t="n">
        <f aca="false">'UT1 (1273)'!I83</f>
        <v>255843</v>
      </c>
      <c r="AR47" s="143" t="n">
        <f aca="false">'UT2 (12334)'!H23</f>
        <v>560667.24</v>
      </c>
      <c r="AS47" s="143"/>
      <c r="AT47" s="143"/>
      <c r="AU47" s="143"/>
      <c r="AV47" s="143"/>
      <c r="AW47" s="148"/>
      <c r="AX47" s="149" t="n">
        <f aca="false">AW47/P47</f>
        <v>0</v>
      </c>
      <c r="AY47" s="149"/>
      <c r="AZ47" s="148"/>
      <c r="BA47" s="148"/>
      <c r="BB47" s="148"/>
      <c r="BC47" s="148"/>
      <c r="BD47" s="148"/>
      <c r="BE47" s="148" t="n">
        <f aca="false">1000*SUM(AQ47:AV47)/O47</f>
        <v>627.001895380306</v>
      </c>
      <c r="BF47" s="151"/>
      <c r="BG47" s="143"/>
      <c r="BH47" s="143"/>
      <c r="BI47" s="143"/>
      <c r="BJ47" s="143"/>
    </row>
    <row r="48" customFormat="false" ht="18.75" hidden="false" customHeight="true" outlineLevel="0" collapsed="false">
      <c r="A48" s="18" t="n">
        <v>2017</v>
      </c>
      <c r="B48" s="18" t="n">
        <v>10</v>
      </c>
      <c r="C48" s="24" t="n">
        <f aca="false">SUM('UT1 (1273)'!C84:E84)</f>
        <v>210170.22</v>
      </c>
      <c r="D48" s="24" t="n">
        <f aca="false">SUM('UT2 (12334)'!C24:E24)</f>
        <v>156747.58</v>
      </c>
      <c r="E48" s="24" t="n">
        <f aca="false">SUM('UT3 (1279)'!C24:E24)</f>
        <v>129540.04</v>
      </c>
      <c r="F48" s="24" t="n">
        <f aca="false">SUM('Osm.'!C24:E24)</f>
        <v>168863.88</v>
      </c>
      <c r="G48" s="24"/>
      <c r="H48" s="24"/>
      <c r="I48" s="142" t="n">
        <v>716</v>
      </c>
      <c r="J48" s="143"/>
      <c r="K48" s="144"/>
      <c r="L48" s="25" t="n">
        <v>2213567</v>
      </c>
      <c r="M48" s="63" t="n">
        <v>557855.33</v>
      </c>
      <c r="N48" s="29" t="n">
        <v>906353.48</v>
      </c>
      <c r="O48" s="29" t="n">
        <v>1572879.38</v>
      </c>
      <c r="P48" s="145" t="n">
        <f aca="false">'$'!C71</f>
        <v>3.672914</v>
      </c>
      <c r="Q48" s="35" t="n">
        <f aca="false">100*(SUM(C48:H48)/P48)/M48</f>
        <v>32.4712759993328</v>
      </c>
      <c r="R48" s="35" t="n">
        <f aca="false">100*(L48/P48)/M48</f>
        <v>108.033967386508</v>
      </c>
      <c r="S48" s="146" t="n">
        <f aca="false">SUM(Q48:R48)</f>
        <v>140.50524338584</v>
      </c>
      <c r="T48" s="35" t="n">
        <f aca="false">100*SUM(L48,C48:H48)/O48/P48</f>
        <v>49.8331912239439</v>
      </c>
      <c r="U48" s="29" t="n">
        <f aca="false">O48/I48</f>
        <v>2196.75891061452</v>
      </c>
      <c r="V48" s="29" t="n">
        <f aca="false">M48/I48</f>
        <v>779.127555865922</v>
      </c>
      <c r="W48" s="147"/>
      <c r="X48" s="143" t="n">
        <f aca="false">'UT1 (1273)'!F84</f>
        <v>118395.65</v>
      </c>
      <c r="Y48" s="143" t="n">
        <f aca="false">'UT2 (12334)'!F24</f>
        <v>16263.88</v>
      </c>
      <c r="Z48" s="143"/>
      <c r="AA48" s="143"/>
      <c r="AB48" s="148"/>
      <c r="AC48" s="149" t="n">
        <f aca="false">AB48/P48</f>
        <v>0</v>
      </c>
      <c r="AD48" s="150"/>
      <c r="AE48" s="148" t="n">
        <f aca="false">1000*SUM(X48:AA48)/O48</f>
        <v>85.6133863233683</v>
      </c>
      <c r="AF48" s="151" t="n">
        <f aca="false">'UT1 (1273)'!G84</f>
        <v>24886</v>
      </c>
      <c r="AG48" s="143" t="n">
        <f aca="false">'UT2 (12334)'!G24</f>
        <v>1650</v>
      </c>
      <c r="AH48" s="143"/>
      <c r="AI48" s="143"/>
      <c r="AJ48" s="143"/>
      <c r="AK48" s="152"/>
      <c r="AL48" s="149" t="n">
        <f aca="false">AK48/P48</f>
        <v>0</v>
      </c>
      <c r="AM48" s="153"/>
      <c r="AN48" s="150" t="n">
        <f aca="false">AL48/SUM($AF$144:$AJ$144)</f>
        <v>0</v>
      </c>
      <c r="AO48" s="152"/>
      <c r="AP48" s="148" t="n">
        <f aca="false">1000*SUM(AF48:AJ48)/O48</f>
        <v>16.8709694700175</v>
      </c>
      <c r="AQ48" s="151" t="n">
        <f aca="false">'UT1 (1273)'!I84</f>
        <v>292177.8</v>
      </c>
      <c r="AR48" s="143" t="n">
        <f aca="false">'UT2 (12334)'!H24</f>
        <v>555337.44</v>
      </c>
      <c r="AS48" s="143"/>
      <c r="AT48" s="143"/>
      <c r="AU48" s="143"/>
      <c r="AV48" s="143"/>
      <c r="AW48" s="148"/>
      <c r="AX48" s="149" t="n">
        <f aca="false">AW48/P48</f>
        <v>0</v>
      </c>
      <c r="AY48" s="149"/>
      <c r="AZ48" s="148"/>
      <c r="BA48" s="148"/>
      <c r="BB48" s="148"/>
      <c r="BC48" s="148"/>
      <c r="BD48" s="148"/>
      <c r="BE48" s="148" t="n">
        <f aca="false">1000*SUM(AQ48:AV48)/O48</f>
        <v>538.830409233288</v>
      </c>
      <c r="BF48" s="151"/>
      <c r="BG48" s="143"/>
      <c r="BH48" s="143"/>
      <c r="BI48" s="143"/>
      <c r="BJ48" s="143"/>
    </row>
    <row r="49" customFormat="false" ht="18.75" hidden="false" customHeight="true" outlineLevel="0" collapsed="false">
      <c r="A49" s="18" t="n">
        <v>2017</v>
      </c>
      <c r="B49" s="18" t="n">
        <v>11</v>
      </c>
      <c r="C49" s="24" t="n">
        <f aca="false">SUM('UT1 (1273)'!C85:E85)</f>
        <v>229634.68</v>
      </c>
      <c r="D49" s="24" t="n">
        <f aca="false">SUM('UT2 (12334)'!C25:E25)</f>
        <v>159470.92</v>
      </c>
      <c r="E49" s="24" t="n">
        <f aca="false">SUM('UT3 (1279)'!C25:E25)</f>
        <v>131270.76</v>
      </c>
      <c r="F49" s="24" t="n">
        <f aca="false">SUM('Osm.'!C25:E25)</f>
        <v>161866.61</v>
      </c>
      <c r="G49" s="24"/>
      <c r="H49" s="24"/>
      <c r="I49" s="142" t="n">
        <v>700</v>
      </c>
      <c r="J49" s="143"/>
      <c r="K49" s="144"/>
      <c r="L49" s="25" t="n">
        <v>2124639</v>
      </c>
      <c r="M49" s="63" t="n">
        <v>619549.3</v>
      </c>
      <c r="N49" s="29" t="n">
        <v>899225.86</v>
      </c>
      <c r="O49" s="29" t="n">
        <v>1571038.37</v>
      </c>
      <c r="P49" s="145" t="n">
        <f aca="false">'$'!C72</f>
        <v>3.889185</v>
      </c>
      <c r="Q49" s="35" t="n">
        <f aca="false">100*(SUM(C49:H49)/P49)/M49</f>
        <v>28.3142196350774</v>
      </c>
      <c r="R49" s="35" t="n">
        <f aca="false">100*(L49/P49)/M49</f>
        <v>88.1760574114103</v>
      </c>
      <c r="S49" s="146" t="n">
        <f aca="false">SUM(Q49:R49)</f>
        <v>116.490277046488</v>
      </c>
      <c r="T49" s="35" t="n">
        <f aca="false">100*SUM(L49,C49:H49)/O49/P49</f>
        <v>45.9387058770293</v>
      </c>
      <c r="U49" s="29" t="n">
        <f aca="false">O49/I49</f>
        <v>2244.34052857143</v>
      </c>
      <c r="V49" s="29" t="n">
        <f aca="false">M49/I49</f>
        <v>885.070428571429</v>
      </c>
      <c r="W49" s="147"/>
      <c r="X49" s="143" t="n">
        <f aca="false">'UT1 (1273)'!F85</f>
        <v>132921.73</v>
      </c>
      <c r="Y49" s="143" t="n">
        <f aca="false">'UT2 (12334)'!F25</f>
        <v>19560.29</v>
      </c>
      <c r="Z49" s="143"/>
      <c r="AA49" s="143"/>
      <c r="AB49" s="148"/>
      <c r="AC49" s="149" t="n">
        <f aca="false">AB49/P49</f>
        <v>0</v>
      </c>
      <c r="AD49" s="150"/>
      <c r="AE49" s="148" t="n">
        <f aca="false">1000*SUM(X49:AA49)/O49</f>
        <v>97.0581132273682</v>
      </c>
      <c r="AF49" s="151" t="n">
        <f aca="false">'UT1 (1273)'!G85</f>
        <v>24706</v>
      </c>
      <c r="AG49" s="143" t="n">
        <f aca="false">'UT2 (12334)'!G25</f>
        <v>1485</v>
      </c>
      <c r="AH49" s="143"/>
      <c r="AI49" s="143"/>
      <c r="AJ49" s="143"/>
      <c r="AK49" s="152"/>
      <c r="AL49" s="149" t="n">
        <f aca="false">AK49/P49</f>
        <v>0</v>
      </c>
      <c r="AM49" s="153"/>
      <c r="AN49" s="150" t="n">
        <f aca="false">AL49/SUM($AF$144:$AJ$144)</f>
        <v>0</v>
      </c>
      <c r="AO49" s="152"/>
      <c r="AP49" s="148" t="n">
        <f aca="false">1000*SUM(AF49:AJ49)/O49</f>
        <v>16.6711396106767</v>
      </c>
      <c r="AQ49" s="151" t="n">
        <f aca="false">'UT1 (1273)'!I85</f>
        <v>321651.72</v>
      </c>
      <c r="AR49" s="143" t="n">
        <f aca="false">'UT2 (12334)'!H25</f>
        <v>554992.2</v>
      </c>
      <c r="AS49" s="143"/>
      <c r="AT49" s="143"/>
      <c r="AU49" s="143"/>
      <c r="AV49" s="143"/>
      <c r="AW49" s="148"/>
      <c r="AX49" s="149" t="n">
        <f aca="false">AW49/P49</f>
        <v>0</v>
      </c>
      <c r="AY49" s="149"/>
      <c r="AZ49" s="148"/>
      <c r="BA49" s="148"/>
      <c r="BB49" s="148"/>
      <c r="BC49" s="148"/>
      <c r="BD49" s="148"/>
      <c r="BE49" s="148" t="n">
        <f aca="false">1000*SUM(AQ49:AV49)/O49</f>
        <v>558.002870420027</v>
      </c>
      <c r="BF49" s="151"/>
      <c r="BG49" s="143"/>
      <c r="BH49" s="143"/>
      <c r="BI49" s="143"/>
      <c r="BJ49" s="143"/>
    </row>
    <row r="50" customFormat="false" ht="18.75" hidden="false" customHeight="true" outlineLevel="0" collapsed="false">
      <c r="A50" s="18" t="n">
        <v>2017</v>
      </c>
      <c r="B50" s="18" t="n">
        <v>12</v>
      </c>
      <c r="C50" s="24" t="n">
        <f aca="false">SUM('UT1 (1273)'!C86:E86)</f>
        <v>232921.7</v>
      </c>
      <c r="D50" s="24" t="n">
        <f aca="false">SUM('UT2 (12334)'!C26:E26)</f>
        <v>162130.87</v>
      </c>
      <c r="E50" s="24" t="n">
        <f aca="false">SUM('UT3 (1279)'!C26:E26)</f>
        <v>134121.76</v>
      </c>
      <c r="F50" s="24" t="n">
        <f aca="false">SUM('Osm.'!C26:E26)</f>
        <v>159778.54</v>
      </c>
      <c r="G50" s="24"/>
      <c r="H50" s="24"/>
      <c r="I50" s="142" t="n">
        <v>702</v>
      </c>
      <c r="J50" s="143"/>
      <c r="K50" s="144"/>
      <c r="L50" s="25" t="n">
        <v>2160941</v>
      </c>
      <c r="M50" s="63" t="n">
        <v>629477.76</v>
      </c>
      <c r="N50" s="29" t="n">
        <v>937906.62</v>
      </c>
      <c r="O50" s="29" t="n">
        <v>1581967.92</v>
      </c>
      <c r="P50" s="145" t="n">
        <f aca="false">'$'!C73</f>
        <v>3.843316</v>
      </c>
      <c r="Q50" s="35" t="n">
        <f aca="false">100*(SUM(C50:H50)/P50)/M50</f>
        <v>28.4775766195165</v>
      </c>
      <c r="R50" s="35" t="n">
        <f aca="false">100*(L50/P50)/M50</f>
        <v>89.3215858114571</v>
      </c>
      <c r="S50" s="146" t="n">
        <f aca="false">SUM(Q50:R50)</f>
        <v>117.799162430974</v>
      </c>
      <c r="T50" s="35" t="n">
        <f aca="false">100*SUM(L50,C50:H50)/O50/P50</f>
        <v>46.8732342542859</v>
      </c>
      <c r="U50" s="29" t="n">
        <f aca="false">O50/I50</f>
        <v>2253.51555555555</v>
      </c>
      <c r="V50" s="29" t="n">
        <f aca="false">M50/I50</f>
        <v>896.691965811966</v>
      </c>
      <c r="W50" s="147"/>
      <c r="X50" s="143" t="n">
        <f aca="false">'UT1 (1273)'!F86</f>
        <v>134532.68</v>
      </c>
      <c r="Y50" s="143" t="n">
        <f aca="false">'UT2 (12334)'!F26</f>
        <v>21111.58</v>
      </c>
      <c r="Z50" s="143"/>
      <c r="AA50" s="143"/>
      <c r="AB50" s="148"/>
      <c r="AC50" s="149" t="n">
        <f aca="false">AB50/P50</f>
        <v>0</v>
      </c>
      <c r="AD50" s="150"/>
      <c r="AE50" s="148" t="n">
        <f aca="false">1000*SUM(X50:AA50)/O50</f>
        <v>98.3864830836772</v>
      </c>
      <c r="AF50" s="151" t="n">
        <f aca="false">'UT1 (1273)'!G86</f>
        <v>21795</v>
      </c>
      <c r="AG50" s="143" t="n">
        <f aca="false">'UT2 (12334)'!G26</f>
        <v>1838</v>
      </c>
      <c r="AH50" s="143"/>
      <c r="AI50" s="143"/>
      <c r="AJ50" s="143"/>
      <c r="AK50" s="152"/>
      <c r="AL50" s="149" t="n">
        <f aca="false">AK50/P50</f>
        <v>0</v>
      </c>
      <c r="AM50" s="153"/>
      <c r="AN50" s="150" t="n">
        <f aca="false">AL50/SUM($AF$144:$AJ$144)</f>
        <v>0</v>
      </c>
      <c r="AO50" s="152"/>
      <c r="AP50" s="148" t="n">
        <f aca="false">1000*SUM(AF50:AJ50)/O50</f>
        <v>14.9389881433247</v>
      </c>
      <c r="AQ50" s="151" t="n">
        <f aca="false">'UT1 (1273)'!I86</f>
        <v>338718.24</v>
      </c>
      <c r="AR50" s="143" t="n">
        <f aca="false">'UT2 (12334)'!H26</f>
        <v>558043.92</v>
      </c>
      <c r="AS50" s="143"/>
      <c r="AT50" s="143"/>
      <c r="AU50" s="143"/>
      <c r="AV50" s="143"/>
      <c r="AW50" s="148"/>
      <c r="AX50" s="149" t="n">
        <f aca="false">AW50/P50</f>
        <v>0</v>
      </c>
      <c r="AY50" s="149"/>
      <c r="AZ50" s="148"/>
      <c r="BA50" s="148"/>
      <c r="BB50" s="148"/>
      <c r="BC50" s="148"/>
      <c r="BD50" s="148"/>
      <c r="BE50" s="148" t="n">
        <f aca="false">1000*SUM(AQ50:AV50)/O50</f>
        <v>566.864946287912</v>
      </c>
      <c r="BF50" s="151"/>
      <c r="BG50" s="143"/>
      <c r="BH50" s="143"/>
      <c r="BI50" s="143"/>
      <c r="BJ50" s="143"/>
    </row>
    <row r="51" customFormat="false" ht="18.75" hidden="false" customHeight="true" outlineLevel="0" collapsed="false">
      <c r="A51" s="18" t="n">
        <v>2018</v>
      </c>
      <c r="B51" s="18" t="n">
        <v>1</v>
      </c>
      <c r="C51" s="24" t="n">
        <f aca="false">SUM('UT1 (1273)'!C87:E87)</f>
        <v>255504.12</v>
      </c>
      <c r="D51" s="24" t="n">
        <f aca="false">SUM('UT2 (12334)'!C27:E27)</f>
        <v>188372.8</v>
      </c>
      <c r="E51" s="24" t="n">
        <f aca="false">SUM('UT3 (1279)'!C27:E27)</f>
        <v>116292.8</v>
      </c>
      <c r="F51" s="24" t="n">
        <f aca="false">SUM('Osm.'!C27:E27)</f>
        <v>179263.55</v>
      </c>
      <c r="G51" s="24"/>
      <c r="H51" s="24"/>
      <c r="I51" s="142" t="n">
        <v>706</v>
      </c>
      <c r="J51" s="143"/>
      <c r="K51" s="144"/>
      <c r="L51" s="25" t="n">
        <v>2408347</v>
      </c>
      <c r="M51" s="63" t="n">
        <v>678541.5</v>
      </c>
      <c r="N51" s="29" t="n">
        <v>918096.85</v>
      </c>
      <c r="O51" s="29" t="n">
        <v>1625544.32</v>
      </c>
      <c r="P51" s="145" t="n">
        <f aca="false">'$'!C74</f>
        <v>3.772753</v>
      </c>
      <c r="Q51" s="35" t="n">
        <f aca="false">100*(SUM(C51:H51)/P51)/M51</f>
        <v>28.8844564690809</v>
      </c>
      <c r="R51" s="35" t="n">
        <f aca="false">100*(L51/P51)/M51</f>
        <v>94.0771762730415</v>
      </c>
      <c r="S51" s="146" t="n">
        <f aca="false">SUM(Q51:R51)</f>
        <v>122.961632742122</v>
      </c>
      <c r="T51" s="35" t="n">
        <f aca="false">100*SUM(L51,C51:H51)/O51/P51</f>
        <v>51.32715835351</v>
      </c>
      <c r="U51" s="29" t="n">
        <f aca="false">O51/I51</f>
        <v>2302.4707082153</v>
      </c>
      <c r="V51" s="29" t="n">
        <f aca="false">M51/I51</f>
        <v>961.106940509915</v>
      </c>
      <c r="W51" s="147"/>
      <c r="X51" s="143" t="n">
        <f aca="false">'UT1 (1273)'!F87</f>
        <v>141876.3</v>
      </c>
      <c r="Y51" s="143" t="n">
        <f aca="false">'UT2 (12334)'!F27</f>
        <v>24299.79</v>
      </c>
      <c r="Z51" s="143"/>
      <c r="AA51" s="143"/>
      <c r="AB51" s="148"/>
      <c r="AC51" s="149" t="n">
        <f aca="false">AB51/P51</f>
        <v>0</v>
      </c>
      <c r="AD51" s="150"/>
      <c r="AE51" s="148" t="n">
        <f aca="false">1000*SUM(X51:AA51)/O51</f>
        <v>102.227966322075</v>
      </c>
      <c r="AF51" s="151" t="n">
        <f aca="false">'UT1 (1273)'!G87</f>
        <v>21426</v>
      </c>
      <c r="AG51" s="143" t="n">
        <f aca="false">'UT2 (12334)'!G27</f>
        <v>2159</v>
      </c>
      <c r="AH51" s="143"/>
      <c r="AI51" s="143"/>
      <c r="AJ51" s="143"/>
      <c r="AK51" s="152"/>
      <c r="AL51" s="149" t="n">
        <f aca="false">AK51/P51</f>
        <v>0</v>
      </c>
      <c r="AM51" s="153"/>
      <c r="AN51" s="150" t="n">
        <f aca="false">AL51/SUM($AF$144:$AJ$144)</f>
        <v>0</v>
      </c>
      <c r="AO51" s="152"/>
      <c r="AP51" s="148" t="n">
        <f aca="false">1000*SUM(AF51:AJ51)/O51</f>
        <v>14.5089861345645</v>
      </c>
      <c r="AQ51" s="151" t="n">
        <f aca="false">'UT1 (1273)'!I87</f>
        <v>333207</v>
      </c>
      <c r="AR51" s="143" t="n">
        <f aca="false">'UT2 (12334)'!H27</f>
        <v>635722.92</v>
      </c>
      <c r="AS51" s="143"/>
      <c r="AT51" s="143"/>
      <c r="AU51" s="143"/>
      <c r="AV51" s="143" t="n">
        <f aca="false">'Osm.'!F27</f>
        <v>614960.64</v>
      </c>
      <c r="AW51" s="152"/>
      <c r="AX51" s="149" t="n">
        <f aca="false">AW51/P51</f>
        <v>0</v>
      </c>
      <c r="AY51" s="153"/>
      <c r="AZ51" s="152" t="n">
        <f aca="false">SUM(AQ51:AV51)/((1400+2000+2000)*24*30)</f>
        <v>0.407379259259259</v>
      </c>
      <c r="BA51" s="148"/>
      <c r="BB51" s="148"/>
      <c r="BC51" s="148"/>
      <c r="BD51" s="148"/>
      <c r="BE51" s="148" t="n">
        <f aca="false">1000*SUM(AQ51:AV51)/O51</f>
        <v>974.375500263198</v>
      </c>
      <c r="BF51" s="151"/>
      <c r="BG51" s="143"/>
      <c r="BH51" s="143"/>
      <c r="BI51" s="143"/>
      <c r="BJ51" s="143"/>
    </row>
    <row r="52" customFormat="false" ht="18.75" hidden="false" customHeight="true" outlineLevel="0" collapsed="false">
      <c r="A52" s="18" t="n">
        <v>2018</v>
      </c>
      <c r="B52" s="18" t="n">
        <v>2</v>
      </c>
      <c r="C52" s="24" t="n">
        <f aca="false">SUM('UT1 (1273)'!C88:E88)</f>
        <v>233648.72</v>
      </c>
      <c r="D52" s="24" t="n">
        <f aca="false">SUM('UT2 (12334)'!C28:E28)</f>
        <v>180442.36</v>
      </c>
      <c r="E52" s="24" t="n">
        <f aca="false">SUM('UT3 (1279)'!C28:E28)</f>
        <v>131426.77</v>
      </c>
      <c r="F52" s="24" t="n">
        <f aca="false">SUM('Osm.'!C28:E28)</f>
        <v>175707</v>
      </c>
      <c r="G52" s="24"/>
      <c r="H52" s="24"/>
      <c r="I52" s="142" t="n">
        <v>712</v>
      </c>
      <c r="J52" s="143"/>
      <c r="K52" s="144"/>
      <c r="L52" s="25" t="n">
        <v>2367358</v>
      </c>
      <c r="M52" s="63" t="n">
        <v>660613.92</v>
      </c>
      <c r="N52" s="29" t="n">
        <v>867721.97</v>
      </c>
      <c r="O52" s="29" t="n">
        <v>1513953.07</v>
      </c>
      <c r="P52" s="145" t="n">
        <f aca="false">'$'!C75</f>
        <v>3.78455</v>
      </c>
      <c r="Q52" s="35" t="n">
        <f aca="false">100*(SUM(C52:H52)/P52)/M52</f>
        <v>28.8475353424224</v>
      </c>
      <c r="R52" s="35" t="n">
        <f aca="false">100*(L52/P52)/M52</f>
        <v>94.689532083048</v>
      </c>
      <c r="S52" s="146" t="n">
        <f aca="false">SUM(Q52:R52)</f>
        <v>123.53706742547</v>
      </c>
      <c r="T52" s="35" t="n">
        <f aca="false">100*SUM(L52,C52:H52)/O52/P52</f>
        <v>53.9054399996985</v>
      </c>
      <c r="U52" s="29" t="n">
        <f aca="false">O52/I52</f>
        <v>2126.33858146067</v>
      </c>
      <c r="V52" s="29" t="n">
        <f aca="false">M52/I52</f>
        <v>927.828539325843</v>
      </c>
      <c r="W52" s="147"/>
      <c r="X52" s="143" t="n">
        <f aca="false">'UT1 (1273)'!F88</f>
        <v>118891.73</v>
      </c>
      <c r="Y52" s="143" t="n">
        <f aca="false">'UT2 (12334)'!F28</f>
        <v>23342.78</v>
      </c>
      <c r="Z52" s="143"/>
      <c r="AA52" s="143"/>
      <c r="AB52" s="148"/>
      <c r="AC52" s="149" t="n">
        <f aca="false">AB52/P52</f>
        <v>0</v>
      </c>
      <c r="AD52" s="150"/>
      <c r="AE52" s="148" t="n">
        <f aca="false">1000*SUM(X52:AA52)/O52</f>
        <v>93.9490878670367</v>
      </c>
      <c r="AF52" s="151" t="n">
        <f aca="false">'UT1 (1273)'!G88</f>
        <v>20357</v>
      </c>
      <c r="AG52" s="143" t="n">
        <f aca="false">'UT2 (12334)'!G28</f>
        <v>1897</v>
      </c>
      <c r="AH52" s="143"/>
      <c r="AI52" s="143"/>
      <c r="AJ52" s="143"/>
      <c r="AK52" s="152"/>
      <c r="AL52" s="149" t="n">
        <f aca="false">AK52/P52</f>
        <v>0</v>
      </c>
      <c r="AM52" s="153"/>
      <c r="AN52" s="150" t="n">
        <f aca="false">AL52/SUM($AF$144:$AJ$144)</f>
        <v>0</v>
      </c>
      <c r="AO52" s="152"/>
      <c r="AP52" s="148" t="n">
        <f aca="false">1000*SUM(AF52:AJ52)/O52</f>
        <v>14.6992667348665</v>
      </c>
      <c r="AQ52" s="151" t="n">
        <f aca="false">'UT1 (1273)'!I88</f>
        <v>320738.67</v>
      </c>
      <c r="AR52" s="143" t="n">
        <f aca="false">'UT2 (12334)'!H28</f>
        <v>562930.2</v>
      </c>
      <c r="AS52" s="143"/>
      <c r="AT52" s="143"/>
      <c r="AU52" s="143"/>
      <c r="AV52" s="143" t="n">
        <f aca="false">'Osm.'!F28</f>
        <v>605485.44</v>
      </c>
      <c r="AW52" s="152"/>
      <c r="AX52" s="149" t="n">
        <f aca="false">AW52/P52</f>
        <v>0</v>
      </c>
      <c r="AY52" s="153"/>
      <c r="AZ52" s="152" t="n">
        <f aca="false">SUM(AQ52:AV52)/((1400+2000+2000)*24*30)</f>
        <v>0.383012939814815</v>
      </c>
      <c r="BA52" s="148"/>
      <c r="BB52" s="148"/>
      <c r="BC52" s="148"/>
      <c r="BD52" s="148"/>
      <c r="BE52" s="148" t="n">
        <f aca="false">1000*SUM(AQ52:AV52)/O52</f>
        <v>983.619862140112</v>
      </c>
      <c r="BF52" s="151"/>
      <c r="BG52" s="143"/>
      <c r="BH52" s="143"/>
      <c r="BI52" s="143"/>
      <c r="BJ52" s="143"/>
    </row>
    <row r="53" customFormat="false" ht="18.75" hidden="false" customHeight="true" outlineLevel="0" collapsed="false">
      <c r="A53" s="18" t="n">
        <v>2018</v>
      </c>
      <c r="B53" s="18" t="n">
        <v>3</v>
      </c>
      <c r="C53" s="24" t="n">
        <f aca="false">SUM('UT1 (1273)'!C89:E89)</f>
        <v>227255</v>
      </c>
      <c r="D53" s="24" t="n">
        <f aca="false">SUM('UT2 (12334)'!C29:E29)</f>
        <v>180706.9</v>
      </c>
      <c r="E53" s="24" t="n">
        <f aca="false">SUM('UT3 (1279)'!C29:E29)</f>
        <v>146960.28</v>
      </c>
      <c r="F53" s="24" t="n">
        <f aca="false">SUM('Osm.'!C29:E29)</f>
        <v>191155.2</v>
      </c>
      <c r="G53" s="24"/>
      <c r="H53" s="24"/>
      <c r="I53" s="142" t="n">
        <v>716</v>
      </c>
      <c r="J53" s="143"/>
      <c r="K53" s="144"/>
      <c r="L53" s="25" t="n">
        <v>2505213</v>
      </c>
      <c r="M53" s="63" t="n">
        <v>732814.43</v>
      </c>
      <c r="N53" s="29" t="n">
        <v>1007703.59</v>
      </c>
      <c r="O53" s="29" t="n">
        <v>1561664.45</v>
      </c>
      <c r="P53" s="145" t="n">
        <f aca="false">'$'!C76</f>
        <v>3.889189</v>
      </c>
      <c r="Q53" s="35" t="n">
        <f aca="false">100*(SUM(C53:H53)/P53)/M53</f>
        <v>26.1776593379686</v>
      </c>
      <c r="R53" s="35" t="n">
        <f aca="false">100*(L53/P53)/M53</f>
        <v>87.9005505877288</v>
      </c>
      <c r="S53" s="146" t="n">
        <f aca="false">SUM(Q53:R53)</f>
        <v>114.078209925697</v>
      </c>
      <c r="T53" s="35" t="n">
        <f aca="false">100*SUM(L53,C53:H53)/O53/P53</f>
        <v>53.531447413124</v>
      </c>
      <c r="U53" s="29" t="n">
        <f aca="false">O53/I53</f>
        <v>2181.09560055866</v>
      </c>
      <c r="V53" s="29" t="n">
        <f aca="false">M53/I53</f>
        <v>1023.48384078212</v>
      </c>
      <c r="W53" s="147"/>
      <c r="X53" s="143" t="n">
        <f aca="false">'UT1 (1273)'!F89</f>
        <v>116492.8</v>
      </c>
      <c r="Y53" s="143" t="n">
        <f aca="false">'UT2 (12334)'!F29</f>
        <v>23619.73</v>
      </c>
      <c r="Z53" s="143"/>
      <c r="AA53" s="143"/>
      <c r="AB53" s="148"/>
      <c r="AC53" s="149" t="n">
        <f aca="false">AB53/P53</f>
        <v>0</v>
      </c>
      <c r="AD53" s="150"/>
      <c r="AE53" s="148" t="n">
        <f aca="false">1000*SUM(X53:AA53)/O53</f>
        <v>89.7199971479148</v>
      </c>
      <c r="AF53" s="151" t="n">
        <f aca="false">'UT1 (1273)'!G89</f>
        <v>20920</v>
      </c>
      <c r="AG53" s="143" t="n">
        <f aca="false">'UT2 (12334)'!G29</f>
        <v>2202</v>
      </c>
      <c r="AH53" s="143"/>
      <c r="AI53" s="143"/>
      <c r="AJ53" s="143"/>
      <c r="AK53" s="152"/>
      <c r="AL53" s="149" t="n">
        <f aca="false">AK53/P53</f>
        <v>0</v>
      </c>
      <c r="AM53" s="153"/>
      <c r="AN53" s="150" t="n">
        <f aca="false">AL53/SUM($AF$144:$AJ$144)</f>
        <v>0</v>
      </c>
      <c r="AO53" s="152"/>
      <c r="AP53" s="148" t="n">
        <f aca="false">1000*SUM(AF53:AJ53)/O53</f>
        <v>14.8059975367948</v>
      </c>
      <c r="AQ53" s="151" t="n">
        <f aca="false">'UT1 (1273)'!I89</f>
        <v>308211.75</v>
      </c>
      <c r="AR53" s="143" t="n">
        <f aca="false">'UT2 (12334)'!H29</f>
        <v>561277.08</v>
      </c>
      <c r="AS53" s="143"/>
      <c r="AT53" s="143"/>
      <c r="AU53" s="143"/>
      <c r="AV53" s="143" t="n">
        <f aca="false">'Osm.'!F29</f>
        <v>659050.56</v>
      </c>
      <c r="AW53" s="152"/>
      <c r="AX53" s="149" t="n">
        <f aca="false">AW53/P53</f>
        <v>0</v>
      </c>
      <c r="AY53" s="153"/>
      <c r="AZ53" s="152" t="n">
        <f aca="false">SUM(AQ53:AV53)/((1400+2000+2000)*24*30)</f>
        <v>0.393142847222222</v>
      </c>
      <c r="BA53" s="148"/>
      <c r="BB53" s="148"/>
      <c r="BC53" s="148"/>
      <c r="BD53" s="148"/>
      <c r="BE53" s="148" t="n">
        <f aca="false">1000*SUM(AQ53:AV53)/O53</f>
        <v>978.788618771466</v>
      </c>
      <c r="BF53" s="151"/>
      <c r="BG53" s="143"/>
      <c r="BH53" s="143"/>
      <c r="BI53" s="143"/>
      <c r="BJ53" s="143"/>
    </row>
    <row r="54" customFormat="false" ht="18.75" hidden="false" customHeight="true" outlineLevel="0" collapsed="false">
      <c r="A54" s="18" t="n">
        <v>2018</v>
      </c>
      <c r="B54" s="18" t="n">
        <v>4</v>
      </c>
      <c r="C54" s="24" t="n">
        <f aca="false">SUM('UT1 (1273)'!C90:E90)</f>
        <v>247434.65</v>
      </c>
      <c r="D54" s="24" t="n">
        <f aca="false">SUM('UT2 (12334)'!C30:E30)</f>
        <v>168418.2</v>
      </c>
      <c r="E54" s="24" t="n">
        <f aca="false">SUM('UT3 (1279)'!C30:E30)</f>
        <v>177563.19</v>
      </c>
      <c r="F54" s="24" t="n">
        <f aca="false">SUM('Osm.'!C30:E30)</f>
        <v>169968.03</v>
      </c>
      <c r="G54" s="24"/>
      <c r="H54" s="24"/>
      <c r="I54" s="142" t="n">
        <v>696</v>
      </c>
      <c r="J54" s="143"/>
      <c r="K54" s="144"/>
      <c r="L54" s="25" t="n">
        <v>2396740</v>
      </c>
      <c r="M54" s="63" t="n">
        <v>716658.65</v>
      </c>
      <c r="N54" s="29" t="n">
        <v>901114.33</v>
      </c>
      <c r="O54" s="29" t="n">
        <v>1423355.12</v>
      </c>
      <c r="P54" s="145" t="n">
        <f aca="false">'$'!C77</f>
        <v>4.060187</v>
      </c>
      <c r="Q54" s="35" t="n">
        <f aca="false">100*(SUM(C54:H54)/P54)/M54</f>
        <v>26.2352199488361</v>
      </c>
      <c r="R54" s="35" t="n">
        <f aca="false">100*(L54/P54)/M54</f>
        <v>82.3687623717028</v>
      </c>
      <c r="S54" s="146" t="n">
        <f aca="false">SUM(Q54:R54)</f>
        <v>108.603982320539</v>
      </c>
      <c r="T54" s="35" t="n">
        <f aca="false">100*SUM(L54,C54:H54)/O54/P54</f>
        <v>54.682055279684</v>
      </c>
      <c r="U54" s="29" t="n">
        <f aca="false">O54/I54</f>
        <v>2045.05045977012</v>
      </c>
      <c r="V54" s="29" t="n">
        <f aca="false">M54/I54</f>
        <v>1029.6819683908</v>
      </c>
      <c r="W54" s="147"/>
      <c r="X54" s="143" t="n">
        <f aca="false">'UT1 (1273)'!F90</f>
        <v>110686.76</v>
      </c>
      <c r="Y54" s="143" t="n">
        <f aca="false">'UT2 (12334)'!F30</f>
        <v>17189.34</v>
      </c>
      <c r="Z54" s="143"/>
      <c r="AA54" s="143"/>
      <c r="AB54" s="148"/>
      <c r="AC54" s="149" t="n">
        <f aca="false">AB54/P54</f>
        <v>0</v>
      </c>
      <c r="AD54" s="150"/>
      <c r="AE54" s="148" t="n">
        <f aca="false">1000*SUM(X54:AA54)/O54</f>
        <v>89.8413180261016</v>
      </c>
      <c r="AF54" s="151" t="n">
        <f aca="false">'UT1 (1273)'!G90</f>
        <v>21428</v>
      </c>
      <c r="AG54" s="143" t="n">
        <f aca="false">'UT2 (12334)'!G30</f>
        <v>1630</v>
      </c>
      <c r="AH54" s="143"/>
      <c r="AI54" s="143"/>
      <c r="AJ54" s="143"/>
      <c r="AK54" s="152"/>
      <c r="AL54" s="149" t="n">
        <f aca="false">AK54/P54</f>
        <v>0</v>
      </c>
      <c r="AM54" s="153"/>
      <c r="AN54" s="150" t="n">
        <f aca="false">AL54/SUM($AF$144:$AJ$144)</f>
        <v>0</v>
      </c>
      <c r="AO54" s="152"/>
      <c r="AP54" s="148" t="n">
        <f aca="false">1000*SUM(AF54:AJ54)/O54</f>
        <v>16.1997520337721</v>
      </c>
      <c r="AQ54" s="151" t="n">
        <f aca="false">'UT1 (1273)'!I90</f>
        <v>311664.78</v>
      </c>
      <c r="AR54" s="143" t="n">
        <f aca="false">'UT2 (12334)'!H30</f>
        <v>464138.64</v>
      </c>
      <c r="AS54" s="143"/>
      <c r="AT54" s="143"/>
      <c r="AU54" s="143"/>
      <c r="AV54" s="143" t="n">
        <f aca="false">'Osm.'!F30</f>
        <v>484323.84</v>
      </c>
      <c r="AW54" s="152"/>
      <c r="AX54" s="149" t="n">
        <f aca="false">AW54/P54</f>
        <v>0</v>
      </c>
      <c r="AY54" s="153"/>
      <c r="AZ54" s="152" t="n">
        <f aca="false">SUM(AQ54:AV54)/((1400+2000+2000)*24*30)</f>
        <v>0.324106805555555</v>
      </c>
      <c r="BA54" s="148"/>
      <c r="BB54" s="148"/>
      <c r="BC54" s="148"/>
      <c r="BD54" s="148"/>
      <c r="BE54" s="148" t="n">
        <f aca="false">1000*SUM(AQ54:AV54)/O54</f>
        <v>885.321760039757</v>
      </c>
      <c r="BF54" s="151"/>
      <c r="BG54" s="143"/>
      <c r="BH54" s="143"/>
      <c r="BI54" s="143"/>
      <c r="BJ54" s="143"/>
    </row>
    <row r="55" customFormat="false" ht="18.75" hidden="false" customHeight="true" outlineLevel="0" collapsed="false">
      <c r="A55" s="18" t="n">
        <v>2018</v>
      </c>
      <c r="B55" s="18" t="n">
        <v>5</v>
      </c>
      <c r="C55" s="24" t="n">
        <f aca="false">SUM('UT1 (1273)'!C91:E91)</f>
        <v>264749.36</v>
      </c>
      <c r="D55" s="24" t="n">
        <f aca="false">SUM('UT2 (12334)'!C31:E31)</f>
        <v>211143.53</v>
      </c>
      <c r="E55" s="24" t="n">
        <f aca="false">SUM('UT3 (1279)'!C31:E31)</f>
        <v>191000.75</v>
      </c>
      <c r="F55" s="24" t="n">
        <f aca="false">SUM('Osm.'!C31:E31)</f>
        <v>163311.47</v>
      </c>
      <c r="G55" s="24"/>
      <c r="H55" s="24"/>
      <c r="I55" s="142" t="n">
        <v>710</v>
      </c>
      <c r="J55" s="143"/>
      <c r="K55" s="144"/>
      <c r="L55" s="25" t="n">
        <v>2511860</v>
      </c>
      <c r="M55" s="63" t="n">
        <v>753575.33</v>
      </c>
      <c r="N55" s="29" t="n">
        <v>923819.39</v>
      </c>
      <c r="O55" s="29" t="n">
        <v>1590128.37</v>
      </c>
      <c r="P55" s="145" t="n">
        <f aca="false">'$'!C78</f>
        <v>4.417734</v>
      </c>
      <c r="Q55" s="35" t="n">
        <f aca="false">100*(SUM(C55:H55)/P55)/M55</f>
        <v>24.937859117755</v>
      </c>
      <c r="R55" s="35" t="n">
        <f aca="false">100*(L55/P55)/M55</f>
        <v>75.4517287944954</v>
      </c>
      <c r="S55" s="146" t="n">
        <f aca="false">SUM(Q55:R55)</f>
        <v>100.38958791225</v>
      </c>
      <c r="T55" s="35" t="n">
        <f aca="false">100*SUM(L55,C55:H55)/O55/P55</f>
        <v>47.5754777204171</v>
      </c>
      <c r="U55" s="29" t="n">
        <f aca="false">O55/I55</f>
        <v>2239.61742253521</v>
      </c>
      <c r="V55" s="29" t="n">
        <f aca="false">M55/I55</f>
        <v>1061.37370422535</v>
      </c>
      <c r="W55" s="147"/>
      <c r="X55" s="143" t="n">
        <f aca="false">'UT1 (1273)'!F91</f>
        <v>117747.16</v>
      </c>
      <c r="Y55" s="143" t="n">
        <f aca="false">'UT2 (12334)'!F31</f>
        <v>21669.63</v>
      </c>
      <c r="Z55" s="143"/>
      <c r="AA55" s="143"/>
      <c r="AB55" s="148"/>
      <c r="AC55" s="149" t="n">
        <f aca="false">AB55/P55</f>
        <v>0</v>
      </c>
      <c r="AD55" s="150"/>
      <c r="AE55" s="148" t="n">
        <f aca="false">1000*SUM(X55:AA55)/O55</f>
        <v>87.6764370916796</v>
      </c>
      <c r="AF55" s="151" t="n">
        <f aca="false">'UT1 (1273)'!G91</f>
        <v>22763</v>
      </c>
      <c r="AG55" s="143" t="n">
        <f aca="false">'UT2 (12334)'!G31</f>
        <v>1995</v>
      </c>
      <c r="AH55" s="143"/>
      <c r="AI55" s="143"/>
      <c r="AJ55" s="143"/>
      <c r="AK55" s="152"/>
      <c r="AL55" s="149" t="n">
        <f aca="false">AK55/P55</f>
        <v>0</v>
      </c>
      <c r="AM55" s="153"/>
      <c r="AN55" s="150" t="n">
        <f aca="false">AL55/SUM($AF$144:$AJ$144)</f>
        <v>0</v>
      </c>
      <c r="AO55" s="152"/>
      <c r="AP55" s="148" t="n">
        <f aca="false">1000*SUM(AF55:AJ55)/O55</f>
        <v>15.5698121403871</v>
      </c>
      <c r="AQ55" s="151" t="n">
        <f aca="false">'UT1 (1273)'!I91</f>
        <v>344726.55</v>
      </c>
      <c r="AR55" s="143" t="n">
        <f aca="false">'UT2 (12334)'!H31</f>
        <v>594210.96</v>
      </c>
      <c r="AS55" s="143"/>
      <c r="AT55" s="143"/>
      <c r="AU55" s="143"/>
      <c r="AV55" s="143" t="n">
        <f aca="false">'Osm.'!F31</f>
        <v>516751.2</v>
      </c>
      <c r="AW55" s="152"/>
      <c r="AX55" s="149" t="n">
        <f aca="false">AW55/P55</f>
        <v>0</v>
      </c>
      <c r="AY55" s="153"/>
      <c r="AZ55" s="152" t="n">
        <f aca="false">SUM(AQ55:AV55)/((1400+2000+2000)*24*30)</f>
        <v>0.374405532407407</v>
      </c>
      <c r="BA55" s="148"/>
      <c r="BB55" s="148"/>
      <c r="BC55" s="148"/>
      <c r="BD55" s="148"/>
      <c r="BE55" s="148" t="n">
        <f aca="false">1000*SUM(AQ55:AV55)/O55</f>
        <v>915.453580643933</v>
      </c>
      <c r="BF55" s="151"/>
      <c r="BG55" s="143"/>
      <c r="BH55" s="143"/>
      <c r="BI55" s="143"/>
      <c r="BJ55" s="143"/>
    </row>
    <row r="56" customFormat="false" ht="18.75" hidden="false" customHeight="true" outlineLevel="0" collapsed="false">
      <c r="A56" s="18" t="n">
        <v>2018</v>
      </c>
      <c r="B56" s="18" t="n">
        <v>6</v>
      </c>
      <c r="C56" s="24" t="n">
        <f aca="false">SUM('UT1 (1273)'!C92:E92)</f>
        <v>222827.59</v>
      </c>
      <c r="D56" s="24" t="n">
        <f aca="false">SUM('UT2 (12334)'!C32:E32)</f>
        <v>195213.71</v>
      </c>
      <c r="E56" s="24" t="n">
        <f aca="false">SUM('UT3 (1279)'!C32:E32)</f>
        <v>186343.65</v>
      </c>
      <c r="F56" s="24" t="n">
        <f aca="false">SUM('Osm.'!C32:E32)</f>
        <v>155811.57</v>
      </c>
      <c r="G56" s="24"/>
      <c r="H56" s="24"/>
      <c r="I56" s="142" t="n">
        <v>704</v>
      </c>
      <c r="J56" s="143"/>
      <c r="K56" s="144"/>
      <c r="L56" s="25" t="n">
        <v>2454230</v>
      </c>
      <c r="M56" s="63" t="n">
        <v>646762.35</v>
      </c>
      <c r="N56" s="29" t="n">
        <v>777068.03</v>
      </c>
      <c r="O56" s="29" t="n">
        <v>1275510.48</v>
      </c>
      <c r="P56" s="145" t="n">
        <f aca="false">'$'!C79</f>
        <v>4.629054</v>
      </c>
      <c r="Q56" s="35" t="n">
        <f aca="false">100*(SUM(C56:H56)/P56)/M56</f>
        <v>25.3915317016224</v>
      </c>
      <c r="R56" s="35" t="n">
        <f aca="false">100*(L56/P56)/M56</f>
        <v>81.974406891619</v>
      </c>
      <c r="S56" s="146" t="n">
        <f aca="false">SUM(Q56:R56)</f>
        <v>107.365938593241</v>
      </c>
      <c r="T56" s="35" t="n">
        <f aca="false">100*SUM(L56,C56:H56)/O56/P56</f>
        <v>54.4411416788363</v>
      </c>
      <c r="U56" s="29" t="n">
        <f aca="false">O56/I56</f>
        <v>1811.80465909091</v>
      </c>
      <c r="V56" s="29" t="n">
        <f aca="false">M56/I56</f>
        <v>918.696519886364</v>
      </c>
      <c r="W56" s="147"/>
      <c r="X56" s="143" t="n">
        <f aca="false">'UT1 (1273)'!F92</f>
        <v>91214.18</v>
      </c>
      <c r="Y56" s="143" t="n">
        <f aca="false">'UT2 (12334)'!F32</f>
        <v>19936.02</v>
      </c>
      <c r="Z56" s="143"/>
      <c r="AA56" s="143"/>
      <c r="AB56" s="148"/>
      <c r="AC56" s="149" t="n">
        <f aca="false">AB56/P56</f>
        <v>0</v>
      </c>
      <c r="AD56" s="150"/>
      <c r="AE56" s="148" t="n">
        <f aca="false">1000*SUM(X56:AA56)/O56</f>
        <v>87.1417379494993</v>
      </c>
      <c r="AF56" s="151" t="n">
        <f aca="false">'UT1 (1273)'!G92</f>
        <v>19974</v>
      </c>
      <c r="AG56" s="143" t="n">
        <f aca="false">'UT2 (12334)'!G32</f>
        <v>1931</v>
      </c>
      <c r="AH56" s="143"/>
      <c r="AI56" s="143"/>
      <c r="AJ56" s="143"/>
      <c r="AK56" s="152"/>
      <c r="AL56" s="149" t="n">
        <f aca="false">AK56/P56</f>
        <v>0</v>
      </c>
      <c r="AM56" s="153"/>
      <c r="AN56" s="150" t="n">
        <f aca="false">AL56/SUM($AF$144:$AJ$144)</f>
        <v>0</v>
      </c>
      <c r="AO56" s="152"/>
      <c r="AP56" s="148" t="n">
        <f aca="false">1000*SUM(AF56:AJ56)/O56</f>
        <v>17.173516285025</v>
      </c>
      <c r="AQ56" s="151" t="n">
        <f aca="false">'UT1 (1273)'!I92</f>
        <v>293397.93</v>
      </c>
      <c r="AR56" s="143" t="n">
        <f aca="false">'UT2 (12334)'!H32</f>
        <v>511048.44</v>
      </c>
      <c r="AS56" s="143"/>
      <c r="AT56" s="143"/>
      <c r="AU56" s="143"/>
      <c r="AV56" s="143" t="n">
        <f aca="false">'Osm.'!F32</f>
        <v>437356.08</v>
      </c>
      <c r="AW56" s="152"/>
      <c r="AX56" s="149" t="n">
        <f aca="false">AW56/P56</f>
        <v>0</v>
      </c>
      <c r="AY56" s="153"/>
      <c r="AZ56" s="152" t="n">
        <f aca="false">SUM(AQ56:AV56)/((1400+2000+2000)*24*30)</f>
        <v>0.319393634259259</v>
      </c>
      <c r="BA56" s="148"/>
      <c r="BB56" s="148"/>
      <c r="BC56" s="148"/>
      <c r="BD56" s="148"/>
      <c r="BE56" s="148" t="n">
        <f aca="false">1000*SUM(AQ56:AV56)/O56</f>
        <v>973.572910196708</v>
      </c>
      <c r="BF56" s="151"/>
      <c r="BG56" s="143"/>
      <c r="BH56" s="143"/>
      <c r="BI56" s="143"/>
      <c r="BJ56" s="143"/>
    </row>
    <row r="57" customFormat="false" ht="18.75" hidden="false" customHeight="true" outlineLevel="0" collapsed="false">
      <c r="A57" s="18" t="n">
        <v>2018</v>
      </c>
      <c r="B57" s="18" t="n">
        <v>7</v>
      </c>
      <c r="C57" s="24" t="n">
        <f aca="false">SUM('UT1 (1273)'!C93:E93)</f>
        <v>266790.17</v>
      </c>
      <c r="D57" s="24" t="n">
        <f aca="false">SUM('UT2 (12334)'!C33:E33)</f>
        <v>237718.95</v>
      </c>
      <c r="E57" s="24" t="n">
        <f aca="false">SUM('UT3 (1279)'!C33:E33)</f>
        <v>225218.51</v>
      </c>
      <c r="F57" s="24" t="n">
        <f aca="false">SUM('Osm.'!C33:E33)</f>
        <v>203569.62</v>
      </c>
      <c r="G57" s="24"/>
      <c r="H57" s="24"/>
      <c r="I57" s="142" t="n">
        <v>731</v>
      </c>
      <c r="J57" s="143"/>
      <c r="K57" s="144"/>
      <c r="L57" s="25" t="n">
        <v>2529432</v>
      </c>
      <c r="M57" s="63" t="n">
        <v>596564.34</v>
      </c>
      <c r="N57" s="29" t="n">
        <v>859622.79</v>
      </c>
      <c r="O57" s="29" t="n">
        <v>1370826.22</v>
      </c>
      <c r="P57" s="145" t="n">
        <f aca="false">'$'!C80</f>
        <v>4.761595</v>
      </c>
      <c r="Q57" s="35" t="n">
        <f aca="false">100*(SUM(C57:H57)/P57)/M57</f>
        <v>32.855663588018</v>
      </c>
      <c r="R57" s="35" t="n">
        <f aca="false">100*(L57/P57)/M57</f>
        <v>89.0457642093852</v>
      </c>
      <c r="S57" s="146" t="n">
        <f aca="false">SUM(Q57:R57)</f>
        <v>121.901427797403</v>
      </c>
      <c r="T57" s="35" t="n">
        <f aca="false">100*SUM(L57,C57:H57)/O57/P57</f>
        <v>53.0497912558278</v>
      </c>
      <c r="U57" s="29" t="n">
        <f aca="false">O57/I57</f>
        <v>1875.27526675787</v>
      </c>
      <c r="V57" s="29" t="n">
        <f aca="false">M57/I57</f>
        <v>816.093488372093</v>
      </c>
      <c r="W57" s="147"/>
      <c r="X57" s="143" t="n">
        <f aca="false">'UT1 (1273)'!F93</f>
        <v>100931.2</v>
      </c>
      <c r="Y57" s="143" t="n">
        <f aca="false">'UT2 (12334)'!F33</f>
        <v>20775.67</v>
      </c>
      <c r="Z57" s="143"/>
      <c r="AA57" s="143"/>
      <c r="AB57" s="148"/>
      <c r="AC57" s="149" t="n">
        <f aca="false">AB57/P57</f>
        <v>0</v>
      </c>
      <c r="AD57" s="150"/>
      <c r="AE57" s="148" t="n">
        <f aca="false">1000*SUM(X57:AA57)/O57</f>
        <v>88.7835877548359</v>
      </c>
      <c r="AF57" s="151" t="n">
        <f aca="false">'UT1 (1273)'!G93</f>
        <v>23929</v>
      </c>
      <c r="AG57" s="143" t="n">
        <f aca="false">'UT2 (12334)'!G33</f>
        <v>2331</v>
      </c>
      <c r="AH57" s="143"/>
      <c r="AI57" s="143"/>
      <c r="AJ57" s="143"/>
      <c r="AK57" s="152"/>
      <c r="AL57" s="149" t="n">
        <f aca="false">AK57/P57</f>
        <v>0</v>
      </c>
      <c r="AM57" s="153"/>
      <c r="AN57" s="150" t="n">
        <f aca="false">AL57/SUM($AF$144:$AJ$144)</f>
        <v>0</v>
      </c>
      <c r="AO57" s="152"/>
      <c r="AP57" s="148" t="n">
        <f aca="false">1000*SUM(AF57:AJ57)/O57</f>
        <v>19.1563304063443</v>
      </c>
      <c r="AQ57" s="151" t="n">
        <f aca="false">'UT1 (1273)'!I93</f>
        <v>344259.72</v>
      </c>
      <c r="AR57" s="143" t="n">
        <f aca="false">'UT2 (12334)'!H33</f>
        <v>575517.6</v>
      </c>
      <c r="AS57" s="143"/>
      <c r="AT57" s="143"/>
      <c r="AU57" s="143"/>
      <c r="AV57" s="143" t="n">
        <f aca="false">'Osm.'!F33</f>
        <v>520410.24</v>
      </c>
      <c r="AW57" s="152"/>
      <c r="AX57" s="149" t="n">
        <f aca="false">AW57/P57</f>
        <v>0</v>
      </c>
      <c r="AY57" s="153"/>
      <c r="AZ57" s="152" t="n">
        <f aca="false">SUM(AQ57:AV57)/((1400+2000+2000)*24*30)</f>
        <v>0.370418611111111</v>
      </c>
      <c r="BA57" s="148"/>
      <c r="BB57" s="148"/>
      <c r="BC57" s="148"/>
      <c r="BD57" s="148"/>
      <c r="BE57" s="148" t="n">
        <f aca="false">1000*SUM(AQ57:AV57)/O57</f>
        <v>1050.59820055091</v>
      </c>
      <c r="BF57" s="151"/>
      <c r="BG57" s="143"/>
      <c r="BH57" s="143"/>
      <c r="BI57" s="143"/>
      <c r="BJ57" s="143"/>
    </row>
    <row r="58" customFormat="false" ht="18.75" hidden="false" customHeight="true" outlineLevel="0" collapsed="false">
      <c r="A58" s="18" t="n">
        <v>2018</v>
      </c>
      <c r="B58" s="18" t="n">
        <v>8</v>
      </c>
      <c r="C58" s="24" t="n">
        <f aca="false">SUM('UT1 (1273)'!C94:E94)</f>
        <v>214614.25</v>
      </c>
      <c r="D58" s="24" t="n">
        <f aca="false">SUM('UT2 (12334)'!C34:E34)</f>
        <v>248665.06</v>
      </c>
      <c r="E58" s="24" t="n">
        <f aca="false">SUM('UT3 (1279)'!C34:E34)</f>
        <v>172985.74</v>
      </c>
      <c r="F58" s="24" t="n">
        <f aca="false">SUM('Osm.'!C34:E34)</f>
        <v>180848.73</v>
      </c>
      <c r="G58" s="24"/>
      <c r="H58" s="24"/>
      <c r="I58" s="142" t="n">
        <v>722</v>
      </c>
      <c r="J58" s="143"/>
      <c r="K58" s="144"/>
      <c r="L58" s="25" t="n">
        <v>2579326</v>
      </c>
      <c r="M58" s="63" t="n">
        <v>436091.27</v>
      </c>
      <c r="N58" s="29" t="n">
        <v>596536.28</v>
      </c>
      <c r="O58" s="29" t="n">
        <v>992562.55</v>
      </c>
      <c r="P58" s="145" t="n">
        <f aca="false">'$'!C81</f>
        <v>5.888005</v>
      </c>
      <c r="Q58" s="35" t="n">
        <f aca="false">100*(SUM(C58:H58)/P58)/M58</f>
        <v>31.8226961252186</v>
      </c>
      <c r="R58" s="35" t="n">
        <f aca="false">100*(L58/P58)/M58</f>
        <v>100.452482279611</v>
      </c>
      <c r="S58" s="146" t="n">
        <f aca="false">SUM(Q58:R58)</f>
        <v>132.275178404829</v>
      </c>
      <c r="T58" s="35" t="n">
        <f aca="false">100*SUM(L58,C58:H58)/O58/P58</f>
        <v>58.1162875226741</v>
      </c>
      <c r="U58" s="29" t="n">
        <f aca="false">O58/I58</f>
        <v>1374.74037396122</v>
      </c>
      <c r="V58" s="29" t="n">
        <f aca="false">M58/I58</f>
        <v>604.004529085873</v>
      </c>
      <c r="W58" s="147"/>
      <c r="X58" s="143" t="n">
        <f aca="false">'UT1 (1273)'!F94</f>
        <v>71265.64</v>
      </c>
      <c r="Y58" s="143" t="n">
        <f aca="false">'UT2 (12334)'!F34</f>
        <v>16609.72</v>
      </c>
      <c r="Z58" s="143"/>
      <c r="AA58" s="143"/>
      <c r="AB58" s="148"/>
      <c r="AC58" s="149" t="n">
        <f aca="false">AB58/P58</f>
        <v>0</v>
      </c>
      <c r="AD58" s="150"/>
      <c r="AE58" s="148" t="n">
        <f aca="false">1000*SUM(X58:AA58)/O58</f>
        <v>88.5338259034657</v>
      </c>
      <c r="AF58" s="151" t="n">
        <f aca="false">'UT1 (1273)'!G94</f>
        <v>16355</v>
      </c>
      <c r="AG58" s="143" t="n">
        <f aca="false">'UT2 (12334)'!G34</f>
        <v>2170</v>
      </c>
      <c r="AH58" s="143"/>
      <c r="AI58" s="143"/>
      <c r="AJ58" s="143"/>
      <c r="AK58" s="152"/>
      <c r="AL58" s="149" t="n">
        <f aca="false">AK58/P58</f>
        <v>0</v>
      </c>
      <c r="AM58" s="153"/>
      <c r="AN58" s="150" t="n">
        <f aca="false">AL58/SUM($AF$144:$AJ$144)</f>
        <v>0</v>
      </c>
      <c r="AO58" s="152"/>
      <c r="AP58" s="148" t="n">
        <f aca="false">1000*SUM(AF58:AJ58)/O58</f>
        <v>18.6638111623293</v>
      </c>
      <c r="AQ58" s="151" t="n">
        <f aca="false">'UT1 (1273)'!I94</f>
        <v>238281.75</v>
      </c>
      <c r="AR58" s="143" t="n">
        <f aca="false">'UT2 (12334)'!H34</f>
        <v>516237.12</v>
      </c>
      <c r="AS58" s="143"/>
      <c r="AT58" s="143"/>
      <c r="AU58" s="143"/>
      <c r="AV58" s="143" t="n">
        <f aca="false">'Osm.'!F34</f>
        <v>393160.32</v>
      </c>
      <c r="AW58" s="152"/>
      <c r="AX58" s="149" t="n">
        <f aca="false">AW58/P58</f>
        <v>0</v>
      </c>
      <c r="AY58" s="153"/>
      <c r="AZ58" s="152" t="n">
        <f aca="false">SUM(AQ58:AV58)/((1400+2000+2000)*24*30)</f>
        <v>0.295184976851852</v>
      </c>
      <c r="BA58" s="148"/>
      <c r="BB58" s="148"/>
      <c r="BC58" s="148"/>
      <c r="BD58" s="148"/>
      <c r="BE58" s="148" t="n">
        <f aca="false">1000*SUM(AQ58:AV58)/O58</f>
        <v>1156.27895692821</v>
      </c>
      <c r="BF58" s="151"/>
      <c r="BG58" s="143"/>
      <c r="BH58" s="143"/>
      <c r="BI58" s="143"/>
      <c r="BJ58" s="143"/>
    </row>
    <row r="59" customFormat="false" ht="18.75" hidden="false" customHeight="true" outlineLevel="0" collapsed="false">
      <c r="A59" s="18" t="n">
        <v>2018</v>
      </c>
      <c r="B59" s="18" t="n">
        <v>9</v>
      </c>
      <c r="C59" s="24" t="n">
        <f aca="false">SUM('UT1 (1273)'!C95:E95)</f>
        <v>289973.61</v>
      </c>
      <c r="D59" s="24" t="n">
        <f aca="false">SUM('UT2 (12334)'!C35:E35)</f>
        <v>328228.93</v>
      </c>
      <c r="E59" s="24" t="n">
        <f aca="false">SUM('UT3 (1279)'!C35:E35)</f>
        <v>200820.08</v>
      </c>
      <c r="F59" s="24" t="n">
        <f aca="false">SUM('Osm.'!C35:E35)</f>
        <v>261233.8</v>
      </c>
      <c r="G59" s="24"/>
      <c r="H59" s="24"/>
      <c r="I59" s="142" t="n">
        <v>738</v>
      </c>
      <c r="J59" s="143"/>
      <c r="K59" s="144"/>
      <c r="L59" s="25" t="n">
        <v>2526223</v>
      </c>
      <c r="M59" s="63" t="n">
        <v>568422.22</v>
      </c>
      <c r="N59" s="29" t="n">
        <v>684994.91</v>
      </c>
      <c r="O59" s="29" t="n">
        <v>1188279.14</v>
      </c>
      <c r="P59" s="145" t="n">
        <f aca="false">'$'!C82</f>
        <v>6.333883</v>
      </c>
      <c r="Q59" s="35" t="n">
        <f aca="false">100*(SUM(C59:H59)/P59)/M59</f>
        <v>30.0044570811269</v>
      </c>
      <c r="R59" s="35" t="n">
        <f aca="false">100*(L59/P59)/M59</f>
        <v>70.1666272724911</v>
      </c>
      <c r="S59" s="146" t="n">
        <f aca="false">SUM(Q59:R59)</f>
        <v>100.171084353618</v>
      </c>
      <c r="T59" s="35" t="n">
        <f aca="false">100*SUM(L59,C59:H59)/O59/P59</f>
        <v>47.9175879062312</v>
      </c>
      <c r="U59" s="29" t="n">
        <f aca="false">O59/I59</f>
        <v>1610.13433604336</v>
      </c>
      <c r="V59" s="29" t="n">
        <f aca="false">M59/I59</f>
        <v>770.219810298103</v>
      </c>
      <c r="W59" s="147"/>
      <c r="X59" s="143" t="n">
        <f aca="false">'UT1 (1273)'!F95</f>
        <v>88487.14</v>
      </c>
      <c r="Y59" s="143" t="n">
        <f aca="false">'UT2 (12334)'!F35</f>
        <v>27256.63</v>
      </c>
      <c r="Z59" s="143"/>
      <c r="AA59" s="143"/>
      <c r="AB59" s="148"/>
      <c r="AC59" s="149" t="n">
        <f aca="false">AB59/P59</f>
        <v>0</v>
      </c>
      <c r="AD59" s="150"/>
      <c r="AE59" s="148" t="n">
        <f aca="false">1000*SUM(X59:AA59)/O59</f>
        <v>97.4045290402052</v>
      </c>
      <c r="AF59" s="151" t="n">
        <f aca="false">'UT1 (1273)'!G95</f>
        <v>19281</v>
      </c>
      <c r="AG59" s="143" t="n">
        <f aca="false">'UT2 (12334)'!G35</f>
        <v>2809</v>
      </c>
      <c r="AH59" s="143"/>
      <c r="AI59" s="143"/>
      <c r="AJ59" s="143"/>
      <c r="AK59" s="152"/>
      <c r="AL59" s="149" t="n">
        <f aca="false">AK59/P59</f>
        <v>0</v>
      </c>
      <c r="AM59" s="153"/>
      <c r="AN59" s="150" t="n">
        <f aca="false">AL59/SUM($AF$144:$AJ$144)</f>
        <v>0</v>
      </c>
      <c r="AO59" s="152"/>
      <c r="AP59" s="148" t="n">
        <f aca="false">1000*SUM(AF59:AJ59)/O59</f>
        <v>18.5899080917974</v>
      </c>
      <c r="AQ59" s="151" t="n">
        <f aca="false">'UT1 (1273)'!I95</f>
        <v>270863.46</v>
      </c>
      <c r="AR59" s="143" t="n">
        <f aca="false">'UT2 (12334)'!H35</f>
        <v>573027.84</v>
      </c>
      <c r="AS59" s="143"/>
      <c r="AT59" s="143"/>
      <c r="AU59" s="143"/>
      <c r="AV59" s="143" t="n">
        <f aca="false">'Osm.'!F35</f>
        <v>508873.68</v>
      </c>
      <c r="AW59" s="152"/>
      <c r="AX59" s="149" t="n">
        <f aca="false">AW59/P59</f>
        <v>0</v>
      </c>
      <c r="AY59" s="153"/>
      <c r="AZ59" s="152" t="n">
        <f aca="false">SUM(AQ59:AV59)/((1400+2000+2000)*24*30)</f>
        <v>0.34793337962963</v>
      </c>
      <c r="BA59" s="148"/>
      <c r="BB59" s="148"/>
      <c r="BC59" s="148"/>
      <c r="BD59" s="148"/>
      <c r="BE59" s="148" t="n">
        <f aca="false">1000*SUM(AQ59:AV59)/O59</f>
        <v>1138.42356939801</v>
      </c>
      <c r="BF59" s="151"/>
      <c r="BG59" s="143"/>
      <c r="BH59" s="143"/>
      <c r="BI59" s="143"/>
      <c r="BJ59" s="143"/>
    </row>
    <row r="60" customFormat="false" ht="18.75" hidden="false" customHeight="true" outlineLevel="0" collapsed="false">
      <c r="A60" s="18" t="n">
        <v>2018</v>
      </c>
      <c r="B60" s="18" t="n">
        <v>10</v>
      </c>
      <c r="C60" s="24" t="n">
        <f aca="false">SUM('UT1 (1273)'!C96:E96)</f>
        <v>373860.97</v>
      </c>
      <c r="D60" s="24" t="n">
        <f aca="false">SUM('UT2 (12334)'!C36:E36)</f>
        <v>337153.69</v>
      </c>
      <c r="E60" s="24" t="n">
        <f aca="false">SUM('UT3 (1279)'!C36:E36)</f>
        <v>226361.96</v>
      </c>
      <c r="F60" s="24" t="n">
        <f aca="false">SUM('Osm.'!C36:E36)</f>
        <v>258701.51</v>
      </c>
      <c r="G60" s="24"/>
      <c r="H60" s="24"/>
      <c r="I60" s="142" t="n">
        <v>714</v>
      </c>
      <c r="J60" s="143"/>
      <c r="K60" s="144"/>
      <c r="L60" s="25" t="n">
        <v>2677778</v>
      </c>
      <c r="M60" s="63" t="n">
        <v>635371.46</v>
      </c>
      <c r="N60" s="29" t="n">
        <v>865648.68</v>
      </c>
      <c r="O60" s="29" t="n">
        <v>1381282.48</v>
      </c>
      <c r="P60" s="145" t="n">
        <f aca="false">'$'!C83</f>
        <v>5.831909</v>
      </c>
      <c r="Q60" s="35" t="n">
        <f aca="false">100*(SUM(C60:H60)/P60)/M60</f>
        <v>32.2790769922096</v>
      </c>
      <c r="R60" s="35" t="n">
        <f aca="false">100*(L60/P60)/M60</f>
        <v>72.2663512207561</v>
      </c>
      <c r="S60" s="146" t="n">
        <f aca="false">SUM(Q60:R60)</f>
        <v>104.545428212966</v>
      </c>
      <c r="T60" s="35" t="n">
        <f aca="false">100*SUM(L60,C60:H60)/O60/P60</f>
        <v>48.0894982176254</v>
      </c>
      <c r="U60" s="29" t="n">
        <f aca="false">O60/I60</f>
        <v>1934.56929971989</v>
      </c>
      <c r="V60" s="29" t="n">
        <f aca="false">M60/I60</f>
        <v>889.875994397759</v>
      </c>
      <c r="W60" s="147"/>
      <c r="X60" s="143" t="n">
        <f aca="false">'UT1 (1273)'!F96</f>
        <v>113064.63</v>
      </c>
      <c r="Y60" s="143" t="n">
        <f aca="false">'UT2 (12334)'!F36</f>
        <v>25121.47</v>
      </c>
      <c r="Z60" s="143"/>
      <c r="AA60" s="143"/>
      <c r="AB60" s="148"/>
      <c r="AC60" s="149" t="n">
        <f aca="false">AB60/P60</f>
        <v>0</v>
      </c>
      <c r="AD60" s="150"/>
      <c r="AE60" s="148" t="n">
        <f aca="false">1000*SUM(X60:AA60)/O60</f>
        <v>100.041882816033</v>
      </c>
      <c r="AF60" s="151" t="n">
        <f aca="false">'UT1 (1273)'!G96</f>
        <v>21236</v>
      </c>
      <c r="AG60" s="143" t="n">
        <f aca="false">'UT2 (12334)'!G36</f>
        <v>2992</v>
      </c>
      <c r="AH60" s="143"/>
      <c r="AI60" s="143"/>
      <c r="AJ60" s="143"/>
      <c r="AK60" s="152"/>
      <c r="AL60" s="149" t="n">
        <f aca="false">AK60/P60</f>
        <v>0</v>
      </c>
      <c r="AM60" s="153"/>
      <c r="AN60" s="150" t="n">
        <f aca="false">AL60/SUM($AF$144:$AJ$144)</f>
        <v>0</v>
      </c>
      <c r="AO60" s="152"/>
      <c r="AP60" s="148" t="n">
        <f aca="false">1000*SUM(AF60:AJ60)/O60</f>
        <v>17.540221027056</v>
      </c>
      <c r="AQ60" s="151" t="n">
        <f aca="false">'UT1 (1273)'!I96</f>
        <v>302609.79</v>
      </c>
      <c r="AR60" s="143" t="n">
        <f aca="false">'UT2 (12334)'!H36</f>
        <v>606561.48</v>
      </c>
      <c r="AS60" s="143"/>
      <c r="AT60" s="143"/>
      <c r="AU60" s="143"/>
      <c r="AV60" s="143" t="n">
        <f aca="false">'Osm.'!F36</f>
        <v>520959.6</v>
      </c>
      <c r="AW60" s="152"/>
      <c r="AX60" s="149" t="n">
        <f aca="false">AW60/P60</f>
        <v>0</v>
      </c>
      <c r="AY60" s="153"/>
      <c r="AZ60" s="152" t="n">
        <f aca="false">SUM(AQ60:AV60)/((1400+2000+2000)*24*30)</f>
        <v>0.367832013888889</v>
      </c>
      <c r="BA60" s="148"/>
      <c r="BB60" s="148"/>
      <c r="BC60" s="148"/>
      <c r="BD60" s="148"/>
      <c r="BE60" s="148" t="n">
        <f aca="false">1000*SUM(AQ60:AV60)/O60</f>
        <v>1035.36451863199</v>
      </c>
      <c r="BF60" s="151"/>
      <c r="BG60" s="143"/>
      <c r="BH60" s="143"/>
      <c r="BI60" s="143"/>
      <c r="BJ60" s="143"/>
    </row>
    <row r="61" customFormat="false" ht="18.75" hidden="false" customHeight="true" outlineLevel="0" collapsed="false">
      <c r="A61" s="18" t="n">
        <v>2018</v>
      </c>
      <c r="B61" s="18" t="n">
        <v>11</v>
      </c>
      <c r="C61" s="24" t="n">
        <f aca="false">SUM('UT1 (1273)'!C97:E97)</f>
        <v>354869.18</v>
      </c>
      <c r="D61" s="24" t="n">
        <f aca="false">SUM('UT2 (12334)'!C37:E37)</f>
        <v>280475.99</v>
      </c>
      <c r="E61" s="24" t="n">
        <f aca="false">SUM('UT3 (1279)'!C37:E37)</f>
        <v>226082.63</v>
      </c>
      <c r="F61" s="24" t="n">
        <f aca="false">SUM('Osm.'!C37:E37)</f>
        <v>272226.83</v>
      </c>
      <c r="G61" s="24"/>
      <c r="H61" s="24"/>
      <c r="I61" s="142" t="n">
        <v>712</v>
      </c>
      <c r="J61" s="143"/>
      <c r="K61" s="144"/>
      <c r="L61" s="25" t="n">
        <v>2510019</v>
      </c>
      <c r="M61" s="63" t="n">
        <v>614728.84</v>
      </c>
      <c r="N61" s="29" t="n">
        <v>902691.25</v>
      </c>
      <c r="O61" s="29" t="n">
        <v>1382557.34</v>
      </c>
      <c r="P61" s="145" t="n">
        <f aca="false">'$'!C84</f>
        <v>5.374481</v>
      </c>
      <c r="Q61" s="35" t="n">
        <f aca="false">100*(SUM(C61:H61)/P61)/M61</f>
        <v>34.3131544936991</v>
      </c>
      <c r="R61" s="35" t="n">
        <f aca="false">100*(L61/P61)/M61</f>
        <v>75.9725823455774</v>
      </c>
      <c r="S61" s="146" t="n">
        <f aca="false">SUM(Q61:R61)</f>
        <v>110.285736839277</v>
      </c>
      <c r="T61" s="35" t="n">
        <f aca="false">100*SUM(L61,C61:H61)/O61/P61</f>
        <v>49.036536217553</v>
      </c>
      <c r="U61" s="29" t="n">
        <f aca="false">O61/I61</f>
        <v>1941.79401685393</v>
      </c>
      <c r="V61" s="29" t="n">
        <f aca="false">M61/I61</f>
        <v>863.383202247191</v>
      </c>
      <c r="W61" s="147"/>
      <c r="X61" s="143" t="n">
        <f aca="false">'UT1 (1273)'!F97</f>
        <v>113044.84</v>
      </c>
      <c r="Y61" s="143" t="n">
        <f aca="false">'UT2 (12334)'!F37</f>
        <v>28557.77</v>
      </c>
      <c r="Z61" s="143"/>
      <c r="AA61" s="143"/>
      <c r="AB61" s="148"/>
      <c r="AC61" s="149" t="n">
        <f aca="false">AB61/P61</f>
        <v>0</v>
      </c>
      <c r="AD61" s="150"/>
      <c r="AE61" s="148" t="n">
        <f aca="false">1000*SUM(X61:AA61)/O61</f>
        <v>102.420786395738</v>
      </c>
      <c r="AF61" s="151" t="n">
        <f aca="false">'UT1 (1273)'!G97</f>
        <v>17680</v>
      </c>
      <c r="AG61" s="143" t="n">
        <f aca="false">'UT2 (12334)'!G37</f>
        <v>2672</v>
      </c>
      <c r="AH61" s="143"/>
      <c r="AI61" s="143"/>
      <c r="AJ61" s="143"/>
      <c r="AK61" s="152"/>
      <c r="AL61" s="149" t="n">
        <f aca="false">AK61/P61</f>
        <v>0</v>
      </c>
      <c r="AM61" s="153"/>
      <c r="AN61" s="150" t="n">
        <f aca="false">AL61/SUM($AF$144:$AJ$144)</f>
        <v>0</v>
      </c>
      <c r="AO61" s="152"/>
      <c r="AP61" s="148" t="n">
        <f aca="false">1000*SUM(AF61:AJ61)/O61</f>
        <v>14.7205467803599</v>
      </c>
      <c r="AQ61" s="151" t="n">
        <f aca="false">'UT1 (1273)'!I97</f>
        <v>305047.89</v>
      </c>
      <c r="AR61" s="143" t="n">
        <f aca="false">'UT2 (12334)'!H37</f>
        <v>526176</v>
      </c>
      <c r="AS61" s="143"/>
      <c r="AT61" s="143"/>
      <c r="AU61" s="143"/>
      <c r="AV61" s="143" t="n">
        <f aca="false">'Osm.'!F37</f>
        <v>611503.2</v>
      </c>
      <c r="AW61" s="152"/>
      <c r="AX61" s="149" t="n">
        <f aca="false">AW61/P61</f>
        <v>0</v>
      </c>
      <c r="AY61" s="153"/>
      <c r="AZ61" s="152" t="n">
        <f aca="false">SUM(AQ61:AV61)/((1400+2000+2000)*24*30)</f>
        <v>0.371071782407407</v>
      </c>
      <c r="BA61" s="148"/>
      <c r="BB61" s="148"/>
      <c r="BC61" s="148"/>
      <c r="BD61" s="148"/>
      <c r="BE61" s="148" t="n">
        <f aca="false">1000*SUM(AQ61:AV61)/O61</f>
        <v>1043.52061810326</v>
      </c>
      <c r="BF61" s="151"/>
      <c r="BG61" s="143"/>
      <c r="BH61" s="143"/>
      <c r="BI61" s="143"/>
      <c r="BJ61" s="143"/>
    </row>
    <row r="62" customFormat="false" ht="18.75" hidden="false" customHeight="true" outlineLevel="0" collapsed="false">
      <c r="A62" s="18" t="n">
        <v>2018</v>
      </c>
      <c r="B62" s="18" t="n">
        <v>12</v>
      </c>
      <c r="C62" s="24" t="n">
        <f aca="false">SUM('UT1 (1273)'!C98:E98)</f>
        <v>298714.38</v>
      </c>
      <c r="D62" s="24" t="n">
        <f aca="false">SUM('UT2 (12334)'!C38:E38)</f>
        <v>274204.56</v>
      </c>
      <c r="E62" s="24" t="n">
        <f aca="false">SUM('UT3 (1279)'!C38:E38)</f>
        <v>219764.73</v>
      </c>
      <c r="F62" s="24" t="n">
        <f aca="false">SUM('Osm.'!C38:E38)</f>
        <v>242988.92</v>
      </c>
      <c r="G62" s="24"/>
      <c r="H62" s="24"/>
      <c r="I62" s="142" t="n">
        <v>717</v>
      </c>
      <c r="J62" s="143"/>
      <c r="K62" s="144"/>
      <c r="L62" s="25" t="n">
        <v>2627210</v>
      </c>
      <c r="M62" s="63" t="n">
        <v>546598.73</v>
      </c>
      <c r="N62" s="29" t="n">
        <v>875440.61</v>
      </c>
      <c r="O62" s="29" t="n">
        <v>1352988.27</v>
      </c>
      <c r="P62" s="145" t="n">
        <f aca="false">'$'!C85</f>
        <v>5.309368</v>
      </c>
      <c r="Q62" s="35" t="n">
        <f aca="false">100*(SUM(C62:H62)/P62)/M62</f>
        <v>35.6870817853482</v>
      </c>
      <c r="R62" s="35" t="n">
        <f aca="false">100*(L62/P62)/M62</f>
        <v>90.5280868129229</v>
      </c>
      <c r="S62" s="146" t="n">
        <f aca="false">SUM(Q62:R62)</f>
        <v>126.215168598271</v>
      </c>
      <c r="T62" s="35" t="n">
        <f aca="false">100*SUM(L62,C62:H62)/O62/P62</f>
        <v>50.9901322814505</v>
      </c>
      <c r="U62" s="29" t="n">
        <f aca="false">O62/I62</f>
        <v>1887.01292887029</v>
      </c>
      <c r="V62" s="29" t="n">
        <f aca="false">M62/I62</f>
        <v>762.341324965133</v>
      </c>
      <c r="W62" s="147"/>
      <c r="X62" s="143" t="n">
        <f aca="false">'UT1 (1273)'!F98</f>
        <v>100903.32</v>
      </c>
      <c r="Y62" s="143" t="n">
        <f aca="false">'UT2 (12334)'!F38</f>
        <v>28853.89</v>
      </c>
      <c r="Z62" s="143"/>
      <c r="AA62" s="143"/>
      <c r="AB62" s="148"/>
      <c r="AC62" s="149" t="n">
        <f aca="false">AB62/P62</f>
        <v>0</v>
      </c>
      <c r="AD62" s="150"/>
      <c r="AE62" s="148" t="n">
        <f aca="false">1000*SUM(X62:AA62)/O62</f>
        <v>95.9041647862919</v>
      </c>
      <c r="AF62" s="151" t="n">
        <f aca="false">'UT1 (1273)'!G98</f>
        <v>13255</v>
      </c>
      <c r="AG62" s="143" t="n">
        <f aca="false">'UT2 (12334)'!G38</f>
        <v>2447</v>
      </c>
      <c r="AH62" s="143"/>
      <c r="AI62" s="143"/>
      <c r="AJ62" s="143"/>
      <c r="AK62" s="152"/>
      <c r="AL62" s="149" t="n">
        <f aca="false">AK62/P62</f>
        <v>0</v>
      </c>
      <c r="AM62" s="153"/>
      <c r="AN62" s="150" t="n">
        <f aca="false">AL62/SUM($AF$144:$AJ$144)</f>
        <v>0</v>
      </c>
      <c r="AO62" s="152"/>
      <c r="AP62" s="148" t="n">
        <f aca="false">1000*SUM(AF62:AJ62)/O62</f>
        <v>11.6054221223958</v>
      </c>
      <c r="AQ62" s="151" t="n">
        <f aca="false">'UT1 (1273)'!I98</f>
        <v>266076.09</v>
      </c>
      <c r="AR62" s="143" t="n">
        <f aca="false">'UT2 (12334)'!H38</f>
        <v>561284.64</v>
      </c>
      <c r="AS62" s="143"/>
      <c r="AT62" s="143"/>
      <c r="AU62" s="143"/>
      <c r="AV62" s="143" t="n">
        <f aca="false">'Osm.'!F38</f>
        <v>597597.84</v>
      </c>
      <c r="AW62" s="152"/>
      <c r="AX62" s="149" t="n">
        <f aca="false">AW62/P62</f>
        <v>0</v>
      </c>
      <c r="AY62" s="153"/>
      <c r="AZ62" s="152" t="n">
        <f aca="false">SUM(AQ62:AV62)/((1400+2000+2000)*24*30)</f>
        <v>0.366501689814815</v>
      </c>
      <c r="BA62" s="148"/>
      <c r="BB62" s="148"/>
      <c r="BC62" s="148"/>
      <c r="BD62" s="148"/>
      <c r="BE62" s="148" t="n">
        <f aca="false">1000*SUM(AQ62:AV62)/O62</f>
        <v>1053.19358755416</v>
      </c>
      <c r="BF62" s="151"/>
      <c r="BG62" s="143"/>
      <c r="BH62" s="143"/>
      <c r="BI62" s="143"/>
      <c r="BJ62" s="143"/>
    </row>
    <row r="63" customFormat="false" ht="18.75" hidden="false" customHeight="true" outlineLevel="0" collapsed="false">
      <c r="A63" s="18" t="n">
        <v>2019</v>
      </c>
      <c r="B63" s="18" t="n">
        <v>1</v>
      </c>
      <c r="C63" s="24" t="n">
        <f aca="false">SUM('UT1 (1273)'!C99:E99)</f>
        <v>280369.52</v>
      </c>
      <c r="D63" s="24" t="n">
        <f aca="false">SUM('UT2 (12334)'!C39:E39)</f>
        <v>260343.34</v>
      </c>
      <c r="E63" s="24" t="n">
        <f aca="false">SUM('UT3 (1279)'!C39:E39)</f>
        <v>219843.38</v>
      </c>
      <c r="F63" s="24" t="n">
        <f aca="false">SUM('Osm.'!C39:E39)</f>
        <v>161671.73</v>
      </c>
      <c r="G63" s="24"/>
      <c r="H63" s="24"/>
      <c r="I63" s="142" t="n">
        <v>698</v>
      </c>
      <c r="J63" s="143"/>
      <c r="K63" s="144" t="n">
        <f aca="false">(15+14)/I63</f>
        <v>0.0415472779369628</v>
      </c>
      <c r="L63" s="25" t="n">
        <v>2941818</v>
      </c>
      <c r="M63" s="63" t="n">
        <v>644814.17</v>
      </c>
      <c r="N63" s="29" t="n">
        <v>818073.84</v>
      </c>
      <c r="O63" s="29" t="n">
        <v>1170278.35</v>
      </c>
      <c r="P63" s="145" t="n">
        <f aca="false">'$'!C86</f>
        <v>5.36303</v>
      </c>
      <c r="Q63" s="35" t="n">
        <f aca="false">100*(SUM(C63:H63)/P63)/M63</f>
        <v>26.6681869317313</v>
      </c>
      <c r="R63" s="35" t="n">
        <f aca="false">100*(L63/P63)/M63</f>
        <v>85.06893620146</v>
      </c>
      <c r="S63" s="146" t="n">
        <f aca="false">SUM(Q63:R63)</f>
        <v>111.737123133191</v>
      </c>
      <c r="T63" s="35" t="n">
        <f aca="false">100*SUM(L63,C63:H63)/O63/P63</f>
        <v>61.5662763575149</v>
      </c>
      <c r="U63" s="29" t="n">
        <f aca="false">O63/I63</f>
        <v>1676.61654727794</v>
      </c>
      <c r="V63" s="29" t="n">
        <f aca="false">M63/I63</f>
        <v>923.802535816619</v>
      </c>
      <c r="W63" s="147"/>
      <c r="X63" s="143" t="n">
        <f aca="false">'UT1 (1273)'!F99</f>
        <v>99737.54</v>
      </c>
      <c r="Y63" s="143" t="n">
        <f aca="false">'UT2 (12334)'!F39</f>
        <v>25788.58</v>
      </c>
      <c r="Z63" s="143"/>
      <c r="AA63" s="143"/>
      <c r="AB63" s="148"/>
      <c r="AC63" s="149" t="n">
        <f aca="false">AB63/P63</f>
        <v>0</v>
      </c>
      <c r="AD63" s="150"/>
      <c r="AE63" s="148" t="n">
        <f aca="false">1000*SUM(X63:AA63)/O63</f>
        <v>107.261763835928</v>
      </c>
      <c r="AF63" s="151" t="n">
        <f aca="false">'UT1 (1273)'!G99</f>
        <v>10222</v>
      </c>
      <c r="AG63" s="143" t="n">
        <f aca="false">'UT2 (12334)'!G39</f>
        <v>2247</v>
      </c>
      <c r="AH63" s="143"/>
      <c r="AI63" s="143"/>
      <c r="AJ63" s="143"/>
      <c r="AK63" s="152"/>
      <c r="AL63" s="149" t="n">
        <f aca="false">AK63/P63</f>
        <v>0</v>
      </c>
      <c r="AM63" s="153"/>
      <c r="AN63" s="150" t="n">
        <f aca="false">AL63/SUM($AF$144:$AJ$144)</f>
        <v>0</v>
      </c>
      <c r="AO63" s="152"/>
      <c r="AP63" s="148" t="n">
        <f aca="false">1000*SUM(AF63:AJ63)/O63</f>
        <v>10.65473013322</v>
      </c>
      <c r="AQ63" s="151" t="n">
        <f aca="false">'UT1 (1273)'!I99</f>
        <v>253220.31</v>
      </c>
      <c r="AR63" s="143" t="n">
        <f aca="false">'UT2 (12334)'!H39</f>
        <v>577841.04</v>
      </c>
      <c r="AS63" s="143"/>
      <c r="AT63" s="143"/>
      <c r="AU63" s="143"/>
      <c r="AV63" s="143" t="n">
        <f aca="false">'Osm.'!F39</f>
        <v>411717.6</v>
      </c>
      <c r="AW63" s="152"/>
      <c r="AX63" s="149" t="n">
        <f aca="false">AW63/P63</f>
        <v>0</v>
      </c>
      <c r="AY63" s="153"/>
      <c r="AZ63" s="152" t="n">
        <f aca="false">SUM(AQ63:AV63)/((1400+2000+2000)*24*30)</f>
        <v>0.319644791666667</v>
      </c>
      <c r="BA63" s="148"/>
      <c r="BB63" s="148"/>
      <c r="BC63" s="148"/>
      <c r="BD63" s="148"/>
      <c r="BE63" s="148" t="n">
        <f aca="false">1000*SUM(AQ63:AV63)/O63</f>
        <v>1061.95158613333</v>
      </c>
      <c r="BF63" s="151"/>
      <c r="BG63" s="143"/>
      <c r="BH63" s="143"/>
      <c r="BI63" s="143"/>
      <c r="BJ63" s="143"/>
    </row>
    <row r="64" customFormat="false" ht="18.75" hidden="false" customHeight="true" outlineLevel="0" collapsed="false">
      <c r="A64" s="18" t="n">
        <v>2019</v>
      </c>
      <c r="B64" s="18" t="n">
        <v>2</v>
      </c>
      <c r="C64" s="24" t="n">
        <f aca="false">SUM('UT1 (1273)'!C100:E100)</f>
        <v>348374.62</v>
      </c>
      <c r="D64" s="24" t="n">
        <f aca="false">SUM('UT2 (12334)'!C40:E40)</f>
        <v>335408.74</v>
      </c>
      <c r="E64" s="24" t="n">
        <f aca="false">SUM('UT3 (1279)'!C40:E40)</f>
        <v>300205</v>
      </c>
      <c r="F64" s="24" t="n">
        <f aca="false">SUM('Osm.'!C40:E40)</f>
        <v>251979.48</v>
      </c>
      <c r="G64" s="24"/>
      <c r="H64" s="24"/>
      <c r="I64" s="142" t="n">
        <v>719</v>
      </c>
      <c r="J64" s="143"/>
      <c r="K64" s="144" t="n">
        <f aca="false">(36+22)/I64</f>
        <v>0.0806675938803894</v>
      </c>
      <c r="L64" s="25" t="n">
        <v>3059397</v>
      </c>
      <c r="M64" s="63" t="n">
        <v>787628.56</v>
      </c>
      <c r="N64" s="29" t="n">
        <v>1029768.54</v>
      </c>
      <c r="O64" s="29" t="n">
        <v>1549001.67</v>
      </c>
      <c r="P64" s="145" t="n">
        <f aca="false">'$'!C87</f>
        <v>5.269724</v>
      </c>
      <c r="Q64" s="35" t="n">
        <f aca="false">100*(SUM(C64:H64)/P64)/M64</f>
        <v>29.7781590441747</v>
      </c>
      <c r="R64" s="35" t="n">
        <f aca="false">100*(L64/P64)/M64</f>
        <v>73.7100169574567</v>
      </c>
      <c r="S64" s="146" t="n">
        <f aca="false">SUM(Q64:R64)</f>
        <v>103.488176001631</v>
      </c>
      <c r="T64" s="35" t="n">
        <f aca="false">100*SUM(L64,C64:H64)/O64/P64</f>
        <v>52.6211460063768</v>
      </c>
      <c r="U64" s="29" t="n">
        <f aca="false">O64/I64</f>
        <v>2154.38340751043</v>
      </c>
      <c r="V64" s="29" t="n">
        <f aca="false">M64/I64</f>
        <v>1095.45001390821</v>
      </c>
      <c r="W64" s="147"/>
      <c r="X64" s="143" t="n">
        <f aca="false">'UT1 (1273)'!F100</f>
        <v>116671.73</v>
      </c>
      <c r="Y64" s="143" t="n">
        <f aca="false">'UT2 (12334)'!F40</f>
        <v>31769.96</v>
      </c>
      <c r="Z64" s="143"/>
      <c r="AA64" s="143"/>
      <c r="AB64" s="148"/>
      <c r="AC64" s="149" t="n">
        <f aca="false">AB64/P64</f>
        <v>0</v>
      </c>
      <c r="AD64" s="150"/>
      <c r="AE64" s="148" t="n">
        <f aca="false">1000*SUM(X64:AA64)/O64</f>
        <v>95.8305551729973</v>
      </c>
      <c r="AF64" s="151" t="n">
        <f aca="false">'UT1 (1273)'!G100</f>
        <v>14106</v>
      </c>
      <c r="AG64" s="143" t="n">
        <f aca="false">'UT2 (12334)'!G40</f>
        <v>2537</v>
      </c>
      <c r="AH64" s="143"/>
      <c r="AI64" s="143"/>
      <c r="AJ64" s="143"/>
      <c r="AK64" s="152"/>
      <c r="AL64" s="149" t="n">
        <f aca="false">AK64/P64</f>
        <v>0</v>
      </c>
      <c r="AM64" s="153"/>
      <c r="AN64" s="150" t="n">
        <f aca="false">AL64/SUM($AF$144:$AJ$144)</f>
        <v>0</v>
      </c>
      <c r="AO64" s="152"/>
      <c r="AP64" s="148" t="n">
        <f aca="false">1000*SUM(AF64:AJ64)/O64</f>
        <v>10.7443396106862</v>
      </c>
      <c r="AQ64" s="151" t="n">
        <f aca="false">'UT1 (1273)'!I100</f>
        <v>285803.91</v>
      </c>
      <c r="AR64" s="143" t="n">
        <f aca="false">'UT2 (12334)'!H40</f>
        <v>622704.6</v>
      </c>
      <c r="AS64" s="143"/>
      <c r="AT64" s="143"/>
      <c r="AU64" s="143"/>
      <c r="AV64" s="143" t="n">
        <f aca="false">'Osm.'!F40</f>
        <v>559026.72</v>
      </c>
      <c r="AW64" s="152"/>
      <c r="AX64" s="149" t="n">
        <f aca="false">AW64/P64</f>
        <v>0</v>
      </c>
      <c r="AY64" s="153"/>
      <c r="AZ64" s="152" t="n">
        <f aca="false">SUM(AQ64:AV64)/((1400+2000+2000)*24*30)</f>
        <v>0.377452476851852</v>
      </c>
      <c r="BA64" s="148"/>
      <c r="BB64" s="148"/>
      <c r="BC64" s="148"/>
      <c r="BD64" s="148"/>
      <c r="BE64" s="148" t="n">
        <f aca="false">1000*SUM(AQ64:AV64)/O64</f>
        <v>947.407132233757</v>
      </c>
      <c r="BF64" s="151"/>
      <c r="BG64" s="143"/>
      <c r="BH64" s="143"/>
      <c r="BI64" s="143"/>
      <c r="BJ64" s="143"/>
    </row>
    <row r="65" customFormat="false" ht="18.75" hidden="false" customHeight="true" outlineLevel="0" collapsed="false">
      <c r="A65" s="18" t="n">
        <v>2019</v>
      </c>
      <c r="B65" s="18" t="n">
        <v>3</v>
      </c>
      <c r="C65" s="24" t="n">
        <f aca="false">SUM('UT1 (1273)'!C101:E101)</f>
        <v>383976.79</v>
      </c>
      <c r="D65" s="24" t="n">
        <f aca="false">SUM('UT2 (12334)'!C41:E41)</f>
        <v>375545.59</v>
      </c>
      <c r="E65" s="24" t="n">
        <f aca="false">SUM('UT3 (1279)'!C41:E41)</f>
        <v>317893.43</v>
      </c>
      <c r="F65" s="24" t="n">
        <f aca="false">SUM('Osm.'!C41:E41)</f>
        <v>248545.75</v>
      </c>
      <c r="G65" s="24"/>
      <c r="H65" s="24"/>
      <c r="I65" s="142" t="n">
        <v>730</v>
      </c>
      <c r="J65" s="143"/>
      <c r="K65" s="144" t="n">
        <f aca="false">(30+17)/I65</f>
        <v>0.0643835616438356</v>
      </c>
      <c r="L65" s="25" t="n">
        <v>3456290</v>
      </c>
      <c r="M65" s="63" t="n">
        <v>848698.57</v>
      </c>
      <c r="N65" s="29" t="n">
        <v>1072636.84</v>
      </c>
      <c r="O65" s="29" t="n">
        <v>1554634.03</v>
      </c>
      <c r="P65" s="145" t="n">
        <f aca="false">'$'!C88</f>
        <v>5.476742</v>
      </c>
      <c r="Q65" s="35" t="n">
        <f aca="false">100*(SUM(C65:H65)/P65)/M65</f>
        <v>28.5269394940103</v>
      </c>
      <c r="R65" s="35" t="n">
        <f aca="false">100*(L65/P65)/M65</f>
        <v>74.3591508819855</v>
      </c>
      <c r="S65" s="146" t="n">
        <f aca="false">SUM(Q65:R65)</f>
        <v>102.886090375996</v>
      </c>
      <c r="T65" s="35" t="n">
        <f aca="false">100*SUM(L65,C65:H65)/O65/P65</f>
        <v>56.1670953356131</v>
      </c>
      <c r="U65" s="29" t="n">
        <f aca="false">O65/I65</f>
        <v>2129.63565753425</v>
      </c>
      <c r="V65" s="29" t="n">
        <f aca="false">M65/I65</f>
        <v>1162.60078082192</v>
      </c>
      <c r="W65" s="147"/>
      <c r="X65" s="143" t="n">
        <f aca="false">'UT1 (1273)'!F101</f>
        <v>122198.23</v>
      </c>
      <c r="Y65" s="143" t="n">
        <f aca="false">'UT2 (12334)'!F41</f>
        <v>32043.33</v>
      </c>
      <c r="Z65" s="143"/>
      <c r="AA65" s="143"/>
      <c r="AB65" s="148"/>
      <c r="AC65" s="149" t="n">
        <f aca="false">AB65/P65</f>
        <v>0</v>
      </c>
      <c r="AD65" s="150"/>
      <c r="AE65" s="148" t="n">
        <f aca="false">1000*SUM(X65:AA65)/O65</f>
        <v>99.2140639041589</v>
      </c>
      <c r="AF65" s="151" t="n">
        <f aca="false">'UT1 (1273)'!G101</f>
        <v>20022</v>
      </c>
      <c r="AG65" s="143" t="n">
        <f aca="false">'UT2 (12334)'!G41</f>
        <v>3168</v>
      </c>
      <c r="AH65" s="143"/>
      <c r="AI65" s="143"/>
      <c r="AJ65" s="143"/>
      <c r="AK65" s="152"/>
      <c r="AL65" s="149" t="n">
        <f aca="false">AK65/P65</f>
        <v>0</v>
      </c>
      <c r="AM65" s="153"/>
      <c r="AN65" s="150" t="n">
        <f aca="false">AL65/SUM($AF$144:$AJ$144)</f>
        <v>0</v>
      </c>
      <c r="AO65" s="152"/>
      <c r="AP65" s="148" t="n">
        <f aca="false">1000*SUM(AF65:AJ65)/O65</f>
        <v>14.9166939308539</v>
      </c>
      <c r="AQ65" s="151" t="n">
        <f aca="false">'UT1 (1273)'!I101</f>
        <v>323859.06</v>
      </c>
      <c r="AR65" s="143" t="n">
        <f aca="false">'UT2 (12334)'!H41</f>
        <v>717338.16</v>
      </c>
      <c r="AS65" s="143"/>
      <c r="AT65" s="143"/>
      <c r="AU65" s="143"/>
      <c r="AV65" s="143" t="n">
        <f aca="false">'Osm.'!F41</f>
        <v>539380.8</v>
      </c>
      <c r="AW65" s="152"/>
      <c r="AX65" s="149" t="n">
        <f aca="false">AW65/P65</f>
        <v>0</v>
      </c>
      <c r="AY65" s="153"/>
      <c r="AZ65" s="152" t="n">
        <f aca="false">SUM(AQ65:AV65)/((1400+2000+2000)*24*30)</f>
        <v>0.406527268518518</v>
      </c>
      <c r="BA65" s="148"/>
      <c r="BB65" s="148"/>
      <c r="BC65" s="148"/>
      <c r="BD65" s="148"/>
      <c r="BE65" s="148" t="n">
        <f aca="false">1000*SUM(AQ65:AV65)/O65</f>
        <v>1016.68816550992</v>
      </c>
      <c r="BF65" s="151"/>
      <c r="BG65" s="143"/>
      <c r="BH65" s="143"/>
      <c r="BI65" s="143"/>
      <c r="BJ65" s="143"/>
    </row>
    <row r="66" customFormat="false" ht="18.75" hidden="false" customHeight="true" outlineLevel="0" collapsed="false">
      <c r="A66" s="18" t="n">
        <v>2019</v>
      </c>
      <c r="B66" s="18" t="n">
        <v>4</v>
      </c>
      <c r="C66" s="24" t="n">
        <f aca="false">SUM('UT1 (1273)'!C102:E102)</f>
        <v>365207.31</v>
      </c>
      <c r="D66" s="24" t="n">
        <f aca="false">SUM('UT2 (12334)'!C42:E42)</f>
        <v>313428.98</v>
      </c>
      <c r="E66" s="24" t="n">
        <f aca="false">SUM('UT3 (1279)'!C42:E42)</f>
        <v>283280.54</v>
      </c>
      <c r="F66" s="24" t="n">
        <f aca="false">SUM('Osm.'!C42:E42)</f>
        <v>197766.67</v>
      </c>
      <c r="G66" s="24"/>
      <c r="H66" s="24"/>
      <c r="I66" s="142" t="n">
        <v>734</v>
      </c>
      <c r="J66" s="143"/>
      <c r="K66" s="144" t="n">
        <f aca="false">(24+36)/I66</f>
        <v>0.0817438692098093</v>
      </c>
      <c r="L66" s="25" t="n">
        <v>3727020</v>
      </c>
      <c r="M66" s="63" t="n">
        <v>774217.46</v>
      </c>
      <c r="N66" s="29" t="n">
        <v>1018700.93</v>
      </c>
      <c r="O66" s="29" t="n">
        <v>1603801.52</v>
      </c>
      <c r="P66" s="145" t="n">
        <f aca="false">'$'!C89</f>
        <v>5.764748</v>
      </c>
      <c r="Q66" s="35" t="n">
        <f aca="false">100*(SUM(C66:H66)/P66)/M66</f>
        <v>25.9834125900233</v>
      </c>
      <c r="R66" s="35" t="n">
        <f aca="false">100*(L66/P66)/M66</f>
        <v>83.5061449018362</v>
      </c>
      <c r="S66" s="146" t="n">
        <f aca="false">SUM(Q66:R66)</f>
        <v>109.489557491859</v>
      </c>
      <c r="T66" s="35" t="n">
        <f aca="false">100*SUM(L66,C66:H66)/O66/P66</f>
        <v>52.8548738985304</v>
      </c>
      <c r="U66" s="29" t="n">
        <f aca="false">O66/I66</f>
        <v>2185.01569482289</v>
      </c>
      <c r="V66" s="29" t="n">
        <f aca="false">M66/I66</f>
        <v>1054.79217983651</v>
      </c>
      <c r="W66" s="147"/>
      <c r="X66" s="143" t="n">
        <f aca="false">'UT1 (1273)'!F102</f>
        <v>124166.16</v>
      </c>
      <c r="Y66" s="143" t="n">
        <f aca="false">'UT2 (12334)'!F42</f>
        <v>24810.34</v>
      </c>
      <c r="Z66" s="143"/>
      <c r="AA66" s="143"/>
      <c r="AB66" s="148"/>
      <c r="AC66" s="149" t="n">
        <f aca="false">AB66/P66</f>
        <v>0</v>
      </c>
      <c r="AD66" s="150"/>
      <c r="AE66" s="148" t="n">
        <f aca="false">1000*SUM(X66:AA66)/O66</f>
        <v>92.8896114277283</v>
      </c>
      <c r="AF66" s="151" t="n">
        <f aca="false">'UT1 (1273)'!G102</f>
        <v>14628</v>
      </c>
      <c r="AG66" s="143" t="n">
        <f aca="false">'UT2 (12334)'!G42</f>
        <v>2261</v>
      </c>
      <c r="AH66" s="143"/>
      <c r="AI66" s="143"/>
      <c r="AJ66" s="143"/>
      <c r="AK66" s="152"/>
      <c r="AL66" s="149" t="n">
        <f aca="false">AK66/P66</f>
        <v>0</v>
      </c>
      <c r="AM66" s="153"/>
      <c r="AN66" s="150" t="n">
        <f aca="false">AL66/SUM($AF$144:$AJ$144)</f>
        <v>0</v>
      </c>
      <c r="AO66" s="152"/>
      <c r="AP66" s="148" t="n">
        <f aca="false">1000*SUM(AF66:AJ66)/O66</f>
        <v>10.5306048095029</v>
      </c>
      <c r="AQ66" s="151" t="n">
        <f aca="false">'UT1 (1273)'!I102</f>
        <v>340054.47</v>
      </c>
      <c r="AR66" s="143" t="n">
        <f aca="false">'UT2 (12334)'!H42</f>
        <v>699420.96</v>
      </c>
      <c r="AS66" s="143"/>
      <c r="AT66" s="143"/>
      <c r="AU66" s="143"/>
      <c r="AV66" s="143" t="n">
        <f aca="false">'Osm.'!F42</f>
        <v>500693.76</v>
      </c>
      <c r="AW66" s="152"/>
      <c r="AX66" s="149" t="n">
        <f aca="false">AW66/P66</f>
        <v>0</v>
      </c>
      <c r="AY66" s="153"/>
      <c r="AZ66" s="152" t="n">
        <f aca="false">SUM(AQ66:AV66)/((1400+2000+2000)*24*30)</f>
        <v>0.396134050925926</v>
      </c>
      <c r="BA66" s="148"/>
      <c r="BB66" s="148"/>
      <c r="BC66" s="148"/>
      <c r="BD66" s="148"/>
      <c r="BE66" s="148" t="n">
        <f aca="false">1000*SUM(AQ66:AV66)/O66</f>
        <v>960.324061795377</v>
      </c>
      <c r="BF66" s="151"/>
      <c r="BG66" s="143"/>
      <c r="BH66" s="143"/>
      <c r="BI66" s="143"/>
      <c r="BJ66" s="143"/>
    </row>
    <row r="67" customFormat="false" ht="18.75" hidden="false" customHeight="true" outlineLevel="0" collapsed="false">
      <c r="A67" s="18" t="n">
        <v>2019</v>
      </c>
      <c r="B67" s="18" t="n">
        <v>5</v>
      </c>
      <c r="C67" s="24" t="n">
        <f aca="false">SUM('UT1 (1273)'!C103:E103)</f>
        <v>394410.8</v>
      </c>
      <c r="D67" s="24" t="n">
        <f aca="false">SUM('UT2 (12334)'!C43:E43)</f>
        <v>394421.95</v>
      </c>
      <c r="E67" s="24" t="n">
        <f aca="false">SUM('UT3 (1279)'!C43:E43)</f>
        <v>365490.63</v>
      </c>
      <c r="F67" s="24" t="n">
        <f aca="false">SUM('Osm.'!C43:E43)</f>
        <v>226178.35</v>
      </c>
      <c r="G67" s="24"/>
      <c r="H67" s="24"/>
      <c r="I67" s="142" t="n">
        <v>719</v>
      </c>
      <c r="J67" s="143"/>
      <c r="K67" s="144" t="n">
        <f aca="false">(20+27)/I67</f>
        <v>0.0653685674547983</v>
      </c>
      <c r="L67" s="25" t="n">
        <v>3447440</v>
      </c>
      <c r="M67" s="63" t="n">
        <v>764096.98</v>
      </c>
      <c r="N67" s="29" t="n">
        <v>1006606.63</v>
      </c>
      <c r="O67" s="29" t="n">
        <v>1526476.14</v>
      </c>
      <c r="P67" s="145" t="n">
        <f aca="false">'$'!C90</f>
        <v>6.044426</v>
      </c>
      <c r="Q67" s="35" t="n">
        <f aca="false">100*(SUM(C67:H67)/P67)/M67</f>
        <v>29.8905156337566</v>
      </c>
      <c r="R67" s="35" t="n">
        <f aca="false">100*(L67/P67)/M67</f>
        <v>74.6437016174096</v>
      </c>
      <c r="S67" s="146" t="n">
        <f aca="false">SUM(Q67:R67)</f>
        <v>104.534217251166</v>
      </c>
      <c r="T67" s="35" t="n">
        <f aca="false">100*SUM(L67,C67:H67)/O67/P67</f>
        <v>52.3259274188721</v>
      </c>
      <c r="U67" s="29" t="n">
        <f aca="false">O67/I67</f>
        <v>2123.05443671766</v>
      </c>
      <c r="V67" s="29" t="n">
        <f aca="false">M67/I67</f>
        <v>1062.72180806676</v>
      </c>
      <c r="W67" s="147"/>
      <c r="X67" s="143" t="n">
        <f aca="false">'UT1 (1273)'!F103</f>
        <v>116934.14</v>
      </c>
      <c r="Y67" s="143" t="n">
        <f aca="false">'UT2 (12334)'!F43</f>
        <v>34938.97</v>
      </c>
      <c r="Z67" s="143"/>
      <c r="AA67" s="143"/>
      <c r="AB67" s="148"/>
      <c r="AC67" s="149" t="n">
        <f aca="false">AB67/P67</f>
        <v>0</v>
      </c>
      <c r="AD67" s="150"/>
      <c r="AE67" s="148" t="n">
        <f aca="false">1000*SUM(X67:AA67)/O67</f>
        <v>99.4926196488076</v>
      </c>
      <c r="AF67" s="151" t="n">
        <f aca="false">'UT1 (1273)'!G103</f>
        <v>17912</v>
      </c>
      <c r="AG67" s="143" t="n">
        <f aca="false">'UT2 (12334)'!G43</f>
        <v>2321</v>
      </c>
      <c r="AH67" s="143"/>
      <c r="AI67" s="143"/>
      <c r="AJ67" s="143"/>
      <c r="AK67" s="152"/>
      <c r="AL67" s="149" t="n">
        <f aca="false">AK67/P67</f>
        <v>0</v>
      </c>
      <c r="AM67" s="153"/>
      <c r="AN67" s="150" t="n">
        <f aca="false">AL67/SUM($AF$144:$AJ$144)</f>
        <v>0</v>
      </c>
      <c r="AO67" s="152"/>
      <c r="AP67" s="148" t="n">
        <f aca="false">1000*SUM(AF67:AJ67)/O67</f>
        <v>13.2547109449087</v>
      </c>
      <c r="AQ67" s="151" t="n">
        <f aca="false">'UT1 (1273)'!I103</f>
        <v>349196.4</v>
      </c>
      <c r="AR67" s="143" t="n">
        <f aca="false">'UT2 (12334)'!H43</f>
        <v>694476.72</v>
      </c>
      <c r="AS67" s="143"/>
      <c r="AT67" s="143"/>
      <c r="AU67" s="143"/>
      <c r="AV67" s="143" t="n">
        <f aca="false">'Osm.'!F43</f>
        <v>496636.56</v>
      </c>
      <c r="AW67" s="152"/>
      <c r="AX67" s="149" t="n">
        <f aca="false">AW67/P67</f>
        <v>0</v>
      </c>
      <c r="AY67" s="153"/>
      <c r="AZ67" s="152" t="n">
        <f aca="false">SUM(AQ67:AV67)/((1400+2000+2000)*24*30)</f>
        <v>0.396170185185185</v>
      </c>
      <c r="BA67" s="148"/>
      <c r="BB67" s="148"/>
      <c r="BC67" s="148"/>
      <c r="BD67" s="148"/>
      <c r="BE67" s="148" t="n">
        <f aca="false">1000*SUM(AQ67:AV67)/O67</f>
        <v>1009.06240172218</v>
      </c>
      <c r="BF67" s="151"/>
      <c r="BG67" s="143"/>
      <c r="BH67" s="143"/>
      <c r="BI67" s="143"/>
      <c r="BJ67" s="143"/>
    </row>
    <row r="68" customFormat="false" ht="18.75" hidden="false" customHeight="true" outlineLevel="0" collapsed="false">
      <c r="A68" s="18" t="n">
        <v>2019</v>
      </c>
      <c r="B68" s="18" t="n">
        <v>6</v>
      </c>
      <c r="C68" s="24" t="n">
        <f aca="false">SUM('UT1 (1273)'!C104:E104)</f>
        <v>292123.21</v>
      </c>
      <c r="D68" s="24" t="n">
        <f aca="false">SUM('UT2 (12334)'!C44:E44)</f>
        <v>360255.22</v>
      </c>
      <c r="E68" s="24" t="n">
        <f aca="false">SUM('UT3 (1279)'!C44:E44)</f>
        <v>364914.17</v>
      </c>
      <c r="F68" s="24" t="n">
        <f aca="false">SUM('Osm.'!C44:E44)</f>
        <v>229345.08</v>
      </c>
      <c r="G68" s="24"/>
      <c r="H68" s="24"/>
      <c r="I68" s="142" t="n">
        <v>731</v>
      </c>
      <c r="J68" s="143"/>
      <c r="K68" s="144" t="n">
        <f aca="false">(36+12)/I68</f>
        <v>0.0656634746922025</v>
      </c>
      <c r="L68" s="25" t="n">
        <v>3352364</v>
      </c>
      <c r="M68" s="63" t="n">
        <v>528030.15</v>
      </c>
      <c r="N68" s="29" t="n">
        <v>762584.87</v>
      </c>
      <c r="O68" s="29" t="n">
        <v>1132542.13</v>
      </c>
      <c r="P68" s="145" t="n">
        <f aca="false">'$'!C91</f>
        <v>5.820426</v>
      </c>
      <c r="Q68" s="35" t="n">
        <f aca="false">100*(SUM(C68:H68)/P68)/M68</f>
        <v>40.562690740225</v>
      </c>
      <c r="R68" s="35" t="n">
        <f aca="false">100*(L68/P68)/M68</f>
        <v>109.078127801065</v>
      </c>
      <c r="S68" s="146" t="n">
        <f aca="false">SUM(Q68:R68)</f>
        <v>149.64081854129</v>
      </c>
      <c r="T68" s="35" t="n">
        <f aca="false">100*SUM(L68,C68:H68)/O68/P68</f>
        <v>69.767703794366</v>
      </c>
      <c r="U68" s="29" t="n">
        <f aca="false">O68/I68</f>
        <v>1549.30523939808</v>
      </c>
      <c r="V68" s="29" t="n">
        <f aca="false">M68/I68</f>
        <v>722.339466484268</v>
      </c>
      <c r="W68" s="147"/>
      <c r="X68" s="143" t="n">
        <f aca="false">'UT1 (1273)'!F104</f>
        <v>79789.02</v>
      </c>
      <c r="Y68" s="143" t="n">
        <f aca="false">'UT2 (12334)'!F44</f>
        <v>32941.65</v>
      </c>
      <c r="Z68" s="143"/>
      <c r="AA68" s="143"/>
      <c r="AB68" s="148"/>
      <c r="AC68" s="149" t="n">
        <f aca="false">AB68/P68</f>
        <v>0</v>
      </c>
      <c r="AD68" s="150"/>
      <c r="AE68" s="148" t="n">
        <f aca="false">1000*SUM(X68:AA68)/O68</f>
        <v>99.5377275722184</v>
      </c>
      <c r="AF68" s="151" t="n">
        <f aca="false">'UT1 (1273)'!G104</f>
        <v>11724</v>
      </c>
      <c r="AG68" s="143" t="n">
        <f aca="false">'UT2 (12334)'!G44</f>
        <v>2229</v>
      </c>
      <c r="AH68" s="143"/>
      <c r="AI68" s="143"/>
      <c r="AJ68" s="143"/>
      <c r="AK68" s="152"/>
      <c r="AL68" s="149" t="n">
        <f aca="false">AK68/P68</f>
        <v>0</v>
      </c>
      <c r="AM68" s="153"/>
      <c r="AN68" s="150" t="n">
        <f aca="false">AL68/SUM($AF$144:$AJ$144)</f>
        <v>0</v>
      </c>
      <c r="AO68" s="152"/>
      <c r="AP68" s="148" t="n">
        <f aca="false">1000*SUM(AF68:AJ68)/O68</f>
        <v>12.3200714837867</v>
      </c>
      <c r="AQ68" s="151" t="n">
        <f aca="false">'UT1 (1273)'!I104</f>
        <v>245322</v>
      </c>
      <c r="AR68" s="143" t="n">
        <f aca="false">'UT2 (12334)'!H44</f>
        <v>537833.52</v>
      </c>
      <c r="AS68" s="143"/>
      <c r="AT68" s="143"/>
      <c r="AU68" s="143"/>
      <c r="AV68" s="143" t="n">
        <f aca="false">'Osm.'!F44</f>
        <v>357240.24</v>
      </c>
      <c r="AW68" s="152"/>
      <c r="AX68" s="149" t="n">
        <f aca="false">AW68/P68</f>
        <v>0</v>
      </c>
      <c r="AY68" s="153"/>
      <c r="AZ68" s="152" t="n">
        <f aca="false">SUM(AQ68:AV68)/((1400+2000+2000)*24*30)</f>
        <v>0.293311666666667</v>
      </c>
      <c r="BA68" s="148"/>
      <c r="BB68" s="148"/>
      <c r="BC68" s="148"/>
      <c r="BD68" s="148"/>
      <c r="BE68" s="148" t="n">
        <f aca="false">1000*SUM(AQ68:AV68)/O68</f>
        <v>1006.93451465686</v>
      </c>
      <c r="BF68" s="151"/>
      <c r="BG68" s="143"/>
      <c r="BH68" s="143"/>
      <c r="BI68" s="143"/>
      <c r="BJ68" s="143"/>
    </row>
    <row r="69" customFormat="false" ht="18.75" hidden="false" customHeight="true" outlineLevel="0" collapsed="false">
      <c r="A69" s="18" t="n">
        <v>2019</v>
      </c>
      <c r="B69" s="18" t="n">
        <v>7</v>
      </c>
      <c r="C69" s="24" t="n">
        <f aca="false">SUM('UT1 (1273)'!C105:E105)</f>
        <v>360493.94</v>
      </c>
      <c r="D69" s="24" t="n">
        <f aca="false">SUM('UT2 (12334)'!C45:E45)</f>
        <v>407097.09</v>
      </c>
      <c r="E69" s="24" t="n">
        <f aca="false">SUM('UT3 (1279)'!C45:E45)</f>
        <v>373687.68</v>
      </c>
      <c r="F69" s="24" t="n">
        <f aca="false">SUM('Osm.'!C45:E45)</f>
        <v>252494.48</v>
      </c>
      <c r="G69" s="24"/>
      <c r="H69" s="24"/>
      <c r="I69" s="142" t="n">
        <v>753</v>
      </c>
      <c r="J69" s="143"/>
      <c r="K69" s="144" t="n">
        <f aca="false">(34+22)/I69</f>
        <v>0.0743691899070385</v>
      </c>
      <c r="L69" s="25" t="n">
        <v>3974036</v>
      </c>
      <c r="M69" s="63" t="n">
        <v>732404.85</v>
      </c>
      <c r="N69" s="29" t="n">
        <v>1022577.95</v>
      </c>
      <c r="O69" s="29" t="n">
        <v>1562872.66</v>
      </c>
      <c r="P69" s="145" t="n">
        <f aca="false">'$'!C92</f>
        <v>5.676879</v>
      </c>
      <c r="Q69" s="35" t="n">
        <f aca="false">100*(SUM(C69:H69)/P69)/M69</f>
        <v>33.5221030866132</v>
      </c>
      <c r="R69" s="35" t="n">
        <f aca="false">100*(L69/P69)/M69</f>
        <v>95.5808630971814</v>
      </c>
      <c r="S69" s="146" t="n">
        <f aca="false">SUM(Q69:R69)</f>
        <v>129.102966183795</v>
      </c>
      <c r="T69" s="35" t="n">
        <f aca="false">100*SUM(L69,C69:H69)/O69/P69</f>
        <v>60.5011790163359</v>
      </c>
      <c r="U69" s="29" t="n">
        <f aca="false">O69/I69</f>
        <v>2075.52810092961</v>
      </c>
      <c r="V69" s="29" t="n">
        <f aca="false">M69/I69</f>
        <v>972.649203187251</v>
      </c>
      <c r="W69" s="147"/>
      <c r="X69" s="143" t="n">
        <f aca="false">'UT1 (1273)'!F105</f>
        <v>99435.07</v>
      </c>
      <c r="Y69" s="143" t="n">
        <f aca="false">'UT2 (12334)'!F45</f>
        <v>36497.82</v>
      </c>
      <c r="Z69" s="143"/>
      <c r="AA69" s="143"/>
      <c r="AB69" s="148"/>
      <c r="AC69" s="149" t="n">
        <f aca="false">AB69/P69</f>
        <v>0</v>
      </c>
      <c r="AD69" s="150"/>
      <c r="AE69" s="148" t="n">
        <f aca="false">1000*SUM(X69:AA69)/O69</f>
        <v>86.976305542385</v>
      </c>
      <c r="AF69" s="151" t="n">
        <f aca="false">'UT1 (1273)'!G105</f>
        <v>15618</v>
      </c>
      <c r="AG69" s="143" t="n">
        <f aca="false">'UT2 (12334)'!G45</f>
        <v>2549</v>
      </c>
      <c r="AH69" s="143"/>
      <c r="AI69" s="143"/>
      <c r="AJ69" s="143"/>
      <c r="AK69" s="152"/>
      <c r="AL69" s="149" t="n">
        <f aca="false">AK69/P69</f>
        <v>0</v>
      </c>
      <c r="AM69" s="153"/>
      <c r="AN69" s="150" t="n">
        <f aca="false">AL69/SUM($AF$144:$AJ$144)</f>
        <v>0</v>
      </c>
      <c r="AO69" s="152"/>
      <c r="AP69" s="148" t="n">
        <f aca="false">1000*SUM(AF69:AJ69)/O69</f>
        <v>11.6241076224342</v>
      </c>
      <c r="AQ69" s="151" t="n">
        <f aca="false">'UT1 (1273)'!I105</f>
        <v>340224.57</v>
      </c>
      <c r="AR69" s="143" t="n">
        <f aca="false">'UT2 (12334)'!H45</f>
        <v>702664.2</v>
      </c>
      <c r="AS69" s="143"/>
      <c r="AT69" s="143"/>
      <c r="AU69" s="143"/>
      <c r="AV69" s="143" t="n">
        <f aca="false">'Osm.'!F45</f>
        <v>484964.08</v>
      </c>
      <c r="AW69" s="152"/>
      <c r="AX69" s="149" t="n">
        <f aca="false">AW69/P69</f>
        <v>0</v>
      </c>
      <c r="AY69" s="153"/>
      <c r="AZ69" s="152" t="n">
        <f aca="false">SUM(AQ69:AV69)/((1400+2000+2000)*24*30)</f>
        <v>0.392966268004115</v>
      </c>
      <c r="BA69" s="148"/>
      <c r="BB69" s="148"/>
      <c r="BC69" s="148"/>
      <c r="BD69" s="148"/>
      <c r="BE69" s="148" t="n">
        <f aca="false">1000*SUM(AQ69:AV69)/O69</f>
        <v>977.592665802984</v>
      </c>
      <c r="BF69" s="151"/>
      <c r="BG69" s="143"/>
      <c r="BH69" s="143"/>
      <c r="BI69" s="143"/>
      <c r="BJ69" s="143"/>
    </row>
    <row r="70" customFormat="false" ht="18.75" hidden="false" customHeight="true" outlineLevel="0" collapsed="false">
      <c r="A70" s="18" t="n">
        <v>2019</v>
      </c>
      <c r="B70" s="18" t="n">
        <v>8</v>
      </c>
      <c r="C70" s="24" t="n">
        <f aca="false">SUM('UT1 (1273)'!C106:E106)</f>
        <v>337019.31</v>
      </c>
      <c r="D70" s="24" t="n">
        <f aca="false">SUM('UT2 (12334)'!C46:E46)</f>
        <v>336274.89</v>
      </c>
      <c r="E70" s="24" t="n">
        <f aca="false">SUM('UT3 (1279)'!C46:E46)</f>
        <v>392568.08</v>
      </c>
      <c r="F70" s="24" t="n">
        <f aca="false">SUM('Osm.'!C46:E46)</f>
        <v>221373.69</v>
      </c>
      <c r="G70" s="24"/>
      <c r="H70" s="24"/>
      <c r="I70" s="142" t="n">
        <v>762</v>
      </c>
      <c r="J70" s="143"/>
      <c r="K70" s="144" t="n">
        <f aca="false">(30+23)/762</f>
        <v>0.0695538057742782</v>
      </c>
      <c r="L70" s="25" t="n">
        <v>3876433</v>
      </c>
      <c r="M70" s="63" t="n">
        <v>663683.43</v>
      </c>
      <c r="N70" s="29" t="n">
        <v>979813.12</v>
      </c>
      <c r="O70" s="29" t="n">
        <v>1384071.55</v>
      </c>
      <c r="P70" s="145" t="n">
        <f aca="false">'$'!C93</f>
        <v>5.641561</v>
      </c>
      <c r="Q70" s="35" t="n">
        <f aca="false">100*(SUM(C70:H70)/P70)/M70</f>
        <v>34.3793691909036</v>
      </c>
      <c r="R70" s="35" t="n">
        <f aca="false">100*(L70/P70)/M70</f>
        <v>103.531383799664</v>
      </c>
      <c r="S70" s="146" t="n">
        <f aca="false">SUM(Q70:R70)</f>
        <v>137.910752990567</v>
      </c>
      <c r="T70" s="35" t="n">
        <f aca="false">100*SUM(L70,C70:H70)/O70/P70</f>
        <v>66.1303106610799</v>
      </c>
      <c r="U70" s="29" t="n">
        <f aca="false">O70/I70</f>
        <v>1816.36686351706</v>
      </c>
      <c r="V70" s="29" t="n">
        <f aca="false">M70/I70</f>
        <v>870.97562992126</v>
      </c>
      <c r="W70" s="147"/>
      <c r="X70" s="143" t="n">
        <f aca="false">'UT1 (1273)'!F106</f>
        <v>85005.68</v>
      </c>
      <c r="Y70" s="143" t="n">
        <f aca="false">'UT2 (12334)'!F46</f>
        <v>26085.05</v>
      </c>
      <c r="Z70" s="143"/>
      <c r="AA70" s="143"/>
      <c r="AB70" s="148"/>
      <c r="AC70" s="149" t="n">
        <f aca="false">AB70/P70</f>
        <v>0</v>
      </c>
      <c r="AD70" s="150"/>
      <c r="AE70" s="148" t="n">
        <f aca="false">1000*SUM(X70:AA70)/O70</f>
        <v>80.2637190252195</v>
      </c>
      <c r="AF70" s="151" t="n">
        <f aca="false">'UT1 (1273)'!G106</f>
        <v>12349</v>
      </c>
      <c r="AG70" s="143" t="n">
        <f aca="false">'UT2 (12334)'!G46</f>
        <v>2616</v>
      </c>
      <c r="AH70" s="143"/>
      <c r="AI70" s="143"/>
      <c r="AJ70" s="143"/>
      <c r="AK70" s="152"/>
      <c r="AL70" s="149" t="n">
        <f aca="false">AK70/P70</f>
        <v>0</v>
      </c>
      <c r="AM70" s="153"/>
      <c r="AN70" s="150" t="n">
        <f aca="false">AL70/SUM($AF$144:$AJ$144)</f>
        <v>0</v>
      </c>
      <c r="AO70" s="152"/>
      <c r="AP70" s="148" t="n">
        <f aca="false">1000*SUM(AF70:AJ70)/O70</f>
        <v>10.8123022975221</v>
      </c>
      <c r="AQ70" s="151" t="n">
        <f aca="false">'UT1 (1273)'!I106</f>
        <v>302492.61</v>
      </c>
      <c r="AR70" s="143" t="n">
        <f aca="false">'UT2 (12334)'!H46</f>
        <v>572032.44</v>
      </c>
      <c r="AS70" s="143"/>
      <c r="AT70" s="143"/>
      <c r="AU70" s="143"/>
      <c r="AV70" s="143" t="n">
        <f aca="false">'Osm.'!F46</f>
        <v>421616.16</v>
      </c>
      <c r="AW70" s="152"/>
      <c r="AX70" s="149" t="n">
        <f aca="false">AW70/P70</f>
        <v>0</v>
      </c>
      <c r="AY70" s="153"/>
      <c r="AZ70" s="152" t="n">
        <f aca="false">SUM(AQ70:AV70)/((1400+2000+2000)*24*30)</f>
        <v>0.333369652777778</v>
      </c>
      <c r="BA70" s="148"/>
      <c r="BB70" s="148"/>
      <c r="BC70" s="148"/>
      <c r="BD70" s="148"/>
      <c r="BE70" s="148" t="n">
        <f aca="false">1000*SUM(AQ70:AV70)/O70</f>
        <v>936.469801723762</v>
      </c>
      <c r="BF70" s="151"/>
      <c r="BG70" s="143"/>
      <c r="BH70" s="143"/>
      <c r="BI70" s="143"/>
      <c r="BJ70" s="143"/>
    </row>
    <row r="71" customFormat="false" ht="18.75" hidden="false" customHeight="true" outlineLevel="0" collapsed="false">
      <c r="A71" s="18" t="n">
        <v>2019</v>
      </c>
      <c r="B71" s="18" t="n">
        <v>9</v>
      </c>
      <c r="C71" s="24" t="n">
        <f aca="false">SUM('UT1 (1273)'!C107:E107)</f>
        <v>374481.53</v>
      </c>
      <c r="D71" s="24" t="n">
        <f aca="false">SUM('UT2 (12334)'!C47:E47)</f>
        <v>334394.86</v>
      </c>
      <c r="E71" s="24" t="n">
        <f aca="false">SUM('UT3 (1279)'!C47:E47)</f>
        <v>315252.32</v>
      </c>
      <c r="F71" s="24" t="n">
        <f aca="false">SUM('Osm.'!C47:E47)</f>
        <v>218598.79</v>
      </c>
      <c r="G71" s="24" t="n">
        <f aca="false">SUM('UT4 (1271)'!C3:E3)</f>
        <v>349.69</v>
      </c>
      <c r="H71" s="24"/>
      <c r="I71" s="142" t="n">
        <v>775</v>
      </c>
      <c r="J71" s="143"/>
      <c r="K71" s="144" t="n">
        <f aca="false">(37+36)/775</f>
        <v>0.0941935483870968</v>
      </c>
      <c r="L71" s="25" t="n">
        <v>3989560</v>
      </c>
      <c r="M71" s="63" t="n">
        <v>692290.6</v>
      </c>
      <c r="N71" s="29" t="n">
        <v>1006371.12</v>
      </c>
      <c r="O71" s="29" t="n">
        <v>1489008.36</v>
      </c>
      <c r="P71" s="145" t="n">
        <f aca="false">'$'!C94</f>
        <v>5.719617</v>
      </c>
      <c r="Q71" s="35" t="n">
        <f aca="false">100*(SUM(C71:H71)/P71)/M71</f>
        <v>31.3937152170631</v>
      </c>
      <c r="R71" s="35" t="n">
        <f aca="false">100*(L71/P71)/M71</f>
        <v>100.75569843043</v>
      </c>
      <c r="S71" s="146" t="n">
        <f aca="false">SUM(Q71:R71)</f>
        <v>132.149413647493</v>
      </c>
      <c r="T71" s="35" t="n">
        <f aca="false">100*SUM(L71,C71:H71)/O71/P71</f>
        <v>61.4407543445029</v>
      </c>
      <c r="U71" s="29" t="n">
        <f aca="false">O71/I71</f>
        <v>1921.30110967742</v>
      </c>
      <c r="V71" s="29" t="n">
        <f aca="false">M71/I71</f>
        <v>893.278193548387</v>
      </c>
      <c r="W71" s="147"/>
      <c r="X71" s="143" t="n">
        <f aca="false">'UT1 (1273)'!F107</f>
        <v>104743.69</v>
      </c>
      <c r="Y71" s="143" t="n">
        <f aca="false">'UT2 (12334)'!F47</f>
        <v>28656.3</v>
      </c>
      <c r="Z71" s="143"/>
      <c r="AA71" s="143"/>
      <c r="AB71" s="148" t="n">
        <f aca="false">'UT1 (1273)'!C107+'UT2 (12334)'!C47+'UT3 (1279)'!C47+'UT4 (1271)'!C3</f>
        <v>261799.39</v>
      </c>
      <c r="AC71" s="149" t="n">
        <f aca="false">AB71/P71</f>
        <v>45772.1889420218</v>
      </c>
      <c r="AD71" s="150" t="n">
        <f aca="false">AB71/SUM(X71:AA71)</f>
        <v>1.96251431503106</v>
      </c>
      <c r="AE71" s="148" t="n">
        <f aca="false">1000*SUM(X71:AA71)/O71</f>
        <v>89.5898193613903</v>
      </c>
      <c r="AF71" s="151" t="n">
        <f aca="false">'UT1 (1273)'!G107</f>
        <v>12507</v>
      </c>
      <c r="AG71" s="143" t="n">
        <f aca="false">'UT2 (12334)'!G47</f>
        <v>2647</v>
      </c>
      <c r="AH71" s="143"/>
      <c r="AI71" s="143"/>
      <c r="AJ71" s="143"/>
      <c r="AK71" s="152"/>
      <c r="AL71" s="149" t="n">
        <f aca="false">AK71/P71</f>
        <v>0</v>
      </c>
      <c r="AM71" s="153"/>
      <c r="AN71" s="150" t="n">
        <f aca="false">AL71/SUM($AF$144:$AJ$144)</f>
        <v>0</v>
      </c>
      <c r="AO71" s="152"/>
      <c r="AP71" s="148" t="n">
        <f aca="false">1000*SUM(AF71:AJ71)/O71</f>
        <v>10.1772430612814</v>
      </c>
      <c r="AQ71" s="151" t="n">
        <f aca="false">'UT1 (1273)'!I107</f>
        <v>328213.62</v>
      </c>
      <c r="AR71" s="143" t="n">
        <f aca="false">'UT2 (12334)'!H47</f>
        <v>603351</v>
      </c>
      <c r="AS71" s="143"/>
      <c r="AT71" s="143"/>
      <c r="AU71" s="143"/>
      <c r="AV71" s="143" t="n">
        <f aca="false">'Osm.'!F47</f>
        <v>448549.92</v>
      </c>
      <c r="AW71" s="152"/>
      <c r="AX71" s="149" t="n">
        <f aca="false">AW71/P71</f>
        <v>0</v>
      </c>
      <c r="AY71" s="153"/>
      <c r="AZ71" s="152" t="n">
        <f aca="false">SUM(AQ71:AV71)/((1400+2000+2000)*24*30)</f>
        <v>0.354967731481481</v>
      </c>
      <c r="BA71" s="148"/>
      <c r="BB71" s="148"/>
      <c r="BC71" s="148"/>
      <c r="BD71" s="148"/>
      <c r="BE71" s="148" t="n">
        <f aca="false">1000*SUM(AQ71:AV71)/O71</f>
        <v>926.868227925866</v>
      </c>
      <c r="BF71" s="151"/>
      <c r="BG71" s="143"/>
      <c r="BH71" s="143"/>
      <c r="BI71" s="143"/>
      <c r="BJ71" s="143"/>
    </row>
    <row r="72" customFormat="false" ht="18.75" hidden="false" customHeight="true" outlineLevel="0" collapsed="false">
      <c r="A72" s="18" t="n">
        <v>2019</v>
      </c>
      <c r="B72" s="18" t="n">
        <v>10</v>
      </c>
      <c r="C72" s="24" t="n">
        <f aca="false">SUM('UT1 (1273)'!C108:E108)</f>
        <v>408576</v>
      </c>
      <c r="D72" s="24" t="n">
        <f aca="false">SUM('UT2 (12334)'!C48:E48)</f>
        <v>358453.71</v>
      </c>
      <c r="E72" s="24" t="n">
        <f aca="false">SUM('UT3 (1279)'!C48:E48)</f>
        <v>364803.4</v>
      </c>
      <c r="F72" s="24" t="n">
        <f aca="false">SUM('Osm.'!C48:E48)</f>
        <v>228095.22</v>
      </c>
      <c r="G72" s="24" t="n">
        <f aca="false">SUM('UT4 (1271)'!C4:E4)</f>
        <v>349.69</v>
      </c>
      <c r="H72" s="24"/>
      <c r="I72" s="142" t="n">
        <v>786</v>
      </c>
      <c r="J72" s="143"/>
      <c r="K72" s="144" t="n">
        <f aca="false">(47+15)/786</f>
        <v>0.0788804071246819</v>
      </c>
      <c r="L72" s="25" t="n">
        <v>4094628</v>
      </c>
      <c r="M72" s="63" t="n">
        <v>934006.63</v>
      </c>
      <c r="N72" s="29" t="n">
        <v>1327050.66</v>
      </c>
      <c r="O72" s="29" t="n">
        <v>1814347.51</v>
      </c>
      <c r="P72" s="145" t="n">
        <f aca="false">'$'!C95</f>
        <v>5.792574</v>
      </c>
      <c r="Q72" s="35" t="n">
        <f aca="false">100*(SUM(C72:H72)/P72)/M72</f>
        <v>25.1423652333494</v>
      </c>
      <c r="R72" s="35" t="n">
        <f aca="false">100*(L72/P72)/M72</f>
        <v>75.6820526076712</v>
      </c>
      <c r="S72" s="146" t="n">
        <f aca="false">SUM(Q72:R72)</f>
        <v>100.824417841021</v>
      </c>
      <c r="T72" s="35" t="n">
        <f aca="false">100*SUM(L72,C72:H72)/O72/P72</f>
        <v>51.9033284474833</v>
      </c>
      <c r="U72" s="29" t="n">
        <f aca="false">O72/I72</f>
        <v>2308.3301653944</v>
      </c>
      <c r="V72" s="29" t="n">
        <f aca="false">M72/I72</f>
        <v>1188.30360050891</v>
      </c>
      <c r="W72" s="147"/>
      <c r="X72" s="143" t="n">
        <f aca="false">'UT1 (1273)'!F108</f>
        <v>117246.24</v>
      </c>
      <c r="Y72" s="143" t="n">
        <f aca="false">'UT2 (12334)'!F48</f>
        <v>29421.34</v>
      </c>
      <c r="Z72" s="143"/>
      <c r="AA72" s="143"/>
      <c r="AB72" s="148" t="n">
        <f aca="false">'UT1 (1273)'!C108+'UT2 (12334)'!C48+'UT3 (1279)'!C48+'UT4 (1271)'!C4</f>
        <v>287236.75</v>
      </c>
      <c r="AC72" s="149" t="n">
        <f aca="false">AB72/P72</f>
        <v>49587.0661298414</v>
      </c>
      <c r="AD72" s="150" t="n">
        <f aca="false">AB72/SUM(X72:AA72)</f>
        <v>1.95842019074699</v>
      </c>
      <c r="AE72" s="148" t="n">
        <f aca="false">1000*SUM(X72:AA72)/O72</f>
        <v>80.8376450440853</v>
      </c>
      <c r="AF72" s="151" t="n">
        <f aca="false">'UT1 (1273)'!G108</f>
        <v>12787</v>
      </c>
      <c r="AG72" s="143" t="n">
        <f aca="false">'UT2 (12334)'!G48</f>
        <v>3130</v>
      </c>
      <c r="AH72" s="143"/>
      <c r="AI72" s="143"/>
      <c r="AJ72" s="143"/>
      <c r="AK72" s="152"/>
      <c r="AL72" s="149" t="n">
        <f aca="false">AK72/P72</f>
        <v>0</v>
      </c>
      <c r="AM72" s="153"/>
      <c r="AN72" s="150" t="n">
        <f aca="false">AL72/SUM($AF$144:$AJ$144)</f>
        <v>0</v>
      </c>
      <c r="AO72" s="152"/>
      <c r="AP72" s="148" t="n">
        <f aca="false">1000*SUM(AF72:AJ72)/O72</f>
        <v>8.77285079747485</v>
      </c>
      <c r="AQ72" s="151" t="n">
        <f aca="false">'UT1 (1273)'!I108</f>
        <v>345163.14</v>
      </c>
      <c r="AR72" s="143" t="n">
        <f aca="false">'UT2 (12334)'!H48</f>
        <v>644341.32</v>
      </c>
      <c r="AS72" s="143"/>
      <c r="AT72" s="143"/>
      <c r="AU72" s="143"/>
      <c r="AV72" s="143" t="n">
        <f aca="false">'Osm.'!F48</f>
        <v>477237.6</v>
      </c>
      <c r="AW72" s="152"/>
      <c r="AX72" s="149" t="n">
        <f aca="false">AW72/P72</f>
        <v>0</v>
      </c>
      <c r="AY72" s="153"/>
      <c r="AZ72" s="152" t="n">
        <f aca="false">SUM(AQ72:AV72)/((1400+2000+2000)*24*30)</f>
        <v>0.377248472222222</v>
      </c>
      <c r="BA72" s="148"/>
      <c r="BB72" s="148"/>
      <c r="BC72" s="148"/>
      <c r="BD72" s="148"/>
      <c r="BE72" s="148" t="n">
        <f aca="false">1000*SUM(AQ72:AV72)/O72</f>
        <v>808.412970456801</v>
      </c>
      <c r="BF72" s="151"/>
      <c r="BG72" s="143"/>
      <c r="BH72" s="143"/>
      <c r="BI72" s="143"/>
      <c r="BJ72" s="143"/>
    </row>
    <row r="73" customFormat="false" ht="18.75" hidden="false" customHeight="true" outlineLevel="0" collapsed="false">
      <c r="A73" s="18" t="n">
        <v>2019</v>
      </c>
      <c r="B73" s="18" t="n">
        <v>11</v>
      </c>
      <c r="C73" s="24" t="n">
        <f aca="false">SUM('UT1 (1273)'!C109:E109)</f>
        <v>418550.92</v>
      </c>
      <c r="D73" s="24" t="n">
        <f aca="false">SUM('UT2 (12334)'!C49:E49)</f>
        <v>393618.18</v>
      </c>
      <c r="E73" s="24" t="n">
        <f aca="false">SUM('UT3 (1279)'!C49:E49)</f>
        <v>381416.63</v>
      </c>
      <c r="F73" s="24" t="n">
        <f aca="false">SUM('Osm.'!C49:E49)</f>
        <v>253421.05</v>
      </c>
      <c r="G73" s="24" t="n">
        <f aca="false">SUM('UT4 (1271)'!C5:E5)</f>
        <v>349.69</v>
      </c>
      <c r="H73" s="24"/>
      <c r="I73" s="154" t="n">
        <v>814</v>
      </c>
      <c r="J73" s="143"/>
      <c r="K73" s="144" t="n">
        <f aca="false">(53+25)/814</f>
        <v>0.0958230958230958</v>
      </c>
      <c r="L73" s="25" t="n">
        <v>4095521</v>
      </c>
      <c r="M73" s="155" t="n">
        <v>1001052.17</v>
      </c>
      <c r="N73" s="29" t="n">
        <v>1417111.82</v>
      </c>
      <c r="O73" s="156" t="n">
        <v>1990349.46</v>
      </c>
      <c r="P73" s="145" t="n">
        <f aca="false">'$'!C96</f>
        <v>5.740255</v>
      </c>
      <c r="Q73" s="35" t="n">
        <f aca="false">100*(SUM(C73:H73)/P73)/M73</f>
        <v>25.1876476841491</v>
      </c>
      <c r="R73" s="35" t="n">
        <f aca="false">100*(L73/P73)/M73</f>
        <v>71.2723797966883</v>
      </c>
      <c r="S73" s="146" t="n">
        <f aca="false">SUM(Q73:R73)</f>
        <v>96.4600274808374</v>
      </c>
      <c r="T73" s="35" t="n">
        <f aca="false">100*SUM(L73,C73:H73)/O73/P73</f>
        <v>48.5148571989724</v>
      </c>
      <c r="U73" s="29" t="n">
        <f aca="false">O73/I73</f>
        <v>2445.14675675676</v>
      </c>
      <c r="V73" s="29" t="n">
        <f aca="false">M73/I73</f>
        <v>1229.79382063882</v>
      </c>
      <c r="W73" s="147"/>
      <c r="X73" s="143" t="n">
        <f aca="false">'UT1 (1273)'!F109</f>
        <v>122085.74</v>
      </c>
      <c r="Y73" s="143" t="n">
        <f aca="false">'UT2 (12334)'!F49</f>
        <v>25380.81</v>
      </c>
      <c r="Z73" s="143"/>
      <c r="AA73" s="143"/>
      <c r="AB73" s="148" t="n">
        <f aca="false">'UT1 (1273)'!C109+'UT2 (12334)'!C49+'UT3 (1279)'!C49+'UT4 (1271)'!C5</f>
        <v>288821.81</v>
      </c>
      <c r="AC73" s="149" t="n">
        <f aca="false">AB73/P73</f>
        <v>50315.1532466763</v>
      </c>
      <c r="AD73" s="150" t="n">
        <f aca="false">AB73/SUM(X73:AA73)</f>
        <v>1.95855812724987</v>
      </c>
      <c r="AE73" s="148" t="n">
        <f aca="false">1000*SUM(X73:AA73)/O73</f>
        <v>74.0907830326439</v>
      </c>
      <c r="AF73" s="151" t="n">
        <f aca="false">'UT1 (1273)'!G109</f>
        <v>12366</v>
      </c>
      <c r="AG73" s="143" t="n">
        <f aca="false">'UT2 (12334)'!G49</f>
        <v>3228</v>
      </c>
      <c r="AH73" s="143"/>
      <c r="AI73" s="143"/>
      <c r="AJ73" s="143"/>
      <c r="AK73" s="152"/>
      <c r="AL73" s="149" t="n">
        <f aca="false">AK73/P73</f>
        <v>0</v>
      </c>
      <c r="AM73" s="153"/>
      <c r="AN73" s="150" t="n">
        <f aca="false">AL73/SUM($AF$144:$AJ$144)</f>
        <v>0</v>
      </c>
      <c r="AO73" s="152"/>
      <c r="AP73" s="148" t="n">
        <f aca="false">1000*SUM(AF73:AJ73)/O73</f>
        <v>7.83480504976247</v>
      </c>
      <c r="AQ73" s="151" t="n">
        <f aca="false">'UT1 (1273)'!I109</f>
        <v>343154.07</v>
      </c>
      <c r="AR73" s="143" t="n">
        <f aca="false">'UT2 (12334)'!H49</f>
        <v>726813.36</v>
      </c>
      <c r="AS73" s="143"/>
      <c r="AT73" s="143"/>
      <c r="AU73" s="143"/>
      <c r="AV73" s="143" t="n">
        <f aca="false">'Osm.'!F49</f>
        <v>519074.64</v>
      </c>
      <c r="AW73" s="152"/>
      <c r="AX73" s="149" t="n">
        <f aca="false">AW73/P73</f>
        <v>0</v>
      </c>
      <c r="AY73" s="153"/>
      <c r="AZ73" s="152" t="n">
        <f aca="false">SUM(AQ73:AV73)/((1400+2000+2000)*24*30)</f>
        <v>0.408704236111111</v>
      </c>
      <c r="BA73" s="148"/>
      <c r="BB73" s="148"/>
      <c r="BC73" s="148"/>
      <c r="BD73" s="148"/>
      <c r="BE73" s="148" t="n">
        <f aca="false">1000*SUM(AQ73:AV73)/O73</f>
        <v>798.373402226562</v>
      </c>
      <c r="BF73" s="151"/>
      <c r="BG73" s="143"/>
      <c r="BH73" s="143"/>
      <c r="BI73" s="143"/>
      <c r="BJ73" s="143"/>
    </row>
    <row r="74" customFormat="false" ht="18.75" hidden="false" customHeight="true" outlineLevel="0" collapsed="false">
      <c r="A74" s="18" t="n">
        <v>2019</v>
      </c>
      <c r="B74" s="18" t="n">
        <v>12</v>
      </c>
      <c r="C74" s="24" t="n">
        <f aca="false">SUM('UT1 (1273)'!C110:E110)</f>
        <v>465598.64</v>
      </c>
      <c r="D74" s="24" t="n">
        <f aca="false">SUM('UT2 (12334)'!C50:E50)</f>
        <v>381431.23</v>
      </c>
      <c r="E74" s="24" t="n">
        <f aca="false">SUM('UT3 (1279)'!C50:E50)</f>
        <v>346061.13</v>
      </c>
      <c r="F74" s="24" t="n">
        <f aca="false">SUM('Osm.'!C50:E50)</f>
        <v>271475.07</v>
      </c>
      <c r="G74" s="24" t="n">
        <f aca="false">SUM('UT4 (1271)'!C6:E6)</f>
        <v>356.84</v>
      </c>
      <c r="H74" s="24"/>
      <c r="I74" s="142" t="n">
        <v>836</v>
      </c>
      <c r="J74" s="143"/>
      <c r="K74" s="144" t="n">
        <f aca="false">(47+36)/836</f>
        <v>0.0992822966507177</v>
      </c>
      <c r="L74" s="25" t="n">
        <v>4190353</v>
      </c>
      <c r="M74" s="63" t="n">
        <v>924668.06</v>
      </c>
      <c r="N74" s="29" t="n">
        <v>1379128.25</v>
      </c>
      <c r="O74" s="29" t="n">
        <v>1983235.14</v>
      </c>
      <c r="P74" s="145" t="n">
        <f aca="false">'$'!C97</f>
        <v>5.853509</v>
      </c>
      <c r="Q74" s="35" t="n">
        <f aca="false">100*(SUM(C74:H74)/P74)/M74</f>
        <v>27.0652862169324</v>
      </c>
      <c r="R74" s="35" t="n">
        <f aca="false">100*(L74/P74)/M74</f>
        <v>77.41916145948</v>
      </c>
      <c r="S74" s="146" t="n">
        <f aca="false">SUM(Q74:R74)</f>
        <v>104.484447676412</v>
      </c>
      <c r="T74" s="35" t="n">
        <f aca="false">100*SUM(L74,C74:H74)/O74/P74</f>
        <v>48.7150664006083</v>
      </c>
      <c r="U74" s="29" t="n">
        <f aca="false">O74/I74</f>
        <v>2372.29083732057</v>
      </c>
      <c r="V74" s="29" t="n">
        <f aca="false">M74/I74</f>
        <v>1106.06227272727</v>
      </c>
      <c r="W74" s="147"/>
      <c r="X74" s="143" t="n">
        <f aca="false">'UT1 (1273)'!F110</f>
        <v>141097.81</v>
      </c>
      <c r="Y74" s="143" t="n">
        <f aca="false">'UT2 (12334)'!F50</f>
        <v>18632.85</v>
      </c>
      <c r="Z74" s="143"/>
      <c r="AA74" s="143"/>
      <c r="AB74" s="148" t="n">
        <f aca="false">'UT1 (1273)'!C110+'UT2 (12334)'!C50+'UT3 (1279)'!C50+'UT4 (1271)'!C6</f>
        <v>312904.04</v>
      </c>
      <c r="AC74" s="149" t="n">
        <f aca="false">AB74/P74</f>
        <v>53455.8057397708</v>
      </c>
      <c r="AD74" s="150" t="n">
        <f aca="false">AB74/SUM(X74:AA74)</f>
        <v>1.95894789391091</v>
      </c>
      <c r="AE74" s="148" t="n">
        <f aca="false">1000*SUM(X74:AA74)/O74</f>
        <v>80.5404547238912</v>
      </c>
      <c r="AF74" s="151" t="n">
        <f aca="false">'UT1 (1273)'!G110</f>
        <v>14293</v>
      </c>
      <c r="AG74" s="143" t="n">
        <f aca="false">'UT2 (12334)'!G50</f>
        <v>3235</v>
      </c>
      <c r="AH74" s="143"/>
      <c r="AI74" s="143"/>
      <c r="AJ74" s="143"/>
      <c r="AK74" s="152"/>
      <c r="AL74" s="149" t="n">
        <f aca="false">AK74/P74</f>
        <v>0</v>
      </c>
      <c r="AM74" s="153"/>
      <c r="AN74" s="150" t="n">
        <f aca="false">AL74/SUM($AF$144:$AJ$144)</f>
        <v>0</v>
      </c>
      <c r="AO74" s="152"/>
      <c r="AP74" s="148" t="n">
        <f aca="false">1000*SUM(AF74:AJ74)/O74</f>
        <v>8.83808462570908</v>
      </c>
      <c r="AQ74" s="151" t="n">
        <f aca="false">'UT1 (1273)'!I110</f>
        <v>366601.41</v>
      </c>
      <c r="AR74" s="143" t="n">
        <f aca="false">'UT2 (12334)'!H50</f>
        <v>752749.2</v>
      </c>
      <c r="AS74" s="143" t="n">
        <f aca="false">'UT3 (1279)'!H50</f>
        <v>765802.8</v>
      </c>
      <c r="AT74" s="143"/>
      <c r="AU74" s="143"/>
      <c r="AV74" s="143" t="n">
        <f aca="false">'Osm.'!F50</f>
        <v>580834.8</v>
      </c>
      <c r="AW74" s="152"/>
      <c r="AX74" s="149" t="n">
        <f aca="false">AW74/P74</f>
        <v>0</v>
      </c>
      <c r="AY74" s="153"/>
      <c r="AZ74" s="152" t="n">
        <f aca="false">SUM(AQ74:AV74)/((1400+2000+1000+2000+2000)*24*30)</f>
        <v>0.407736145833333</v>
      </c>
      <c r="BA74" s="148"/>
      <c r="BB74" s="148"/>
      <c r="BC74" s="148"/>
      <c r="BD74" s="148"/>
      <c r="BE74" s="148" t="n">
        <f aca="false">1000*SUM(AQ74:AV74)/O74</f>
        <v>1243.41696063332</v>
      </c>
      <c r="BF74" s="151"/>
      <c r="BG74" s="143"/>
      <c r="BH74" s="143"/>
      <c r="BI74" s="143"/>
      <c r="BJ74" s="143"/>
    </row>
    <row r="75" customFormat="false" ht="18.75" hidden="false" customHeight="true" outlineLevel="0" collapsed="false">
      <c r="A75" s="18" t="n">
        <v>2020</v>
      </c>
      <c r="B75" s="18" t="n">
        <v>1</v>
      </c>
      <c r="C75" s="24" t="n">
        <f aca="false">SUM('UT1 (1273)'!C111:E111)</f>
        <v>508355.58</v>
      </c>
      <c r="D75" s="24" t="n">
        <f aca="false">SUM('UT2 (12334)'!C51:E51)</f>
        <v>395880</v>
      </c>
      <c r="E75" s="24" t="n">
        <f aca="false">SUM('UT3 (1279)'!C51:E51)</f>
        <v>369942.96</v>
      </c>
      <c r="F75" s="24" t="n">
        <f aca="false">SUM('Osm.'!C51:E51)</f>
        <v>277452.78</v>
      </c>
      <c r="G75" s="24" t="n">
        <f aca="false">SUM('UT4 (1271)'!C7:E7)</f>
        <v>572.17</v>
      </c>
      <c r="H75" s="24"/>
      <c r="I75" s="142" t="n">
        <v>842</v>
      </c>
      <c r="J75" s="143"/>
      <c r="K75" s="144" t="n">
        <f aca="false">(42+28)/842</f>
        <v>0.0831353919239905</v>
      </c>
      <c r="L75" s="25" t="n">
        <v>4552101</v>
      </c>
      <c r="M75" s="63" t="n">
        <v>915534.32</v>
      </c>
      <c r="N75" s="29" t="n">
        <v>1277105.85</v>
      </c>
      <c r="O75" s="29" t="n">
        <v>1845339.64</v>
      </c>
      <c r="P75" s="145" t="n">
        <f aca="false">'$'!C98</f>
        <v>5.924601</v>
      </c>
      <c r="Q75" s="35" t="n">
        <f aca="false">100*(SUM(C75:H75)/P75)/M75</f>
        <v>28.6163948109635</v>
      </c>
      <c r="R75" s="35" t="n">
        <f aca="false">100*(L75/P75)/M75</f>
        <v>83.9224497783998</v>
      </c>
      <c r="S75" s="146" t="n">
        <f aca="false">SUM(Q75:R75)</f>
        <v>112.538844589363</v>
      </c>
      <c r="T75" s="35" t="n">
        <f aca="false">100*SUM(L75,C75:H75)/O75/P75</f>
        <v>55.8342607080767</v>
      </c>
      <c r="U75" s="29" t="n">
        <f aca="false">O75/I75</f>
        <v>2191.61477434679</v>
      </c>
      <c r="V75" s="29" t="n">
        <f aca="false">M75/I75</f>
        <v>1087.3329216152</v>
      </c>
      <c r="W75" s="147"/>
      <c r="X75" s="143" t="n">
        <f aca="false">'UT1 (1273)'!F111</f>
        <v>147461.89</v>
      </c>
      <c r="Y75" s="143" t="n">
        <f aca="false">'UT2 (12334)'!F51</f>
        <v>23764.28</v>
      </c>
      <c r="Z75" s="143"/>
      <c r="AA75" s="143"/>
      <c r="AB75" s="148" t="n">
        <f aca="false">'UT1 (1273)'!C111+'UT2 (12334)'!C51+'UT3 (1279)'!C51+'UT4 (1271)'!C7</f>
        <v>335437.4</v>
      </c>
      <c r="AC75" s="149" t="n">
        <f aca="false">AB75/P75</f>
        <v>56617.7199105898</v>
      </c>
      <c r="AD75" s="150" t="n">
        <f aca="false">AB75/SUM(X75:AA75)</f>
        <v>1.95903114576469</v>
      </c>
      <c r="AE75" s="148" t="n">
        <f aca="false">1000*SUM(X75:AA75)/O75</f>
        <v>92.7884310771105</v>
      </c>
      <c r="AF75" s="151" t="n">
        <f aca="false">'UT1 (1273)'!G111</f>
        <v>20117</v>
      </c>
      <c r="AG75" s="143" t="n">
        <f aca="false">'UT2 (12334)'!G51</f>
        <v>3357</v>
      </c>
      <c r="AH75" s="143"/>
      <c r="AI75" s="143"/>
      <c r="AJ75" s="143"/>
      <c r="AK75" s="152"/>
      <c r="AL75" s="149" t="n">
        <f aca="false">AK75/P75</f>
        <v>0</v>
      </c>
      <c r="AM75" s="153"/>
      <c r="AN75" s="150" t="n">
        <f aca="false">AL75/SUM($AF$144:$AJ$144)</f>
        <v>0</v>
      </c>
      <c r="AO75" s="152"/>
      <c r="AP75" s="148" t="n">
        <f aca="false">1000*SUM(AF75:AJ75)/O75</f>
        <v>12.7206935195951</v>
      </c>
      <c r="AQ75" s="151" t="n">
        <f aca="false">'UT1 (1273)'!I111</f>
        <v>373715.37</v>
      </c>
      <c r="AR75" s="143" t="n">
        <f aca="false">'UT2 (12334)'!H51</f>
        <v>728912.52</v>
      </c>
      <c r="AS75" s="143" t="n">
        <f aca="false">'UT3 (1279)'!H51</f>
        <v>785358</v>
      </c>
      <c r="AT75" s="143"/>
      <c r="AU75" s="143"/>
      <c r="AV75" s="143" t="n">
        <f aca="false">'Osm.'!F51</f>
        <v>558603.36</v>
      </c>
      <c r="AW75" s="152"/>
      <c r="AX75" s="149" t="n">
        <f aca="false">AW75/P75</f>
        <v>0</v>
      </c>
      <c r="AY75" s="153"/>
      <c r="AZ75" s="152" t="n">
        <f aca="false">SUM(AQ75:AV75)/((1400+2000+1000+2000+2000)*24*30)</f>
        <v>0.404528645833333</v>
      </c>
      <c r="BA75" s="148"/>
      <c r="BB75" s="148"/>
      <c r="BC75" s="148"/>
      <c r="BD75" s="148"/>
      <c r="BE75" s="148" t="n">
        <f aca="false">1000*SUM(AQ75:AV75)/O75</f>
        <v>1325.82056818549</v>
      </c>
      <c r="BF75" s="151"/>
      <c r="BG75" s="143"/>
      <c r="BH75" s="143"/>
      <c r="BI75" s="143"/>
      <c r="BJ75" s="143"/>
    </row>
    <row r="76" customFormat="false" ht="18.75" hidden="false" customHeight="true" outlineLevel="0" collapsed="false">
      <c r="A76" s="18" t="n">
        <v>2020</v>
      </c>
      <c r="B76" s="18" t="n">
        <v>2</v>
      </c>
      <c r="C76" s="24" t="n">
        <f aca="false">SUM('UT1 (1273)'!C112:E112)</f>
        <v>458888.96</v>
      </c>
      <c r="D76" s="24" t="n">
        <f aca="false">SUM('UT2 (12334)'!C52:E52)</f>
        <v>352068.16</v>
      </c>
      <c r="E76" s="24" t="n">
        <f aca="false">SUM('UT3 (1279)'!C52:E52)</f>
        <v>325158.93</v>
      </c>
      <c r="F76" s="24" t="n">
        <f aca="false">SUM('Osm.'!C52:E52)</f>
        <v>375025.26</v>
      </c>
      <c r="G76" s="24" t="n">
        <f aca="false">SUM('UT4 (1271)'!C8:E8)</f>
        <v>574.2</v>
      </c>
      <c r="H76" s="24"/>
      <c r="I76" s="142" t="n">
        <v>854</v>
      </c>
      <c r="J76" s="143"/>
      <c r="K76" s="144" t="n">
        <f aca="false">(40+43)/I76</f>
        <v>0.0971896955503513</v>
      </c>
      <c r="L76" s="25" t="n">
        <v>4650225</v>
      </c>
      <c r="M76" s="63" t="n">
        <v>722618.23</v>
      </c>
      <c r="N76" s="29" t="n">
        <v>952745.66</v>
      </c>
      <c r="O76" s="29" t="n">
        <v>1431462.76</v>
      </c>
      <c r="P76" s="145" t="n">
        <f aca="false">'$'!C99</f>
        <v>6.057833</v>
      </c>
      <c r="Q76" s="35" t="n">
        <f aca="false">100*(SUM(C76:H76)/P76)/M76</f>
        <v>34.5337593735679</v>
      </c>
      <c r="R76" s="35" t="n">
        <f aca="false">100*(L76/P76)/M76</f>
        <v>106.230140605589</v>
      </c>
      <c r="S76" s="146" t="n">
        <f aca="false">SUM(Q76:R76)</f>
        <v>140.763899979157</v>
      </c>
      <c r="T76" s="35" t="n">
        <f aca="false">100*SUM(L76,C76:H76)/O76/P76</f>
        <v>71.059173240969</v>
      </c>
      <c r="U76" s="29" t="n">
        <f aca="false">O76/I76</f>
        <v>1676.18590163934</v>
      </c>
      <c r="V76" s="29" t="n">
        <f aca="false">M76/I76</f>
        <v>846.157177985949</v>
      </c>
      <c r="W76" s="147"/>
      <c r="X76" s="143" t="n">
        <f aca="false">'UT1 (1273)'!F112</f>
        <v>125988.19</v>
      </c>
      <c r="Y76" s="143" t="n">
        <f aca="false">'UT2 (12334)'!F52</f>
        <v>17964.31</v>
      </c>
      <c r="Z76" s="143"/>
      <c r="AA76" s="143"/>
      <c r="AB76" s="148" t="n">
        <f aca="false">'UT1 (1273)'!C112+'UT2 (12334)'!C52+'UT3 (1279)'!C52+'UT4 (1271)'!C8</f>
        <v>282028.42</v>
      </c>
      <c r="AC76" s="149" t="n">
        <f aca="false">AB76/P76</f>
        <v>46555.9912265657</v>
      </c>
      <c r="AD76" s="150" t="n">
        <f aca="false">AB76/SUM(X76:AA76)</f>
        <v>1.95917695073028</v>
      </c>
      <c r="AE76" s="148" t="n">
        <f aca="false">1000*SUM(X76:AA76)/O76</f>
        <v>100.563216887319</v>
      </c>
      <c r="AF76" s="151" t="n">
        <f aca="false">'UT1 (1273)'!G112</f>
        <v>21060</v>
      </c>
      <c r="AG76" s="143" t="n">
        <f aca="false">'UT2 (12334)'!G52</f>
        <v>3866</v>
      </c>
      <c r="AH76" s="143"/>
      <c r="AI76" s="143"/>
      <c r="AJ76" s="143"/>
      <c r="AK76" s="152"/>
      <c r="AL76" s="149" t="n">
        <f aca="false">AK76/P76</f>
        <v>0</v>
      </c>
      <c r="AM76" s="153"/>
      <c r="AN76" s="150" t="n">
        <f aca="false">AL76/SUM($AF$144:$AJ$144)</f>
        <v>0</v>
      </c>
      <c r="AO76" s="152"/>
      <c r="AP76" s="148" t="n">
        <f aca="false">1000*SUM(AF76:AJ76)/O76</f>
        <v>17.4129573583877</v>
      </c>
      <c r="AQ76" s="151" t="n">
        <f aca="false">'UT1 (1273)'!I112</f>
        <v>341870.76</v>
      </c>
      <c r="AR76" s="143" t="n">
        <f aca="false">'UT2 (12334)'!H52</f>
        <v>641050.2</v>
      </c>
      <c r="AS76" s="143" t="n">
        <f aca="false">'UT3 (1279)'!H52</f>
        <v>672184.8</v>
      </c>
      <c r="AT76" s="143"/>
      <c r="AU76" s="143"/>
      <c r="AV76" s="143" t="n">
        <f aca="false">'Osm.'!F52</f>
        <v>550635.12</v>
      </c>
      <c r="AW76" s="152"/>
      <c r="AX76" s="149" t="n">
        <f aca="false">AW76/P76</f>
        <v>0</v>
      </c>
      <c r="AY76" s="153"/>
      <c r="AZ76" s="152" t="n">
        <f aca="false">SUM(AQ76:AV76)/((1400+2000+1000+2000+2000)*24*30)</f>
        <v>0.364705833333333</v>
      </c>
      <c r="BA76" s="148"/>
      <c r="BB76" s="148"/>
      <c r="BC76" s="148"/>
      <c r="BD76" s="148"/>
      <c r="BE76" s="148" t="n">
        <f aca="false">1000*SUM(AQ76:AV76)/O76</f>
        <v>1540.89993930404</v>
      </c>
      <c r="BF76" s="151"/>
      <c r="BG76" s="143"/>
      <c r="BH76" s="143"/>
      <c r="BI76" s="143"/>
      <c r="BJ76" s="143"/>
    </row>
    <row r="77" customFormat="false" ht="18.75" hidden="false" customHeight="true" outlineLevel="0" collapsed="false">
      <c r="A77" s="18" t="n">
        <v>2020</v>
      </c>
      <c r="B77" s="18" t="n">
        <v>3</v>
      </c>
      <c r="C77" s="24" t="n">
        <f aca="false">SUM('UT1 (1273)'!C113:E113)</f>
        <v>434721.89</v>
      </c>
      <c r="D77" s="24" t="n">
        <f aca="false">SUM('UT2 (12334)'!C53:E53)</f>
        <v>314115.84</v>
      </c>
      <c r="E77" s="24" t="n">
        <f aca="false">SUM('UT3 (1279)'!C53:E53)</f>
        <v>331969.9</v>
      </c>
      <c r="F77" s="24" t="n">
        <f aca="false">SUM('Osm.'!C53:E53)</f>
        <v>272762.19</v>
      </c>
      <c r="G77" s="24" t="n">
        <f aca="false">SUM('UT4 (1271)'!C9:E9)</f>
        <v>427.41</v>
      </c>
      <c r="H77" s="24"/>
      <c r="I77" s="142" t="n">
        <v>866</v>
      </c>
      <c r="J77" s="143"/>
      <c r="K77" s="144" t="n">
        <f aca="false">(54+36)/I77</f>
        <v>0.103926096997691</v>
      </c>
      <c r="L77" s="25" t="n">
        <v>4628363</v>
      </c>
      <c r="M77" s="63" t="n">
        <v>577738.86</v>
      </c>
      <c r="N77" s="29" t="n">
        <v>960108.2</v>
      </c>
      <c r="O77" s="29" t="n">
        <v>1422230.83</v>
      </c>
      <c r="P77" s="145" t="n">
        <f aca="false">'$'!C100</f>
        <v>6.335075</v>
      </c>
      <c r="Q77" s="35" t="n">
        <f aca="false">100*(SUM(C77:H77)/P77)/M77</f>
        <v>36.9942677032585</v>
      </c>
      <c r="R77" s="35" t="n">
        <f aca="false">100*(L77/P77)/M77</f>
        <v>126.45734869772</v>
      </c>
      <c r="S77" s="146" t="n">
        <f aca="false">SUM(Q77:R77)</f>
        <v>163.451616400978</v>
      </c>
      <c r="T77" s="35" t="n">
        <f aca="false">100*SUM(L77,C77:H77)/O77/P77</f>
        <v>66.3973446030968</v>
      </c>
      <c r="U77" s="29" t="n">
        <f aca="false">O77/I77</f>
        <v>1642.29887990762</v>
      </c>
      <c r="V77" s="29" t="n">
        <f aca="false">M77/I77</f>
        <v>667.134942263279</v>
      </c>
      <c r="W77" s="147"/>
      <c r="X77" s="143" t="n">
        <f aca="false">'UT1 (1273)'!F113</f>
        <v>127633.87</v>
      </c>
      <c r="Y77" s="143" t="n">
        <f aca="false">'UT2 (12334)'!F53</f>
        <v>15687.88</v>
      </c>
      <c r="Z77" s="143"/>
      <c r="AA77" s="143"/>
      <c r="AB77" s="148" t="n">
        <f aca="false">'UT1 (1273)'!C113+'UT2 (12334)'!C53+'UT3 (1279)'!C53+'UT4 (1271)'!C9</f>
        <v>280831.65</v>
      </c>
      <c r="AC77" s="149" t="n">
        <f aca="false">AB77/P77</f>
        <v>44329.6488202587</v>
      </c>
      <c r="AD77" s="150" t="n">
        <f aca="false">AB77/SUM(X77:AA77)</f>
        <v>1.95944893221022</v>
      </c>
      <c r="AE77" s="148" t="n">
        <f aca="false">1000*SUM(X77:AA77)/O77</f>
        <v>100.772495558966</v>
      </c>
      <c r="AF77" s="151" t="n">
        <f aca="false">'UT1 (1273)'!G113</f>
        <v>16427</v>
      </c>
      <c r="AG77" s="143" t="n">
        <f aca="false">'UT2 (12334)'!G53</f>
        <v>3601</v>
      </c>
      <c r="AH77" s="143"/>
      <c r="AI77" s="143"/>
      <c r="AJ77" s="143"/>
      <c r="AK77" s="152"/>
      <c r="AL77" s="149" t="n">
        <f aca="false">AK77/P77</f>
        <v>0</v>
      </c>
      <c r="AM77" s="153"/>
      <c r="AN77" s="150" t="n">
        <f aca="false">AL77/SUM($AF$144:$AJ$144)</f>
        <v>0</v>
      </c>
      <c r="AO77" s="152"/>
      <c r="AP77" s="148" t="n">
        <f aca="false">1000*SUM(AF77:AJ77)/O77</f>
        <v>14.0821022702763</v>
      </c>
      <c r="AQ77" s="151" t="n">
        <f aca="false">'UT1 (1273)'!I113</f>
        <v>333484.83</v>
      </c>
      <c r="AR77" s="143" t="n">
        <f aca="false">'UT2 (12334)'!H53</f>
        <v>604933.56</v>
      </c>
      <c r="AS77" s="143" t="n">
        <f aca="false">'UT3 (1279)'!H53</f>
        <v>735177.24</v>
      </c>
      <c r="AT77" s="143"/>
      <c r="AU77" s="143"/>
      <c r="AV77" s="143" t="n">
        <f aca="false">'Osm.'!F53</f>
        <v>587956.32</v>
      </c>
      <c r="AW77" s="152"/>
      <c r="AX77" s="149" t="n">
        <f aca="false">AW77/P77</f>
        <v>0</v>
      </c>
      <c r="AY77" s="153"/>
      <c r="AZ77" s="152" t="n">
        <f aca="false">SUM(AQ77:AV77)/((1400+2000+1000+2000+2000)*24*30)</f>
        <v>0.373933854166667</v>
      </c>
      <c r="BA77" s="148"/>
      <c r="BB77" s="148"/>
      <c r="BC77" s="148"/>
      <c r="BD77" s="148"/>
      <c r="BE77" s="148" t="n">
        <f aca="false">1000*SUM(AQ77:AV77)/O77</f>
        <v>1590.1440907451</v>
      </c>
      <c r="BF77" s="151"/>
      <c r="BG77" s="143"/>
      <c r="BH77" s="143"/>
      <c r="BI77" s="143"/>
      <c r="BJ77" s="143"/>
    </row>
    <row r="78" customFormat="false" ht="18.75" hidden="false" customHeight="true" outlineLevel="0" collapsed="false">
      <c r="A78" s="18" t="n">
        <v>2020</v>
      </c>
      <c r="B78" s="18" t="n">
        <v>4</v>
      </c>
      <c r="C78" s="24" t="n">
        <f aca="false">SUM('UT1 (1273)'!C114:E114)</f>
        <v>314126.56</v>
      </c>
      <c r="D78" s="24" t="n">
        <f aca="false">SUM('UT2 (12334)'!C54:E54)</f>
        <v>246682.83</v>
      </c>
      <c r="E78" s="24" t="n">
        <f aca="false">SUM('UT3 (1279)'!C54:E54)</f>
        <v>277854.16</v>
      </c>
      <c r="F78" s="24" t="n">
        <f aca="false">SUM('Osm.'!C54:E54)</f>
        <v>256539.06</v>
      </c>
      <c r="G78" s="24" t="n">
        <f aca="false">SUM('UT4 (1271)'!C10:E10)</f>
        <v>427.41</v>
      </c>
      <c r="H78" s="24"/>
      <c r="I78" s="142" t="n">
        <v>835</v>
      </c>
      <c r="J78" s="143"/>
      <c r="K78" s="144" t="n">
        <f aca="false">(4+10)/I78</f>
        <v>0.0167664670658683</v>
      </c>
      <c r="L78" s="25" t="n">
        <v>3385223</v>
      </c>
      <c r="M78" s="63" t="n">
        <v>231594.86</v>
      </c>
      <c r="N78" s="29" t="n">
        <v>521250.32</v>
      </c>
      <c r="O78" s="29" t="n">
        <v>862335.59</v>
      </c>
      <c r="P78" s="145" t="n">
        <f aca="false">'$'!C101</f>
        <v>6.839434</v>
      </c>
      <c r="Q78" s="35" t="n">
        <f aca="false">100*(SUM(C78:H78)/P78)/M78</f>
        <v>69.169533049575</v>
      </c>
      <c r="R78" s="35" t="n">
        <f aca="false">100*(L78/P78)/M78</f>
        <v>213.716573938601</v>
      </c>
      <c r="S78" s="146" t="n">
        <f aca="false">SUM(Q78:R78)</f>
        <v>282.886106988176</v>
      </c>
      <c r="T78" s="35" t="n">
        <f aca="false">100*SUM(L78,C78:H78)/O78/P78</f>
        <v>75.9738657474078</v>
      </c>
      <c r="U78" s="29" t="n">
        <f aca="false">O78/I78</f>
        <v>1032.73723353293</v>
      </c>
      <c r="V78" s="29" t="n">
        <f aca="false">M78/I78</f>
        <v>277.359113772455</v>
      </c>
      <c r="W78" s="147"/>
      <c r="X78" s="143" t="n">
        <f aca="false">'UT1 (1273)'!F114</f>
        <v>76587.64</v>
      </c>
      <c r="Y78" s="143" t="n">
        <f aca="false">'UT2 (12334)'!F54</f>
        <v>7132.5</v>
      </c>
      <c r="Z78" s="143" t="n">
        <f aca="false">'UT3 (1279)'!F54</f>
        <v>5157.83</v>
      </c>
      <c r="AA78" s="143"/>
      <c r="AB78" s="148" t="n">
        <f aca="false">'UT1 (1273)'!C114+'UT2 (12334)'!C54+'UT3 (1279)'!C54+'UT4 (1271)'!C10</f>
        <v>174788.45</v>
      </c>
      <c r="AC78" s="149" t="n">
        <f aca="false">AB78/P78</f>
        <v>25555.9816791857</v>
      </c>
      <c r="AD78" s="150" t="n">
        <f aca="false">AB78/SUM(X78:AA78)</f>
        <v>1.96661163615686</v>
      </c>
      <c r="AE78" s="148" t="n">
        <f aca="false">1000*SUM(X78:AA78)/O78</f>
        <v>103.066568318258</v>
      </c>
      <c r="AF78" s="151" t="n">
        <f aca="false">'UT1 (1273)'!G114</f>
        <v>13110</v>
      </c>
      <c r="AG78" s="143" t="n">
        <f aca="false">'UT2 (12334)'!G54</f>
        <v>3062</v>
      </c>
      <c r="AH78" s="143"/>
      <c r="AI78" s="143"/>
      <c r="AJ78" s="143"/>
      <c r="AK78" s="152"/>
      <c r="AL78" s="149" t="n">
        <f aca="false">AK78/P78</f>
        <v>0</v>
      </c>
      <c r="AM78" s="153"/>
      <c r="AN78" s="150" t="n">
        <f aca="false">AL78/SUM($AF$144:$AJ$144)</f>
        <v>0</v>
      </c>
      <c r="AO78" s="152"/>
      <c r="AP78" s="148" t="n">
        <f aca="false">1000*SUM(AF78:AJ78)/O78</f>
        <v>18.7537197670341</v>
      </c>
      <c r="AQ78" s="151" t="n">
        <f aca="false">'UT1 (1273)'!I114</f>
        <v>224048.16</v>
      </c>
      <c r="AR78" s="143" t="n">
        <f aca="false">'UT2 (12334)'!H54</f>
        <v>362895.12</v>
      </c>
      <c r="AS78" s="143" t="n">
        <f aca="false">'UT3 (1279)'!H54</f>
        <v>439178.04</v>
      </c>
      <c r="AT78" s="143"/>
      <c r="AU78" s="143"/>
      <c r="AV78" s="143" t="n">
        <f aca="false">'Osm.'!F54</f>
        <v>409963.68</v>
      </c>
      <c r="AW78" s="152"/>
      <c r="AX78" s="149" t="n">
        <f aca="false">AW78/P78</f>
        <v>0</v>
      </c>
      <c r="AY78" s="153"/>
      <c r="AZ78" s="152" t="n">
        <f aca="false">SUM(AQ78:AV78)/((1400+2000+1000+2000+2000)*24*30)</f>
        <v>0.237447916666667</v>
      </c>
      <c r="BA78" s="148"/>
      <c r="BB78" s="148"/>
      <c r="BC78" s="148"/>
      <c r="BD78" s="148"/>
      <c r="BE78" s="148" t="n">
        <f aca="false">1000*SUM(AQ78:AV78)/O78</f>
        <v>1665.34353522391</v>
      </c>
      <c r="BF78" s="151"/>
      <c r="BG78" s="143"/>
      <c r="BH78" s="143"/>
      <c r="BI78" s="143"/>
      <c r="BJ78" s="143"/>
    </row>
    <row r="79" customFormat="false" ht="18.75" hidden="false" customHeight="true" outlineLevel="0" collapsed="false">
      <c r="A79" s="18" t="n">
        <v>2020</v>
      </c>
      <c r="B79" s="18" t="n">
        <v>5</v>
      </c>
      <c r="C79" s="24" t="n">
        <f aca="false">SUM('UT1 (1273)'!C115:E115)</f>
        <v>314820.14</v>
      </c>
      <c r="D79" s="24" t="n">
        <f aca="false">SUM('UT2 (12334)'!C55:E55)</f>
        <v>232983.28</v>
      </c>
      <c r="E79" s="24" t="n">
        <f aca="false">SUM('UT3 (1279)'!C55:E55)</f>
        <v>245648.9</v>
      </c>
      <c r="F79" s="24" t="n">
        <f aca="false">SUM('Osm.'!C55:E55)</f>
        <v>177698.89</v>
      </c>
      <c r="G79" s="24" t="n">
        <f aca="false">SUM('UT4 (1271)'!C11:E11)</f>
        <v>427.41</v>
      </c>
      <c r="H79" s="24"/>
      <c r="I79" s="142" t="n">
        <v>824</v>
      </c>
      <c r="J79" s="143"/>
      <c r="K79" s="144" t="n">
        <f aca="false">(0+7)/I79</f>
        <v>0.00849514563106796</v>
      </c>
      <c r="L79" s="25" t="n">
        <v>3343095</v>
      </c>
      <c r="M79" s="63" t="n">
        <v>309440.38</v>
      </c>
      <c r="N79" s="29" t="n">
        <v>531454.23</v>
      </c>
      <c r="O79" s="29" t="n">
        <v>902791.47</v>
      </c>
      <c r="P79" s="145" t="n">
        <f aca="false">'$'!C102</f>
        <v>6.931656</v>
      </c>
      <c r="Q79" s="35" t="n">
        <f aca="false">100*(SUM(C79:H79)/P79)/M79</f>
        <v>45.2964286643943</v>
      </c>
      <c r="R79" s="35" t="n">
        <f aca="false">100*(L79/P79)/M79</f>
        <v>155.860021071474</v>
      </c>
      <c r="S79" s="146" t="n">
        <f aca="false">SUM(Q79:R79)</f>
        <v>201.156449735868</v>
      </c>
      <c r="T79" s="35" t="n">
        <f aca="false">100*SUM(L79,C79:H79)/O79/P79</f>
        <v>68.948290180143</v>
      </c>
      <c r="U79" s="29" t="n">
        <f aca="false">O79/I79</f>
        <v>1095.62071601942</v>
      </c>
      <c r="V79" s="29" t="n">
        <f aca="false">M79/I79</f>
        <v>375.534441747573</v>
      </c>
      <c r="W79" s="147"/>
      <c r="X79" s="143" t="n">
        <f aca="false">'UT1 (1273)'!F115</f>
        <v>76466.91</v>
      </c>
      <c r="Y79" s="143" t="n">
        <f aca="false">'UT2 (12334)'!F55</f>
        <v>5275.35</v>
      </c>
      <c r="Z79" s="143" t="n">
        <f aca="false">'UT3 (1279)'!F55</f>
        <v>12334.83</v>
      </c>
      <c r="AA79" s="143"/>
      <c r="AB79" s="148" t="n">
        <f aca="false">'UT1 (1273)'!C115+'UT2 (12334)'!C55+'UT3 (1279)'!C55+'UT4 (1271)'!C11</f>
        <v>185605.67</v>
      </c>
      <c r="AC79" s="149" t="n">
        <f aca="false">AB79/P79</f>
        <v>26776.5264173525</v>
      </c>
      <c r="AD79" s="150" t="n">
        <f aca="false">AB79/SUM(X79:AA79)</f>
        <v>1.97291040783681</v>
      </c>
      <c r="AE79" s="148" t="n">
        <f aca="false">1000*SUM(X79:AA79)/O79</f>
        <v>104.206888441248</v>
      </c>
      <c r="AF79" s="151" t="n">
        <f aca="false">'UT1 (1273)'!G115</f>
        <v>11694</v>
      </c>
      <c r="AG79" s="143" t="n">
        <f aca="false">'UT2 (12334)'!G55</f>
        <v>2421</v>
      </c>
      <c r="AH79" s="143"/>
      <c r="AI79" s="143"/>
      <c r="AJ79" s="143"/>
      <c r="AK79" s="152"/>
      <c r="AL79" s="149" t="n">
        <f aca="false">AK79/P79</f>
        <v>0</v>
      </c>
      <c r="AM79" s="153"/>
      <c r="AN79" s="150" t="n">
        <f aca="false">AL79/SUM($AF$144:$AJ$144)</f>
        <v>0</v>
      </c>
      <c r="AO79" s="152"/>
      <c r="AP79" s="148" t="n">
        <f aca="false">1000*SUM(AF79:AJ79)/O79</f>
        <v>15.6348397930698</v>
      </c>
      <c r="AQ79" s="151" t="n">
        <f aca="false">'UT1 (1273)'!I115</f>
        <v>246716.82</v>
      </c>
      <c r="AR79" s="143" t="n">
        <f aca="false">'UT2 (12334)'!H55</f>
        <v>380313.36</v>
      </c>
      <c r="AS79" s="143" t="n">
        <f aca="false">'UT3 (1279)'!H55</f>
        <v>384441.12</v>
      </c>
      <c r="AT79" s="143"/>
      <c r="AU79" s="143"/>
      <c r="AV79" s="143" t="n">
        <f aca="false">'Osm.'!F55</f>
        <v>298645.2</v>
      </c>
      <c r="AW79" s="152"/>
      <c r="AX79" s="149" t="n">
        <f aca="false">AW79/P79</f>
        <v>0</v>
      </c>
      <c r="AY79" s="153"/>
      <c r="AZ79" s="152" t="n">
        <f aca="false">SUM(AQ79:AV79)/((1400+2000+1000+2000+2000)*24*30)</f>
        <v>0.216619791666667</v>
      </c>
      <c r="BA79" s="148"/>
      <c r="BB79" s="148"/>
      <c r="BC79" s="148"/>
      <c r="BD79" s="148"/>
      <c r="BE79" s="148" t="n">
        <f aca="false">1000*SUM(AQ79:AV79)/O79</f>
        <v>1451.18395945854</v>
      </c>
      <c r="BF79" s="151"/>
      <c r="BG79" s="143"/>
      <c r="BH79" s="143"/>
      <c r="BI79" s="143"/>
      <c r="BJ79" s="143"/>
    </row>
    <row r="80" customFormat="false" ht="18.75" hidden="false" customHeight="true" outlineLevel="0" collapsed="false">
      <c r="A80" s="18" t="n">
        <v>2020</v>
      </c>
      <c r="B80" s="18" t="n">
        <v>6</v>
      </c>
      <c r="C80" s="24" t="n">
        <f aca="false">SUM('UT1 (1273)'!C116:E116)</f>
        <v>431672.76</v>
      </c>
      <c r="D80" s="24" t="n">
        <f aca="false">SUM('UT2 (12334)'!C56:E56)</f>
        <v>300849.69</v>
      </c>
      <c r="E80" s="24" t="n">
        <f aca="false">SUM('UT3 (1279)'!C56:E56)</f>
        <v>454888.01</v>
      </c>
      <c r="F80" s="24" t="n">
        <f aca="false">SUM('Osm.'!C56:E56)</f>
        <v>291126.48</v>
      </c>
      <c r="G80" s="24" t="n">
        <f aca="false">SUM('UT4 (1271)'!C12:E12)</f>
        <v>574.19</v>
      </c>
      <c r="H80" s="24"/>
      <c r="I80" s="142" t="n">
        <v>818</v>
      </c>
      <c r="J80" s="143"/>
      <c r="K80" s="144" t="n">
        <f aca="false">(0+32)/I80</f>
        <v>0.039119804400978</v>
      </c>
      <c r="L80" s="25" t="n">
        <v>3844028</v>
      </c>
      <c r="M80" s="63" t="n">
        <v>604008.08</v>
      </c>
      <c r="N80" s="29" t="n">
        <v>952477.95</v>
      </c>
      <c r="O80" s="29" t="n">
        <v>1336247.42</v>
      </c>
      <c r="P80" s="145" t="n">
        <f aca="false">'$'!C103</f>
        <v>6.816762</v>
      </c>
      <c r="Q80" s="35" t="n">
        <f aca="false">100*(SUM(C80:H80)/P80)/M80</f>
        <v>35.9236060700955</v>
      </c>
      <c r="R80" s="35" t="n">
        <f aca="false">100*(L80/P80)/M80</f>
        <v>93.3610360936281</v>
      </c>
      <c r="S80" s="146" t="n">
        <f aca="false">SUM(Q80:R80)</f>
        <v>129.284642163724</v>
      </c>
      <c r="T80" s="35" t="n">
        <f aca="false">100*SUM(L80,C80:H80)/O80/P80</f>
        <v>58.4390041230521</v>
      </c>
      <c r="U80" s="29" t="n">
        <f aca="false">O80/I80</f>
        <v>1633.55430317848</v>
      </c>
      <c r="V80" s="29" t="n">
        <f aca="false">M80/I80</f>
        <v>738.396185819071</v>
      </c>
      <c r="W80" s="147"/>
      <c r="X80" s="143" t="n">
        <f aca="false">'UT1 (1273)'!F116</f>
        <v>102152.21</v>
      </c>
      <c r="Y80" s="143" t="n">
        <f aca="false">'UT2 (12334)'!F56</f>
        <v>4873.82</v>
      </c>
      <c r="Z80" s="143" t="n">
        <f aca="false">'UT3 (1279)'!F56</f>
        <v>13111.92</v>
      </c>
      <c r="AA80" s="143"/>
      <c r="AB80" s="148" t="n">
        <f aca="false">'UT1 (1273)'!C116+'UT2 (12334)'!C56+'UT3 (1279)'!C56+'UT4 (1271)'!C12</f>
        <v>237827.67</v>
      </c>
      <c r="AC80" s="149" t="n">
        <f aca="false">AB80/P80</f>
        <v>34888.6568138949</v>
      </c>
      <c r="AD80" s="150" t="n">
        <f aca="false">AB80/SUM(X80:AA80)</f>
        <v>1.97962151010567</v>
      </c>
      <c r="AE80" s="148" t="n">
        <f aca="false">1000*SUM(X80:AA80)/O80</f>
        <v>89.9069649840746</v>
      </c>
      <c r="AF80" s="151" t="n">
        <f aca="false">'UT1 (1273)'!G116</f>
        <v>30050</v>
      </c>
      <c r="AG80" s="143" t="n">
        <f aca="false">'UT2 (12334)'!G56</f>
        <v>3189</v>
      </c>
      <c r="AH80" s="143"/>
      <c r="AI80" s="143"/>
      <c r="AJ80" s="143"/>
      <c r="AK80" s="152"/>
      <c r="AL80" s="149" t="n">
        <f aca="false">AK80/P80</f>
        <v>0</v>
      </c>
      <c r="AM80" s="153"/>
      <c r="AN80" s="150" t="n">
        <f aca="false">AL80/SUM($AF$144:$AJ$144)</f>
        <v>0</v>
      </c>
      <c r="AO80" s="152"/>
      <c r="AP80" s="148" t="n">
        <f aca="false">1000*SUM(AF80:AJ80)/O80</f>
        <v>24.8748843234436</v>
      </c>
      <c r="AQ80" s="151" t="n">
        <f aca="false">'UT1 (1273)'!I116</f>
        <v>294828.66</v>
      </c>
      <c r="AR80" s="143" t="n">
        <f aca="false">'UT2 (12334)'!H56</f>
        <v>505073.52</v>
      </c>
      <c r="AS80" s="143" t="n">
        <f aca="false">'UT3 (1279)'!H56</f>
        <v>763189.56</v>
      </c>
      <c r="AT80" s="143"/>
      <c r="AU80" s="143"/>
      <c r="AV80" s="143" t="n">
        <f aca="false">'Osm.'!F56</f>
        <v>504443.52</v>
      </c>
      <c r="AW80" s="152"/>
      <c r="AX80" s="149" t="n">
        <f aca="false">AW80/P80</f>
        <v>0</v>
      </c>
      <c r="AY80" s="153"/>
      <c r="AZ80" s="152" t="n">
        <f aca="false">SUM(AQ80:AV80)/((1400+2000+1000+2000+2000)*24*30)</f>
        <v>0.341854375</v>
      </c>
      <c r="BA80" s="148"/>
      <c r="BB80" s="148"/>
      <c r="BC80" s="148"/>
      <c r="BD80" s="148"/>
      <c r="BE80" s="148" t="n">
        <f aca="false">1000*SUM(AQ80:AV80)/O80</f>
        <v>1547.26978630948</v>
      </c>
      <c r="BF80" s="151"/>
      <c r="BG80" s="143"/>
      <c r="BH80" s="143"/>
      <c r="BI80" s="143"/>
      <c r="BJ80" s="143"/>
    </row>
    <row r="81" customFormat="false" ht="18.75" hidden="false" customHeight="true" outlineLevel="0" collapsed="false">
      <c r="A81" s="18" t="n">
        <v>2020</v>
      </c>
      <c r="B81" s="18" t="n">
        <v>7</v>
      </c>
      <c r="C81" s="24" t="n">
        <f aca="false">SUM('UT1 (1273)'!C117:E117)</f>
        <v>371050.86</v>
      </c>
      <c r="D81" s="24" t="n">
        <f aca="false">SUM('UT2 (12334)'!C57:E57)</f>
        <v>319376.76</v>
      </c>
      <c r="E81" s="24" t="n">
        <f aca="false">SUM('UT3 (1279)'!C57:E57)</f>
        <v>451595.2</v>
      </c>
      <c r="F81" s="24" t="n">
        <f aca="false">SUM('Osm.'!C57:E57)</f>
        <v>223887.49</v>
      </c>
      <c r="G81" s="24" t="n">
        <f aca="false">SUM('UT4 (1271)'!C13:E13)</f>
        <v>574.36</v>
      </c>
      <c r="H81" s="24"/>
      <c r="I81" s="142" t="n">
        <v>825</v>
      </c>
      <c r="J81" s="143"/>
      <c r="K81" s="144" t="n">
        <f aca="false">(38+39)/I81</f>
        <v>0.0933333333333333</v>
      </c>
      <c r="L81" s="25" t="n">
        <v>3470713</v>
      </c>
      <c r="M81" s="63" t="n">
        <v>715331.51</v>
      </c>
      <c r="N81" s="29" t="n">
        <v>1002151.31</v>
      </c>
      <c r="O81" s="29" t="n">
        <v>1450817.44</v>
      </c>
      <c r="P81" s="145" t="n">
        <f aca="false">'$'!C104</f>
        <v>6.867708</v>
      </c>
      <c r="Q81" s="35" t="n">
        <f aca="false">100*(SUM(C81:H81)/P81)/M81</f>
        <v>27.8154177181985</v>
      </c>
      <c r="R81" s="35" t="n">
        <f aca="false">100*(L81/P81)/M81</f>
        <v>70.647943584308</v>
      </c>
      <c r="S81" s="146" t="n">
        <f aca="false">SUM(Q81:R81)</f>
        <v>98.4633613025065</v>
      </c>
      <c r="T81" s="35" t="n">
        <f aca="false">100*SUM(L81,C81:H81)/O81/P81</f>
        <v>48.5477655411956</v>
      </c>
      <c r="U81" s="29" t="n">
        <f aca="false">O81/I81</f>
        <v>1758.56659393939</v>
      </c>
      <c r="V81" s="29" t="n">
        <f aca="false">M81/I81</f>
        <v>867.068496969697</v>
      </c>
      <c r="W81" s="147"/>
      <c r="X81" s="143" t="n">
        <f aca="false">'UT1 (1273)'!F117</f>
        <v>96055.42</v>
      </c>
      <c r="Y81" s="143" t="n">
        <f aca="false">'UT2 (12334)'!F57</f>
        <v>6818.47</v>
      </c>
      <c r="Z81" s="143" t="n">
        <f aca="false">'UT3 (1279)'!F57</f>
        <v>15487.68</v>
      </c>
      <c r="AA81" s="143"/>
      <c r="AB81" s="148" t="n">
        <f aca="false">'UT1 (1273)'!C117+'UT2 (12334)'!C57+'UT3 (1279)'!C57+'UT4 (1271)'!C13</f>
        <v>211344.26</v>
      </c>
      <c r="AC81" s="149" t="n">
        <f aca="false">AB81/P81</f>
        <v>30773.6234563263</v>
      </c>
      <c r="AD81" s="150" t="n">
        <f aca="false">AB81/SUM(X81:AA81)</f>
        <v>1.78558175597029</v>
      </c>
      <c r="AE81" s="148" t="n">
        <f aca="false">1000*SUM(X81:AA81)/O81</f>
        <v>81.5826765909293</v>
      </c>
      <c r="AF81" s="151" t="n">
        <f aca="false">'UT1 (1273)'!G117</f>
        <v>21469</v>
      </c>
      <c r="AG81" s="143" t="n">
        <f aca="false">'UT2 (12334)'!G57</f>
        <v>3077</v>
      </c>
      <c r="AH81" s="143"/>
      <c r="AI81" s="143"/>
      <c r="AJ81" s="143"/>
      <c r="AK81" s="152"/>
      <c r="AL81" s="149" t="n">
        <f aca="false">AK81/P81</f>
        <v>0</v>
      </c>
      <c r="AM81" s="153"/>
      <c r="AN81" s="150" t="n">
        <f aca="false">AL81/SUM($AF$144:$AJ$144)</f>
        <v>0</v>
      </c>
      <c r="AO81" s="152"/>
      <c r="AP81" s="148" t="n">
        <f aca="false">1000*SUM(AF81:AJ81)/O81</f>
        <v>16.9187378944108</v>
      </c>
      <c r="AQ81" s="151" t="n">
        <f aca="false">'UT1 (1273)'!I117</f>
        <v>319740.75</v>
      </c>
      <c r="AR81" s="143" t="n">
        <f aca="false">'UT2 (12334)'!H57</f>
        <v>616868.28</v>
      </c>
      <c r="AS81" s="143" t="n">
        <f aca="false">'UT3 (1279)'!H57</f>
        <v>867338.64</v>
      </c>
      <c r="AT81" s="143"/>
      <c r="AU81" s="143"/>
      <c r="AV81" s="143" t="n">
        <f aca="false">'Osm.'!F57</f>
        <v>428132.88</v>
      </c>
      <c r="AW81" s="152"/>
      <c r="AX81" s="149" t="n">
        <f aca="false">AW81/P81</f>
        <v>0</v>
      </c>
      <c r="AY81" s="153"/>
      <c r="AZ81" s="152" t="n">
        <f aca="false">SUM(AQ81:AV81)/((1400+2000+1000+2000+2000)*24*30)</f>
        <v>0.3690609375</v>
      </c>
      <c r="BA81" s="148"/>
      <c r="BB81" s="148"/>
      <c r="BC81" s="148"/>
      <c r="BD81" s="148"/>
      <c r="BE81" s="148" t="n">
        <f aca="false">1000*SUM(AQ81:AV81)/O81</f>
        <v>1538.49856533293</v>
      </c>
      <c r="BF81" s="151"/>
      <c r="BG81" s="143"/>
      <c r="BH81" s="143"/>
      <c r="BI81" s="143"/>
      <c r="BJ81" s="143"/>
    </row>
    <row r="82" customFormat="false" ht="18.75" hidden="false" customHeight="true" outlineLevel="0" collapsed="false">
      <c r="A82" s="18" t="n">
        <v>2020</v>
      </c>
      <c r="B82" s="18" t="n">
        <v>8</v>
      </c>
      <c r="C82" s="24" t="n">
        <f aca="false">SUM('UT1 (1273)'!C118:E118)</f>
        <v>361396.82</v>
      </c>
      <c r="D82" s="24" t="n">
        <f aca="false">SUM('UT2 (12334)'!C58:E58)</f>
        <v>371615.25</v>
      </c>
      <c r="E82" s="24" t="n">
        <f aca="false">SUM('UT3 (1279)'!C58:E58)</f>
        <v>493973.41</v>
      </c>
      <c r="F82" s="24" t="n">
        <f aca="false">SUM('Osm.'!C58:E58)</f>
        <v>234758.83</v>
      </c>
      <c r="G82" s="24" t="n">
        <f aca="false">SUM('UT4 (1271)'!C14:E14)</f>
        <v>611.58</v>
      </c>
      <c r="H82" s="24"/>
      <c r="I82" s="142" t="n">
        <v>821</v>
      </c>
      <c r="J82" s="143"/>
      <c r="K82" s="144" t="n">
        <f aca="false">(35+25)/I82</f>
        <v>0.0730816077953715</v>
      </c>
      <c r="L82" s="25" t="n">
        <v>4846378</v>
      </c>
      <c r="M82" s="63" t="n">
        <v>860139.47</v>
      </c>
      <c r="N82" s="29" t="n">
        <v>1245387.21</v>
      </c>
      <c r="O82" s="29" t="n">
        <v>1699364.6</v>
      </c>
      <c r="P82" s="145" t="n">
        <f aca="false">'$'!C105</f>
        <v>7.26562</v>
      </c>
      <c r="Q82" s="35" t="n">
        <f aca="false">100*(SUM(C82:H82)/P82)/M82</f>
        <v>23.3997663884486</v>
      </c>
      <c r="R82" s="35" t="n">
        <f aca="false">100*(L82/P82)/M82</f>
        <v>77.5489152849904</v>
      </c>
      <c r="S82" s="146" t="n">
        <f aca="false">SUM(Q82:R82)</f>
        <v>100.948681673439</v>
      </c>
      <c r="T82" s="35" t="n">
        <f aca="false">100*SUM(L82,C82:H82)/O82/P82</f>
        <v>51.0955362679619</v>
      </c>
      <c r="U82" s="29" t="n">
        <f aca="false">O82/I82</f>
        <v>2069.87161997564</v>
      </c>
      <c r="V82" s="29" t="n">
        <f aca="false">M82/I82</f>
        <v>1047.67292326431</v>
      </c>
      <c r="W82" s="147"/>
      <c r="X82" s="143" t="n">
        <f aca="false">'UT1 (1273)'!F118</f>
        <v>96272.62</v>
      </c>
      <c r="Y82" s="143" t="n">
        <f aca="false">'UT2 (12334)'!F58</f>
        <v>9606.35</v>
      </c>
      <c r="Z82" s="143" t="n">
        <f aca="false">'UT3 (1279)'!F58</f>
        <v>13748.21</v>
      </c>
      <c r="AA82" s="143"/>
      <c r="AB82" s="148" t="n">
        <f aca="false">'UT1 (1273)'!C118+'UT2 (12334)'!C58+'UT3 (1279)'!C58+'UT4 (1271)'!C14</f>
        <v>212379.66</v>
      </c>
      <c r="AC82" s="149" t="n">
        <f aca="false">AB82/P82</f>
        <v>29230.7690190238</v>
      </c>
      <c r="AD82" s="150" t="n">
        <f aca="false">AB82/SUM(X82:AA82)</f>
        <v>1.77534620476718</v>
      </c>
      <c r="AE82" s="148" t="n">
        <f aca="false">1000*SUM(X82:AA82)/O82</f>
        <v>70.3952406681886</v>
      </c>
      <c r="AF82" s="151" t="n">
        <f aca="false">'UT1 (1273)'!G118</f>
        <v>20932</v>
      </c>
      <c r="AG82" s="143" t="n">
        <f aca="false">'UT2 (12334)'!G58</f>
        <v>3635.9</v>
      </c>
      <c r="AH82" s="143"/>
      <c r="AI82" s="143"/>
      <c r="AJ82" s="143"/>
      <c r="AK82" s="152"/>
      <c r="AL82" s="149" t="n">
        <f aca="false">AK82/P82</f>
        <v>0</v>
      </c>
      <c r="AM82" s="153"/>
      <c r="AN82" s="150" t="n">
        <f aca="false">AL82/SUM($AF$144:$AJ$144)</f>
        <v>0</v>
      </c>
      <c r="AO82" s="152"/>
      <c r="AP82" s="148" t="n">
        <f aca="false">1000*SUM(AF82:AJ82)/O82</f>
        <v>14.4571094396105</v>
      </c>
      <c r="AQ82" s="151" t="n">
        <f aca="false">'UT1 (1273)'!I118</f>
        <v>282441.6</v>
      </c>
      <c r="AR82" s="143" t="n">
        <f aca="false">'UT2 (12334)'!H58</f>
        <v>667963.8</v>
      </c>
      <c r="AS82" s="143" t="n">
        <f aca="false">'UT3 (1279)'!H58</f>
        <v>897409.8</v>
      </c>
      <c r="AT82" s="143"/>
      <c r="AU82" s="143"/>
      <c r="AV82" s="143" t="n">
        <f aca="false">'Osm.'!F58</f>
        <v>417110.4</v>
      </c>
      <c r="AW82" s="152"/>
      <c r="AX82" s="149" t="n">
        <f aca="false">AW82/P82</f>
        <v>0</v>
      </c>
      <c r="AY82" s="153"/>
      <c r="AZ82" s="152" t="n">
        <f aca="false">SUM(AQ82:AV82)/((1400+2000+1000+2000+2000)*24*30)</f>
        <v>0.374491666666667</v>
      </c>
      <c r="BA82" s="148"/>
      <c r="BB82" s="148"/>
      <c r="BC82" s="148"/>
      <c r="BD82" s="148"/>
      <c r="BE82" s="148" t="n">
        <f aca="false">1000*SUM(AQ82:AV82)/O82</f>
        <v>1332.80733281133</v>
      </c>
      <c r="BF82" s="151"/>
      <c r="BG82" s="143"/>
      <c r="BH82" s="143"/>
      <c r="BI82" s="143"/>
      <c r="BJ82" s="143"/>
    </row>
    <row r="83" customFormat="false" ht="18.75" hidden="false" customHeight="true" outlineLevel="0" collapsed="false">
      <c r="A83" s="18" t="n">
        <v>2020</v>
      </c>
      <c r="B83" s="18" t="n">
        <v>9</v>
      </c>
      <c r="C83" s="24" t="n">
        <f aca="false">SUM('UT1 (1273)'!C119:E119)</f>
        <v>408573.97</v>
      </c>
      <c r="D83" s="24" t="n">
        <f aca="false">SUM('UT2 (12334)'!C59:E59)</f>
        <v>341514.4</v>
      </c>
      <c r="E83" s="24" t="n">
        <f aca="false">SUM('UT3 (1279)'!C59:E59)</f>
        <v>529589.67</v>
      </c>
      <c r="F83" s="24" t="n">
        <f aca="false">SUM('Osm.'!C59:E59)</f>
        <v>271329.1</v>
      </c>
      <c r="G83" s="24" t="n">
        <f aca="false">SUM('UT4 (1271)'!C15:E15)</f>
        <v>954.17</v>
      </c>
      <c r="H83" s="24" t="n">
        <f aca="false">SUM('UT3b (1278)'!C3:E3)</f>
        <v>575</v>
      </c>
      <c r="I83" s="142" t="n">
        <v>898</v>
      </c>
      <c r="J83" s="143"/>
      <c r="K83" s="144" t="n">
        <f aca="false">(102+40)/I83</f>
        <v>0.158129175946548</v>
      </c>
      <c r="L83" s="25" t="n">
        <v>4967359</v>
      </c>
      <c r="M83" s="63" t="n">
        <v>1126487.19</v>
      </c>
      <c r="N83" s="29" t="n">
        <v>1389680.79</v>
      </c>
      <c r="O83" s="29" t="n">
        <v>1993016.97</v>
      </c>
      <c r="P83" s="145" t="n">
        <f aca="false">'$'!C106</f>
        <v>7.537593</v>
      </c>
      <c r="Q83" s="157" t="n">
        <f aca="false">100*(SUM(C83:H83)/P83)/M83</f>
        <v>18.2844888941448</v>
      </c>
      <c r="R83" s="35" t="n">
        <f aca="false">100*(L83/P83)/M83</f>
        <v>58.5014468799962</v>
      </c>
      <c r="S83" s="146" t="n">
        <f aca="false">SUM(Q83:R83)</f>
        <v>76.785935774141</v>
      </c>
      <c r="T83" s="35" t="n">
        <f aca="false">100*SUM(L83,C83:H83)/O83/P83</f>
        <v>43.4007207784751</v>
      </c>
      <c r="U83" s="29" t="n">
        <f aca="false">O83/I83</f>
        <v>2219.39528953229</v>
      </c>
      <c r="V83" s="29" t="n">
        <f aca="false">M83/I83</f>
        <v>1254.440077951</v>
      </c>
      <c r="W83" s="147"/>
      <c r="X83" s="143" t="n">
        <f aca="false">'UT1 (1273)'!F119</f>
        <v>110532.54</v>
      </c>
      <c r="Y83" s="143" t="n">
        <f aca="false">'UT2 (12334)'!F59</f>
        <v>9713.16</v>
      </c>
      <c r="Z83" s="143" t="n">
        <f aca="false">'UT3 (1279)'!F59</f>
        <v>15695.14</v>
      </c>
      <c r="AA83" s="143"/>
      <c r="AB83" s="148" t="n">
        <f aca="false">'UT1 (1273)'!C119+'UT2 (12334)'!C59+'UT3 (1279)'!C59+'UT4 (1271)'!C15</f>
        <v>241359.33</v>
      </c>
      <c r="AC83" s="149" t="n">
        <f aca="false">AB83/P83</f>
        <v>32020.7432266507</v>
      </c>
      <c r="AD83" s="150" t="n">
        <f aca="false">AB83/SUM(X83:AA83)</f>
        <v>1.77547328676209</v>
      </c>
      <c r="AE83" s="148" t="n">
        <f aca="false">1000*SUM(X83:AA83)/O83</f>
        <v>68.2085712496467</v>
      </c>
      <c r="AF83" s="151" t="n">
        <f aca="false">'UT1 (1273)'!G119</f>
        <v>22636</v>
      </c>
      <c r="AG83" s="143" t="n">
        <f aca="false">'UT2 (12334)'!G59</f>
        <v>3529</v>
      </c>
      <c r="AH83" s="143" t="n">
        <f aca="false">'UT3 (1279)'!G59</f>
        <v>3667</v>
      </c>
      <c r="AI83" s="143"/>
      <c r="AJ83" s="143"/>
      <c r="AK83" s="152"/>
      <c r="AL83" s="149" t="n">
        <f aca="false">AK83/P83</f>
        <v>0</v>
      </c>
      <c r="AM83" s="153"/>
      <c r="AN83" s="150" t="n">
        <f aca="false">AL83/SUM($AF$144:$AJ$144)</f>
        <v>0</v>
      </c>
      <c r="AO83" s="152"/>
      <c r="AP83" s="148" t="n">
        <f aca="false">1000*SUM(AF83:AJ83)/O83</f>
        <v>14.9682619109861</v>
      </c>
      <c r="AQ83" s="151" t="n">
        <f aca="false">'UT1 (1273)'!I119</f>
        <v>323224.02</v>
      </c>
      <c r="AR83" s="143" t="n">
        <f aca="false">'UT2 (12334)'!H59</f>
        <v>627308.64</v>
      </c>
      <c r="AS83" s="143" t="n">
        <f aca="false">'UT3 (1279)'!H59</f>
        <v>985307.4</v>
      </c>
      <c r="AT83" s="143"/>
      <c r="AU83" s="143"/>
      <c r="AV83" s="143" t="n">
        <f aca="false">'Osm.'!F59</f>
        <v>512961.12</v>
      </c>
      <c r="AW83" s="152"/>
      <c r="AX83" s="149" t="n">
        <f aca="false">AW83/P83</f>
        <v>0</v>
      </c>
      <c r="AY83" s="153"/>
      <c r="AZ83" s="152" t="n">
        <f aca="false">SUM(AQ83:AV83)/((1400+2000+1000+2000+2000)*24*30)</f>
        <v>0.404894375</v>
      </c>
      <c r="BA83" s="148"/>
      <c r="BB83" s="148"/>
      <c r="BC83" s="148"/>
      <c r="BD83" s="148"/>
      <c r="BE83" s="148" t="n">
        <f aca="false">1000*SUM(AQ83:AV83)/O83</f>
        <v>1228.690581596</v>
      </c>
      <c r="BF83" s="151"/>
      <c r="BG83" s="143"/>
      <c r="BH83" s="143"/>
      <c r="BI83" s="143"/>
      <c r="BJ83" s="143"/>
    </row>
    <row r="84" customFormat="false" ht="18.75" hidden="false" customHeight="true" outlineLevel="0" collapsed="false">
      <c r="A84" s="18" t="n">
        <v>2020</v>
      </c>
      <c r="B84" s="18" t="n">
        <v>10</v>
      </c>
      <c r="C84" s="24" t="n">
        <f aca="false">SUM('UT1 (1273)'!C120:E120)</f>
        <v>430624.51</v>
      </c>
      <c r="D84" s="24" t="n">
        <f aca="false">SUM('UT2 (12334)'!C60:E60)</f>
        <v>412250.78</v>
      </c>
      <c r="E84" s="24" t="n">
        <f aca="false">SUM('UT3 (1279)'!C60:E60)</f>
        <v>652380.57</v>
      </c>
      <c r="F84" s="24" t="n">
        <f aca="false">SUM('Osm.'!C60:E60)</f>
        <v>343551.36</v>
      </c>
      <c r="G84" s="24" t="n">
        <f aca="false">SUM('UT4 (1271)'!C16:E16)</f>
        <v>1033.92</v>
      </c>
      <c r="H84" s="24" t="n">
        <f aca="false">SUM('UT3b (1278)'!C4:E4)</f>
        <v>577.32</v>
      </c>
      <c r="I84" s="154" t="n">
        <v>931</v>
      </c>
      <c r="J84" s="143"/>
      <c r="K84" s="144" t="n">
        <f aca="false">(73+46)/I84</f>
        <v>0.12781954887218</v>
      </c>
      <c r="L84" s="25" t="n">
        <v>5294637</v>
      </c>
      <c r="M84" s="158" t="n">
        <v>1192597.62</v>
      </c>
      <c r="N84" s="29" t="n">
        <v>1503045.74</v>
      </c>
      <c r="O84" s="156" t="n">
        <v>2190931.56</v>
      </c>
      <c r="P84" s="145" t="n">
        <f aca="false">'$'!C107</f>
        <v>7.930235</v>
      </c>
      <c r="Q84" s="35" t="n">
        <f aca="false">100*(SUM(C84:H84)/P84)/M84</f>
        <v>19.4597199207425</v>
      </c>
      <c r="R84" s="157" t="n">
        <f aca="false">100*(L84/P84)/M84</f>
        <v>55.9830035078004</v>
      </c>
      <c r="S84" s="159" t="n">
        <f aca="false">SUM(Q84:R84)</f>
        <v>75.4427234285429</v>
      </c>
      <c r="T84" s="35" t="n">
        <f aca="false">100*SUM(L84,C84:H84)/O84/P84</f>
        <v>41.066007742934</v>
      </c>
      <c r="U84" s="29" t="n">
        <f aca="false">O84/I84</f>
        <v>2353.30994629431</v>
      </c>
      <c r="V84" s="29" t="n">
        <f aca="false">M84/I84</f>
        <v>1280.98562835661</v>
      </c>
      <c r="W84" s="160"/>
      <c r="X84" s="143" t="n">
        <f aca="false">'UT1 (1273)'!F120</f>
        <v>113978.01</v>
      </c>
      <c r="Y84" s="143" t="n">
        <f aca="false">'UT2 (12334)'!F60</f>
        <v>9197.07</v>
      </c>
      <c r="Z84" s="143" t="n">
        <f aca="false">'UT3 (1279)'!F60</f>
        <v>20460.36</v>
      </c>
      <c r="AA84" s="143"/>
      <c r="AB84" s="148" t="n">
        <f aca="false">'UT1 (1273)'!C120+'UT2 (12334)'!C60+'UT3 (1279)'!C60+'UT4 (1271)'!C16</f>
        <v>255047.87</v>
      </c>
      <c r="AC84" s="149" t="n">
        <f aca="false">AB84/P84</f>
        <v>32161.4517098169</v>
      </c>
      <c r="AD84" s="150" t="n">
        <f aca="false">AB84/SUM(X84:AA84)</f>
        <v>1.77566114602357</v>
      </c>
      <c r="AE84" s="148" t="n">
        <f aca="false">1000*SUM(X84:AA84)/O84</f>
        <v>65.5590720506121</v>
      </c>
      <c r="AF84" s="151" t="n">
        <f aca="false">'UT1 (1273)'!G120</f>
        <v>24614</v>
      </c>
      <c r="AG84" s="143" t="n">
        <f aca="false">'UT2 (12334)'!G60</f>
        <v>3147</v>
      </c>
      <c r="AH84" s="143" t="n">
        <f aca="false">'UT3 (1279)'!G60</f>
        <v>4445</v>
      </c>
      <c r="AI84" s="143"/>
      <c r="AJ84" s="143"/>
      <c r="AK84" s="152"/>
      <c r="AL84" s="149" t="n">
        <f aca="false">AK84/P84</f>
        <v>0</v>
      </c>
      <c r="AM84" s="153"/>
      <c r="AN84" s="150" t="n">
        <f aca="false">AL84/SUM($AF$144:$AJ$144)</f>
        <v>0</v>
      </c>
      <c r="AO84" s="152"/>
      <c r="AP84" s="148" t="n">
        <f aca="false">1000*SUM(AF84:AJ84)/O84</f>
        <v>14.6996832708001</v>
      </c>
      <c r="AQ84" s="151" t="n">
        <f aca="false">'UT1 (1273)'!I120</f>
        <v>319296.6</v>
      </c>
      <c r="AR84" s="143" t="n">
        <f aca="false">'UT2 (12334)'!H60</f>
        <v>715758.12</v>
      </c>
      <c r="AS84" s="143" t="n">
        <f aca="false">'UT3 (1279)'!H60</f>
        <v>1131134.76</v>
      </c>
      <c r="AT84" s="143"/>
      <c r="AU84" s="143"/>
      <c r="AV84" s="143" t="n">
        <f aca="false">'Osm.'!F60</f>
        <v>612380.16</v>
      </c>
      <c r="AW84" s="152"/>
      <c r="AX84" s="149" t="n">
        <f aca="false">AW84/P84</f>
        <v>0</v>
      </c>
      <c r="AY84" s="153"/>
      <c r="AZ84" s="152" t="n">
        <f aca="false">SUM(AQ84:AV84)/((1400+2000+1000+2000+2000)*24*30)</f>
        <v>0.459419583333333</v>
      </c>
      <c r="BA84" s="148"/>
      <c r="BB84" s="148"/>
      <c r="BC84" s="148"/>
      <c r="BD84" s="148"/>
      <c r="BE84" s="148" t="n">
        <f aca="false">1000*SUM(AQ84:AV84)/O84</f>
        <v>1268.21380034345</v>
      </c>
      <c r="BF84" s="151"/>
      <c r="BG84" s="143"/>
      <c r="BH84" s="143"/>
      <c r="BI84" s="143"/>
      <c r="BJ84" s="143"/>
    </row>
    <row r="85" customFormat="false" ht="18.75" hidden="false" customHeight="true" outlineLevel="0" collapsed="false">
      <c r="A85" s="18" t="n">
        <v>2020</v>
      </c>
      <c r="B85" s="18" t="n">
        <v>11</v>
      </c>
      <c r="C85" s="24" t="n">
        <f aca="false">SUM('UT1 (1273)'!C121:E121)</f>
        <v>449533.55</v>
      </c>
      <c r="D85" s="24" t="n">
        <f aca="false">SUM('UT2 (12334)'!C61:E61)</f>
        <v>382657.74</v>
      </c>
      <c r="E85" s="24" t="n">
        <f aca="false">SUM('UT3 (1279)'!C61:E61)</f>
        <v>563037.9</v>
      </c>
      <c r="F85" s="24" t="n">
        <f aca="false">SUM('Osm.'!C61:E61)</f>
        <v>310088.45</v>
      </c>
      <c r="G85" s="24" t="n">
        <f aca="false">SUM('UT4 (1271)'!C17:E17)</f>
        <v>927.79</v>
      </c>
      <c r="H85" s="24" t="n">
        <f aca="false">SUM('UT3b (1278)'!C5:E5)</f>
        <v>641.47</v>
      </c>
      <c r="I85" s="142" t="n">
        <v>992</v>
      </c>
      <c r="J85" s="143"/>
      <c r="K85" s="144" t="n">
        <f aca="false">(108+29)/I85</f>
        <v>0.138104838709677</v>
      </c>
      <c r="L85" s="25" t="n">
        <v>5069763</v>
      </c>
      <c r="M85" s="63" t="n">
        <v>1007449.1</v>
      </c>
      <c r="N85" s="29" t="n">
        <v>1424853.94</v>
      </c>
      <c r="O85" s="29" t="n">
        <v>2068350.96</v>
      </c>
      <c r="P85" s="145" t="n">
        <f aca="false">'$'!C108</f>
        <v>7.983238</v>
      </c>
      <c r="Q85" s="35" t="n">
        <f aca="false">100*(SUM(C85:H85)/P85)/M85</f>
        <v>21.2227938347952</v>
      </c>
      <c r="R85" s="35" t="n">
        <f aca="false">100*(L85/P85)/M85</f>
        <v>63.0355385235382</v>
      </c>
      <c r="S85" s="146" t="n">
        <f aca="false">SUM(Q85:R85)</f>
        <v>84.2583323583333</v>
      </c>
      <c r="T85" s="35" t="n">
        <f aca="false">100*SUM(L85,C85:H85)/O85/P85</f>
        <v>41.0404146798683</v>
      </c>
      <c r="U85" s="29" t="n">
        <f aca="false">O85/I85</f>
        <v>2085.03120967742</v>
      </c>
      <c r="V85" s="29" t="n">
        <f aca="false">M85/I85</f>
        <v>1015.57368951613</v>
      </c>
      <c r="W85" s="147"/>
      <c r="X85" s="143" t="n">
        <f aca="false">'UT1 (1273)'!F121</f>
        <v>136557.83</v>
      </c>
      <c r="Y85" s="143" t="n">
        <f aca="false">'UT2 (12334)'!F61</f>
        <v>10615.27</v>
      </c>
      <c r="Z85" s="143" t="n">
        <f aca="false">'UT3 (1279)'!F61</f>
        <v>24641.97</v>
      </c>
      <c r="AA85" s="143"/>
      <c r="AB85" s="148" t="n">
        <f aca="false">'UT1 (1273)'!C121+'UT2 (12334)'!C61+'UT3 (1279)'!C61+'UT4 (1271)'!C17</f>
        <v>305120.62</v>
      </c>
      <c r="AC85" s="149" t="n">
        <f aca="false">AB85/P85</f>
        <v>38220.1582866501</v>
      </c>
      <c r="AD85" s="150" t="n">
        <f aca="false">AB85/SUM(X85:AA85)</f>
        <v>1.77586645921106</v>
      </c>
      <c r="AE85" s="148" t="n">
        <f aca="false">1000*SUM(X85:AA85)/O85</f>
        <v>83.0686248720575</v>
      </c>
      <c r="AF85" s="151" t="n">
        <f aca="false">'UT1 (1273)'!G121</f>
        <v>19898</v>
      </c>
      <c r="AG85" s="143" t="n">
        <f aca="false">'UT2 (12334)'!G61</f>
        <v>3096</v>
      </c>
      <c r="AH85" s="143" t="n">
        <f aca="false">'UT3 (1279)'!G61</f>
        <v>3661</v>
      </c>
      <c r="AI85" s="143" t="n">
        <f aca="false">'UT3b (1278)'!G5</f>
        <v>34</v>
      </c>
      <c r="AJ85" s="143" t="n">
        <f aca="false">'UT4 (1271)'!G17</f>
        <v>182</v>
      </c>
      <c r="AK85" s="148" t="n">
        <f aca="false">'UT1 (1273)'!D121+'UT2 (12334)'!D61+'UT3 (1279)'!D61+'UT3b (1278)'!D5+'UT4 (1271)'!D17</f>
        <v>61057.74</v>
      </c>
      <c r="AL85" s="149" t="n">
        <f aca="false">AK85/P85</f>
        <v>7648.24248005634</v>
      </c>
      <c r="AM85" s="150" t="n">
        <f aca="false">AK85/SUM(AF85:AJ85)</f>
        <v>2.27225410293625</v>
      </c>
      <c r="AN85" s="150" t="n">
        <f aca="false">AL85/SUM($AF$144:$AJ$144)</f>
        <v>0.47522321859428</v>
      </c>
      <c r="AO85" s="152" t="n">
        <f aca="false">'UT1 (1273)'!H121/SUM(AF85:AJ85)</f>
        <v>0</v>
      </c>
      <c r="AP85" s="148" t="n">
        <f aca="false">1000*SUM(AF85:AJ85)/O85</f>
        <v>12.9915089458512</v>
      </c>
      <c r="AQ85" s="151" t="n">
        <f aca="false">'UT1 (1273)'!I121</f>
        <v>324577.26</v>
      </c>
      <c r="AR85" s="143" t="n">
        <f aca="false">'UT2 (12334)'!H61</f>
        <v>717060.96</v>
      </c>
      <c r="AS85" s="143" t="n">
        <f aca="false">'UT3 (1279)'!H61</f>
        <v>1041276.6</v>
      </c>
      <c r="AT85" s="143"/>
      <c r="AU85" s="143"/>
      <c r="AV85" s="143" t="n">
        <f aca="false">'Osm.'!F61</f>
        <v>602285.04</v>
      </c>
      <c r="AW85" s="152"/>
      <c r="AX85" s="149" t="n">
        <f aca="false">AW85/P85</f>
        <v>0</v>
      </c>
      <c r="AY85" s="153"/>
      <c r="AZ85" s="152" t="n">
        <f aca="false">SUM(AQ85:AV85)/((1400+2000+1000+2000+2000)*24*30)</f>
        <v>0.443981458333333</v>
      </c>
      <c r="BA85" s="148"/>
      <c r="BB85" s="148"/>
      <c r="BC85" s="148"/>
      <c r="BD85" s="148"/>
      <c r="BE85" s="148" t="n">
        <f aca="false">1000*SUM(AQ85:AV85)/O85</f>
        <v>1298.23222070591</v>
      </c>
      <c r="BF85" s="151"/>
      <c r="BG85" s="143"/>
      <c r="BH85" s="143"/>
      <c r="BI85" s="143"/>
      <c r="BJ85" s="143"/>
    </row>
    <row r="86" customFormat="false" ht="18.75" hidden="false" customHeight="true" outlineLevel="0" collapsed="false">
      <c r="A86" s="18" t="n">
        <v>2020</v>
      </c>
      <c r="B86" s="18" t="n">
        <v>12</v>
      </c>
      <c r="C86" s="24" t="n">
        <f aca="false">SUM('UT1 (1273)'!C122:E122)</f>
        <v>463177.95</v>
      </c>
      <c r="D86" s="24" t="n">
        <f aca="false">SUM('UT2 (12334)'!C62:E62)</f>
        <v>399462.8</v>
      </c>
      <c r="E86" s="24" t="n">
        <f aca="false">SUM('UT3 (1279)'!C62:E62)</f>
        <v>540617.76</v>
      </c>
      <c r="F86" s="24" t="n">
        <f aca="false">SUM('Osm.'!C62:E62)</f>
        <v>261521.6</v>
      </c>
      <c r="G86" s="24" t="n">
        <f aca="false">SUM('UT4 (1271)'!C18:E18)</f>
        <v>722.14</v>
      </c>
      <c r="H86" s="24" t="n">
        <f aca="false">SUM('UT3b (1278)'!C6:E6)</f>
        <v>674.39</v>
      </c>
      <c r="I86" s="142" t="n">
        <v>997</v>
      </c>
      <c r="J86" s="143"/>
      <c r="K86" s="144" t="n">
        <f aca="false">(37+21)/I86</f>
        <v>0.0581745235707121</v>
      </c>
      <c r="L86" s="25" t="n">
        <v>5137484</v>
      </c>
      <c r="M86" s="63" t="n">
        <v>972962.72</v>
      </c>
      <c r="N86" s="29" t="n">
        <v>1354695.05</v>
      </c>
      <c r="O86" s="29" t="n">
        <v>2064270.37</v>
      </c>
      <c r="P86" s="145" t="n">
        <f aca="false">'$'!C109</f>
        <v>7.718763</v>
      </c>
      <c r="Q86" s="35" t="n">
        <f aca="false">100*(SUM(C86:H86)/P86)/M86</f>
        <v>22.1859042718428</v>
      </c>
      <c r="R86" s="35" t="n">
        <f aca="false">100*(L86/P86)/M86</f>
        <v>68.4079499650913</v>
      </c>
      <c r="S86" s="146" t="n">
        <f aca="false">SUM(Q86:R86)</f>
        <v>90.5938542369341</v>
      </c>
      <c r="T86" s="35" t="n">
        <f aca="false">100*SUM(L86,C86:H86)/O86/P86</f>
        <v>42.7000474911874</v>
      </c>
      <c r="U86" s="29" t="n">
        <f aca="false">O86/I86</f>
        <v>2070.48181544634</v>
      </c>
      <c r="V86" s="29" t="n">
        <f aca="false">M86/I86</f>
        <v>975.890391173521</v>
      </c>
      <c r="W86" s="147"/>
      <c r="X86" s="143" t="n">
        <f aca="false">'UT1 (1273)'!F122</f>
        <v>137520.6</v>
      </c>
      <c r="Y86" s="143" t="n">
        <f aca="false">'UT2 (12334)'!F62</f>
        <v>9994.91</v>
      </c>
      <c r="Z86" s="143" t="n">
        <f aca="false">'UT3 (1279)'!F62</f>
        <v>19575.38</v>
      </c>
      <c r="AA86" s="143"/>
      <c r="AB86" s="148" t="n">
        <f aca="false">'UT1 (1273)'!C122+'UT2 (12334)'!C62+'UT3 (1279)'!C62+'UT4 (1271)'!C18</f>
        <v>296809.11</v>
      </c>
      <c r="AC86" s="149" t="n">
        <f aca="false">AB86/P86</f>
        <v>38452.9373424213</v>
      </c>
      <c r="AD86" s="150" t="n">
        <f aca="false">AB86/SUM(X86:AA86)</f>
        <v>1.77633328782916</v>
      </c>
      <c r="AE86" s="148" t="n">
        <f aca="false">1000*SUM(X86:AA86)/O86</f>
        <v>80.944285413543</v>
      </c>
      <c r="AF86" s="151" t="n">
        <f aca="false">'UT1 (1273)'!G122</f>
        <v>21429</v>
      </c>
      <c r="AG86" s="143" t="n">
        <f aca="false">'UT2 (12334)'!G62</f>
        <v>3497</v>
      </c>
      <c r="AH86" s="143" t="n">
        <f aca="false">'UT3 (1279)'!G62</f>
        <v>3287</v>
      </c>
      <c r="AI86" s="143" t="n">
        <f aca="false">'UT3b (1278)'!G6</f>
        <v>48</v>
      </c>
      <c r="AJ86" s="143" t="n">
        <f aca="false">'UT4 (1271)'!G18</f>
        <v>72</v>
      </c>
      <c r="AK86" s="148" t="n">
        <f aca="false">'UT1 (1273)'!D122+'UT2 (12334)'!D62+'UT3 (1279)'!D62+'UT3b (1278)'!D6+'UT4 (1271)'!D18</f>
        <v>70551.3</v>
      </c>
      <c r="AL86" s="149" t="n">
        <f aca="false">AK86/P86</f>
        <v>9140.23399863424</v>
      </c>
      <c r="AM86" s="150" t="n">
        <f aca="false">AK86/SUM(AF86:AJ86)</f>
        <v>2.49007517735503</v>
      </c>
      <c r="AN86" s="150" t="n">
        <f aca="false">AL86/SUM($AF$144:$AJ$144)</f>
        <v>0.567928047634785</v>
      </c>
      <c r="AO86" s="152" t="n">
        <f aca="false">'UT1 (1273)'!H122/SUM(AF86:AJ86)</f>
        <v>0</v>
      </c>
      <c r="AP86" s="148" t="n">
        <f aca="false">1000*SUM(AF86:AJ86)/O86</f>
        <v>13.725430743842</v>
      </c>
      <c r="AQ86" s="151" t="n">
        <f aca="false">'UT1 (1273)'!I122</f>
        <v>333278.82</v>
      </c>
      <c r="AR86" s="143" t="n">
        <f aca="false">'UT2 (12334)'!H62</f>
        <v>756027.72</v>
      </c>
      <c r="AS86" s="143" t="n">
        <f aca="false">'UT3 (1279)'!H62</f>
        <v>1013043.78</v>
      </c>
      <c r="AT86" s="143"/>
      <c r="AU86" s="143"/>
      <c r="AV86" s="143" t="n">
        <f aca="false">'Osm.'!F62</f>
        <v>507880.8</v>
      </c>
      <c r="AW86" s="152"/>
      <c r="AX86" s="149" t="n">
        <f aca="false">AW86/P86</f>
        <v>0</v>
      </c>
      <c r="AY86" s="153"/>
      <c r="AZ86" s="152" t="n">
        <f aca="false">SUM(AQ86:AV86)/((1400+2000+1000+2000+2000)*24*30)</f>
        <v>0.431585833333333</v>
      </c>
      <c r="BA86" s="148"/>
      <c r="BB86" s="148"/>
      <c r="BC86" s="148"/>
      <c r="BD86" s="148"/>
      <c r="BE86" s="148" t="n">
        <f aca="false">1000*SUM(AQ86:AV86)/O86</f>
        <v>1264.48122200194</v>
      </c>
      <c r="BF86" s="151"/>
      <c r="BG86" s="143"/>
      <c r="BH86" s="143"/>
      <c r="BI86" s="143"/>
      <c r="BJ86" s="143"/>
    </row>
    <row r="87" customFormat="false" ht="18.75" hidden="false" customHeight="true" outlineLevel="0" collapsed="false">
      <c r="A87" s="18" t="n">
        <v>2021</v>
      </c>
      <c r="B87" s="18" t="n">
        <v>1</v>
      </c>
      <c r="C87" s="24" t="n">
        <f aca="false">SUM('UT1 (1273)'!C123:E123)</f>
        <v>476894.32</v>
      </c>
      <c r="D87" s="24" t="n">
        <f aca="false">SUM('UT2 (12334)'!C63:E63)</f>
        <v>406156.92</v>
      </c>
      <c r="E87" s="24" t="n">
        <f aca="false">SUM('UT3 (1279)'!C63:E63)</f>
        <v>646605.47</v>
      </c>
      <c r="F87" s="24" t="n">
        <f aca="false">SUM('Osm.'!C63:E63)</f>
        <v>342499.18</v>
      </c>
      <c r="G87" s="24" t="n">
        <f aca="false">SUM('UT4 (1271)'!C19:E19)</f>
        <v>1263.04</v>
      </c>
      <c r="H87" s="24" t="n">
        <f aca="false">SUM('UT3b (1278)'!C7:E7)</f>
        <v>1206.47</v>
      </c>
      <c r="I87" s="142" t="n">
        <v>1032</v>
      </c>
      <c r="J87" s="143"/>
      <c r="K87" s="144" t="n">
        <f aca="false">(58+30)/I87</f>
        <v>0.0852713178294574</v>
      </c>
      <c r="L87" s="25" t="n">
        <v>6595375</v>
      </c>
      <c r="M87" s="63" t="n">
        <v>997769.56</v>
      </c>
      <c r="N87" s="29" t="n">
        <v>1482648.37</v>
      </c>
      <c r="O87" s="29" t="n">
        <v>2267282.06</v>
      </c>
      <c r="P87" s="145" t="n">
        <f aca="false">'$'!C110</f>
        <v>7.403641</v>
      </c>
      <c r="Q87" s="35" t="n">
        <f aca="false">100*(SUM(C87:H87)/P87)/M87</f>
        <v>25.3769190906008</v>
      </c>
      <c r="R87" s="35" t="n">
        <f aca="false">100*(L87/P87)/M87</f>
        <v>89.2819961508956</v>
      </c>
      <c r="S87" s="146" t="n">
        <f aca="false">SUM(Q87:R87)</f>
        <v>114.658915241496</v>
      </c>
      <c r="T87" s="35" t="n">
        <f aca="false">100*SUM(L87,C87:H87)/O87/P87</f>
        <v>50.4582898744346</v>
      </c>
      <c r="U87" s="29" t="n">
        <f aca="false">O87/I87</f>
        <v>2196.97874031008</v>
      </c>
      <c r="V87" s="29" t="n">
        <f aca="false">M87/I87</f>
        <v>966.830968992248</v>
      </c>
      <c r="W87" s="147"/>
      <c r="X87" s="143" t="n">
        <f aca="false">'UT1 (1273)'!F123</f>
        <v>144590.72</v>
      </c>
      <c r="Y87" s="143" t="n">
        <f aca="false">'UT2 (12334)'!F63</f>
        <v>9661.91</v>
      </c>
      <c r="Z87" s="143" t="n">
        <f aca="false">'UT3 (1279)'!F63</f>
        <v>20127.52</v>
      </c>
      <c r="AA87" s="143"/>
      <c r="AB87" s="148" t="n">
        <f aca="false">'UT1 (1273)'!C123+'UT2 (12334)'!C63+'UT3 (1279)'!C63+'UT4 (1271)'!C19</f>
        <v>309226.47</v>
      </c>
      <c r="AC87" s="149" t="n">
        <f aca="false">AB87/P87</f>
        <v>41766.8104112558</v>
      </c>
      <c r="AD87" s="150" t="n">
        <f aca="false">AB87/SUM(X87:AA87)</f>
        <v>1.773289391023</v>
      </c>
      <c r="AE87" s="148" t="n">
        <f aca="false">1000*SUM(X87:AA87)/O87</f>
        <v>76.9115378613281</v>
      </c>
      <c r="AF87" s="151" t="n">
        <f aca="false">'UT1 (1273)'!G123</f>
        <v>21980</v>
      </c>
      <c r="AG87" s="143" t="n">
        <f aca="false">'UT2 (12334)'!G63</f>
        <v>3060</v>
      </c>
      <c r="AH87" s="143" t="n">
        <f aca="false">'UT3 (1279)'!G63</f>
        <v>2933</v>
      </c>
      <c r="AI87" s="143" t="n">
        <f aca="false">'UT3b (1278)'!G7</f>
        <v>37</v>
      </c>
      <c r="AJ87" s="143" t="n">
        <f aca="false">'UT4 (1271)'!G19</f>
        <v>63</v>
      </c>
      <c r="AK87" s="148" t="n">
        <f aca="false">'UT1 (1273)'!D123+'UT2 (12334)'!D63+'UT3 (1279)'!D63+'UT3b (1278)'!D7+'UT4 (1271)'!D19</f>
        <v>78548.15</v>
      </c>
      <c r="AL87" s="149" t="n">
        <f aca="false">AK87/P87</f>
        <v>10609.3947559046</v>
      </c>
      <c r="AM87" s="150" t="n">
        <f aca="false">AK87/SUM(AF87:AJ87)</f>
        <v>2.79799629537278</v>
      </c>
      <c r="AN87" s="150" t="n">
        <f aca="false">AL87/SUM($AF$144:$AJ$144)</f>
        <v>0.659214288300271</v>
      </c>
      <c r="AO87" s="152" t="n">
        <f aca="false">'UT1 (1273)'!H123/SUM(AF87:AJ87)</f>
        <v>0</v>
      </c>
      <c r="AP87" s="148" t="n">
        <f aca="false">1000*SUM(AF87:AJ87)/O87</f>
        <v>12.3817854404935</v>
      </c>
      <c r="AQ87" s="151" t="n">
        <f aca="false">'UT1 (1273)'!I123</f>
        <v>309867.39</v>
      </c>
      <c r="AR87" s="143" t="n">
        <f aca="false">'UT2 (12334)'!H63</f>
        <v>738717.84</v>
      </c>
      <c r="AS87" s="143" t="n">
        <f aca="false">'UT3 (1279)'!H63</f>
        <v>1185899.4</v>
      </c>
      <c r="AT87" s="143"/>
      <c r="AU87" s="143"/>
      <c r="AV87" s="143" t="n">
        <f aca="false">'Osm.'!F63</f>
        <v>670027.68</v>
      </c>
      <c r="AW87" s="152"/>
      <c r="AX87" s="149" t="n">
        <f aca="false">AW87/P87</f>
        <v>0</v>
      </c>
      <c r="AY87" s="153"/>
      <c r="AZ87" s="152" t="n">
        <f aca="false">SUM(AQ87:AV87)/((1400+2000+1000+2000+2000)*24*30)</f>
        <v>0.4802434375</v>
      </c>
      <c r="BA87" s="148"/>
      <c r="BB87" s="148"/>
      <c r="BC87" s="148"/>
      <c r="BD87" s="148"/>
      <c r="BE87" s="148" t="n">
        <f aca="false">1000*SUM(AQ87:AV87)/O87</f>
        <v>1281.05468712614</v>
      </c>
      <c r="BF87" s="151"/>
      <c r="BG87" s="143"/>
      <c r="BH87" s="143"/>
      <c r="BI87" s="143"/>
      <c r="BJ87" s="143"/>
    </row>
    <row r="88" customFormat="false" ht="18.75" hidden="false" customHeight="true" outlineLevel="0" collapsed="false">
      <c r="A88" s="18" t="n">
        <v>2021</v>
      </c>
      <c r="B88" s="18" t="n">
        <v>2</v>
      </c>
      <c r="C88" s="24" t="n">
        <f aca="false">SUM('UT1 (1273)'!C124:E124)</f>
        <v>499019.45</v>
      </c>
      <c r="D88" s="24" t="n">
        <f aca="false">SUM('UT2 (12334)'!C64:E64)</f>
        <v>360350.4</v>
      </c>
      <c r="E88" s="24" t="n">
        <f aca="false">SUM('UT3 (1279)'!C64:E64)</f>
        <v>647608.46</v>
      </c>
      <c r="F88" s="24" t="n">
        <f aca="false">SUM('Osm.'!C64:E64)</f>
        <v>336970.39</v>
      </c>
      <c r="G88" s="24" t="n">
        <f aca="false">SUM('UT4 (1271)'!C20:E20)</f>
        <v>1240.3</v>
      </c>
      <c r="H88" s="24" t="n">
        <f aca="false">SUM('UT3b (1278)'!C8:E8)</f>
        <v>1189.31</v>
      </c>
      <c r="I88" s="142" t="n">
        <v>1027</v>
      </c>
      <c r="J88" s="143"/>
      <c r="K88" s="144" t="n">
        <f aca="false">(37+40)/I88</f>
        <v>0.0749756572541383</v>
      </c>
      <c r="L88" s="25" t="n">
        <v>6513537</v>
      </c>
      <c r="M88" s="63" t="n">
        <v>913657.46</v>
      </c>
      <c r="N88" s="29" t="n">
        <v>1316522.73</v>
      </c>
      <c r="O88" s="29" t="n">
        <v>2099517.56</v>
      </c>
      <c r="P88" s="145" t="n">
        <f aca="false">'$'!C111</f>
        <v>7.099851</v>
      </c>
      <c r="Q88" s="35" t="n">
        <f aca="false">100*(SUM(C88:H88)/P88)/M88</f>
        <v>28.4634835323674</v>
      </c>
      <c r="R88" s="35" t="n">
        <f aca="false">100*(L88/P88)/M88</f>
        <v>100.411682769912</v>
      </c>
      <c r="S88" s="146" t="n">
        <f aca="false">SUM(Q88:R88)</f>
        <v>128.875166302279</v>
      </c>
      <c r="T88" s="35" t="n">
        <f aca="false">100*SUM(L88,C88:H88)/O88/P88</f>
        <v>56.0832447149516</v>
      </c>
      <c r="U88" s="29" t="n">
        <f aca="false">O88/I88</f>
        <v>2044.32089581305</v>
      </c>
      <c r="V88" s="29" t="n">
        <f aca="false">M88/I88</f>
        <v>889.637254138267</v>
      </c>
      <c r="W88" s="147"/>
      <c r="X88" s="143" t="n">
        <f aca="false">'UT1 (1273)'!F124</f>
        <v>147244.61</v>
      </c>
      <c r="Y88" s="143" t="n">
        <f aca="false">'UT2 (12334)'!F64</f>
        <v>7542.37</v>
      </c>
      <c r="Z88" s="143" t="n">
        <f aca="false">'UT3 (1279)'!F64</f>
        <v>19700.26</v>
      </c>
      <c r="AA88" s="143"/>
      <c r="AB88" s="148" t="n">
        <f aca="false">'UT1 (1273)'!C124+'UT2 (12334)'!C64+'UT3 (1279)'!C64+'UT4 (1271)'!C20</f>
        <v>312473.16</v>
      </c>
      <c r="AC88" s="149" t="n">
        <f aca="false">AB88/P88</f>
        <v>44011.2278412603</v>
      </c>
      <c r="AD88" s="150" t="n">
        <f aca="false">AB88/SUM(X88:AA88)</f>
        <v>1.79080808430462</v>
      </c>
      <c r="AE88" s="148" t="n">
        <f aca="false">1000*SUM(X88:AA88)/O88</f>
        <v>83.1082546411281</v>
      </c>
      <c r="AF88" s="151" t="n">
        <f aca="false">'UT1 (1273)'!G124</f>
        <v>22988</v>
      </c>
      <c r="AG88" s="143" t="n">
        <f aca="false">'UT2 (12334)'!G64</f>
        <v>2936</v>
      </c>
      <c r="AH88" s="143" t="n">
        <f aca="false">'UT3 (1279)'!G64</f>
        <v>2920</v>
      </c>
      <c r="AI88" s="143" t="n">
        <f aca="false">'UT3b (1278)'!G8</f>
        <v>12</v>
      </c>
      <c r="AJ88" s="143" t="n">
        <f aca="false">'UT4 (1271)'!G20</f>
        <v>56</v>
      </c>
      <c r="AK88" s="148" t="n">
        <f aca="false">'UT1 (1273)'!D124+'UT2 (12334)'!D64+'UT3 (1279)'!D64+'UT3b (1278)'!D8+'UT4 (1271)'!D20</f>
        <v>70231.29</v>
      </c>
      <c r="AL88" s="149" t="n">
        <f aca="false">AK88/P88</f>
        <v>9891.93857730254</v>
      </c>
      <c r="AM88" s="150" t="n">
        <f aca="false">AK88/SUM(AF88:AJ88)</f>
        <v>2.42913980354178</v>
      </c>
      <c r="AN88" s="150" t="n">
        <f aca="false">AL88/SUM($AF$144:$AJ$144)</f>
        <v>0.614635179402419</v>
      </c>
      <c r="AO88" s="152" t="n">
        <f aca="false">'UT1 (1273)'!H124/SUM(AF88:AJ88)</f>
        <v>0</v>
      </c>
      <c r="AP88" s="148" t="n">
        <f aca="false">1000*SUM(AF88:AJ88)/O88</f>
        <v>13.7707826554211</v>
      </c>
      <c r="AQ88" s="151" t="n">
        <f aca="false">'UT1 (1273)'!I124</f>
        <v>345333.24</v>
      </c>
      <c r="AR88" s="143" t="n">
        <f aca="false">'UT2 (12334)'!H64</f>
        <v>635589.36</v>
      </c>
      <c r="AS88" s="143" t="n">
        <f aca="false">'UT3 (1279)'!H64</f>
        <v>1155300.3</v>
      </c>
      <c r="AT88" s="143"/>
      <c r="AU88" s="143"/>
      <c r="AV88" s="143" t="n">
        <f aca="false">'Osm.'!F64</f>
        <v>594790.56</v>
      </c>
      <c r="AW88" s="152"/>
      <c r="AX88" s="149" t="n">
        <f aca="false">AW88/P88</f>
        <v>0</v>
      </c>
      <c r="AY88" s="153"/>
      <c r="AZ88" s="152" t="n">
        <f aca="false">SUM(AQ88:AV88)/((1400+2000+1000+2000+2000)*24*30)</f>
        <v>0.451556458333333</v>
      </c>
      <c r="BA88" s="148"/>
      <c r="BB88" s="148"/>
      <c r="BC88" s="148"/>
      <c r="BD88" s="148"/>
      <c r="BE88" s="148" t="n">
        <f aca="false">1000*SUM(AQ88:AV88)/O88</f>
        <v>1300.78143285451</v>
      </c>
      <c r="BF88" s="151"/>
      <c r="BG88" s="143"/>
      <c r="BH88" s="143"/>
      <c r="BI88" s="143"/>
      <c r="BJ88" s="143"/>
    </row>
    <row r="89" customFormat="false" ht="18.75" hidden="false" customHeight="true" outlineLevel="0" collapsed="false">
      <c r="A89" s="18" t="n">
        <v>2021</v>
      </c>
      <c r="B89" s="18" t="n">
        <v>3</v>
      </c>
      <c r="C89" s="24" t="n">
        <f aca="false">SUM('UT1 (1273)'!C125:E125)</f>
        <v>578425.32</v>
      </c>
      <c r="D89" s="24" t="n">
        <f aca="false">SUM('UT2 (12334)'!C65:E65)</f>
        <v>459213.19</v>
      </c>
      <c r="E89" s="24" t="n">
        <f aca="false">SUM('UT3 (1279)'!C65:E65)</f>
        <v>795557.33</v>
      </c>
      <c r="F89" s="24" t="n">
        <f aca="false">SUM('Osm.'!C65:E65)</f>
        <v>398795.59</v>
      </c>
      <c r="G89" s="24" t="n">
        <f aca="false">SUM('UT4 (1271)'!C21:E21)</f>
        <v>3840.23</v>
      </c>
      <c r="H89" s="24" t="n">
        <f aca="false">SUM('UT3b (1278)'!C9:E9)</f>
        <v>1211.64</v>
      </c>
      <c r="I89" s="142" t="n">
        <v>1046</v>
      </c>
      <c r="J89" s="143"/>
      <c r="K89" s="144" t="n">
        <f aca="false">97/1046</f>
        <v>0.0927342256214149</v>
      </c>
      <c r="L89" s="25" t="n">
        <v>6898052</v>
      </c>
      <c r="M89" s="63" t="n">
        <v>1154615.77</v>
      </c>
      <c r="N89" s="29" t="n">
        <v>1424976.91</v>
      </c>
      <c r="O89" s="29" t="n">
        <v>2188839.28</v>
      </c>
      <c r="P89" s="145" t="n">
        <f aca="false">'$'!C112</f>
        <v>7.64142</v>
      </c>
      <c r="Q89" s="35" t="n">
        <f aca="false">100*(SUM(C89:H89)/P89)/M89</f>
        <v>25.3549544522941</v>
      </c>
      <c r="R89" s="35" t="n">
        <f aca="false">100*(L89/P89)/M89</f>
        <v>78.1834639810306</v>
      </c>
      <c r="S89" s="146" t="n">
        <f aca="false">SUM(Q89:R89)</f>
        <v>103.538418433325</v>
      </c>
      <c r="T89" s="35" t="n">
        <f aca="false">100*SUM(L89,C89:H89)/O89/P89</f>
        <v>54.6166599879254</v>
      </c>
      <c r="U89" s="29" t="n">
        <f aca="false">O89/I89</f>
        <v>2092.58057361377</v>
      </c>
      <c r="V89" s="29" t="n">
        <f aca="false">M89/I89</f>
        <v>1103.83916826004</v>
      </c>
      <c r="W89" s="147"/>
      <c r="X89" s="143" t="n">
        <f aca="false">'UT1 (1273)'!F125</f>
        <v>152827.49</v>
      </c>
      <c r="Y89" s="143" t="n">
        <f aca="false">'UT2 (12334)'!F65</f>
        <v>11074.47</v>
      </c>
      <c r="Z89" s="143" t="n">
        <f aca="false">'UT3 (1279)'!F65</f>
        <v>24708.78</v>
      </c>
      <c r="AA89" s="143"/>
      <c r="AB89" s="148" t="n">
        <f aca="false">'UT1 (1273)'!C125+'UT2 (12334)'!C65+'UT3 (1279)'!C65+'UT4 (1271)'!C21</f>
        <v>341122.03</v>
      </c>
      <c r="AC89" s="149" t="n">
        <f aca="false">AB89/P89</f>
        <v>44641.1831832303</v>
      </c>
      <c r="AD89" s="150" t="n">
        <f aca="false">AB89/SUM(X89:AA89)</f>
        <v>1.80860342311366</v>
      </c>
      <c r="AE89" s="148" t="n">
        <f aca="false">1000*SUM(X89:AA89)/O89</f>
        <v>86.1692960846353</v>
      </c>
      <c r="AF89" s="151" t="n">
        <f aca="false">'UT1 (1273)'!G125</f>
        <v>26147</v>
      </c>
      <c r="AG89" s="143" t="n">
        <f aca="false">'UT2 (12334)'!G65</f>
        <v>1950</v>
      </c>
      <c r="AH89" s="143" t="n">
        <f aca="false">'UT3 (1279)'!G65</f>
        <v>3039</v>
      </c>
      <c r="AI89" s="143" t="n">
        <f aca="false">'UT3b (1278)'!G9</f>
        <v>12</v>
      </c>
      <c r="AJ89" s="143" t="n">
        <f aca="false">'UT4 (1271)'!G21</f>
        <v>132</v>
      </c>
      <c r="AK89" s="148" t="n">
        <f aca="false">'UT1 (1273)'!D125+'UT2 (12334)'!D65+'UT3 (1279)'!D65+'UT3b (1278)'!D9+'UT4 (1271)'!D21</f>
        <v>81023.19</v>
      </c>
      <c r="AL89" s="149" t="n">
        <f aca="false">AK89/P89</f>
        <v>10603.1588369701</v>
      </c>
      <c r="AM89" s="150" t="n">
        <f aca="false">AK89/SUM(AF89:AJ89)</f>
        <v>2.59025543478261</v>
      </c>
      <c r="AN89" s="150" t="n">
        <f aca="false">AL89/SUM($AF$144:$AJ$144)</f>
        <v>0.658826819744631</v>
      </c>
      <c r="AO89" s="152" t="n">
        <f aca="false">'UT1 (1273)'!H125/SUM(AF89:AJ89)</f>
        <v>0</v>
      </c>
      <c r="AP89" s="148" t="n">
        <f aca="false">1000*SUM(AF89:AJ89)/O89</f>
        <v>14.2906792133226</v>
      </c>
      <c r="AQ89" s="151" t="n">
        <f aca="false">'UT1 (1273)'!I125</f>
        <v>408137.94</v>
      </c>
      <c r="AR89" s="143" t="n">
        <f aca="false">'UT2 (12334)'!H65</f>
        <v>747260.64</v>
      </c>
      <c r="AS89" s="143" t="n">
        <f aca="false">'UT3 (1279)'!H65</f>
        <v>1289161.44</v>
      </c>
      <c r="AT89" s="143"/>
      <c r="AU89" s="143" t="n">
        <f aca="false">'UT4 (1271)'!H21</f>
        <v>2015.37</v>
      </c>
      <c r="AV89" s="143" t="n">
        <f aca="false">'Osm.'!F65</f>
        <v>662225.76</v>
      </c>
      <c r="AW89" s="152"/>
      <c r="AX89" s="149" t="n">
        <f aca="false">AW89/P89</f>
        <v>0</v>
      </c>
      <c r="AY89" s="153"/>
      <c r="AZ89" s="152" t="n">
        <f aca="false">SUM(AQ89:AV89)/((1400+2000+1000+2000+1600+2000)*24*30)</f>
        <v>0.4317779375</v>
      </c>
      <c r="BA89" s="148"/>
      <c r="BB89" s="148"/>
      <c r="BC89" s="148"/>
      <c r="BD89" s="148"/>
      <c r="BE89" s="148" t="n">
        <f aca="false">1000*SUM(AQ89:AV89)/O89</f>
        <v>1420.29667431772</v>
      </c>
      <c r="BF89" s="151"/>
      <c r="BG89" s="143"/>
      <c r="BH89" s="143"/>
      <c r="BI89" s="143"/>
      <c r="BJ89" s="143"/>
    </row>
    <row r="90" customFormat="false" ht="18.75" hidden="false" customHeight="true" outlineLevel="0" collapsed="false">
      <c r="A90" s="18" t="n">
        <v>2021</v>
      </c>
      <c r="B90" s="18" t="n">
        <v>4</v>
      </c>
      <c r="C90" s="24" t="n">
        <f aca="false">SUM('UT1 (1273)'!C126:E126)</f>
        <v>538588.44</v>
      </c>
      <c r="D90" s="24" t="n">
        <f aca="false">SUM('UT2 (12334)'!C66:E66)</f>
        <v>394101.13</v>
      </c>
      <c r="E90" s="24" t="n">
        <f aca="false">SUM('UT3 (1279)'!C66:E66)</f>
        <v>797889.1</v>
      </c>
      <c r="F90" s="24" t="n">
        <f aca="false">SUM('Osm.'!C66:E66)</f>
        <v>375629.55</v>
      </c>
      <c r="G90" s="24" t="n">
        <f aca="false">SUM('UT4 (1271)'!C22:E22)</f>
        <v>8423.01</v>
      </c>
      <c r="H90" s="24" t="n">
        <f aca="false">SUM('UT3b (1278)'!C10:E10)</f>
        <v>1287.5</v>
      </c>
      <c r="I90" s="142" t="n">
        <v>1082</v>
      </c>
      <c r="J90" s="143"/>
      <c r="K90" s="144" t="n">
        <f aca="false">77/1082</f>
        <v>0.0711645101663586</v>
      </c>
      <c r="L90" s="25" t="n">
        <v>7002113</v>
      </c>
      <c r="M90" s="63" t="n">
        <v>1004796.2</v>
      </c>
      <c r="N90" s="29" t="n">
        <v>1361913.86</v>
      </c>
      <c r="O90" s="29" t="n">
        <v>2094026.88</v>
      </c>
      <c r="P90" s="145" t="n">
        <f aca="false">'$'!C113</f>
        <v>8.183046</v>
      </c>
      <c r="Q90" s="35" t="n">
        <f aca="false">100*(SUM(C90:H90)/P90)/M90</f>
        <v>25.7339235519696</v>
      </c>
      <c r="R90" s="35" t="n">
        <f aca="false">100*(L90/P90)/M90</f>
        <v>85.1600952765575</v>
      </c>
      <c r="S90" s="146" t="n">
        <f aca="false">SUM(Q90:R90)</f>
        <v>110.894018828527</v>
      </c>
      <c r="T90" s="35" t="n">
        <f aca="false">100*SUM(L90,C90:H90)/O90/P90</f>
        <v>53.2112981862165</v>
      </c>
      <c r="U90" s="29" t="n">
        <f aca="false">O90/I90</f>
        <v>1935.3298336414</v>
      </c>
      <c r="V90" s="29" t="n">
        <f aca="false">M90/I90</f>
        <v>928.647134935305</v>
      </c>
      <c r="W90" s="147"/>
      <c r="X90" s="143" t="n">
        <f aca="false">'UT1 (1273)'!F126</f>
        <v>137640.66</v>
      </c>
      <c r="Y90" s="143" t="n">
        <f aca="false">'UT2 (12334)'!F66</f>
        <v>9588.08</v>
      </c>
      <c r="Z90" s="143" t="n">
        <f aca="false">'UT3 (1279)'!F66</f>
        <v>21990.7</v>
      </c>
      <c r="AA90" s="143"/>
      <c r="AB90" s="148" t="n">
        <f aca="false">'UT1 (1273)'!C126+'UT2 (12334)'!C66+'UT3 (1279)'!C66+'UT4 (1271)'!C22</f>
        <v>310536.7</v>
      </c>
      <c r="AC90" s="149" t="n">
        <f aca="false">AB90/P90</f>
        <v>37948.7907070301</v>
      </c>
      <c r="AD90" s="150" t="n">
        <f aca="false">AB90/SUM(X90:AA90)</f>
        <v>1.83511244334575</v>
      </c>
      <c r="AE90" s="148" t="n">
        <f aca="false">1000*SUM(X90:AA90)/O90</f>
        <v>80.8105385925132</v>
      </c>
      <c r="AF90" s="151" t="n">
        <f aca="false">'UT1 (1273)'!G126</f>
        <v>24104</v>
      </c>
      <c r="AG90" s="143" t="n">
        <f aca="false">'UT2 (12334)'!G66</f>
        <v>2490</v>
      </c>
      <c r="AH90" s="143" t="n">
        <f aca="false">'UT3 (1279)'!G66</f>
        <v>4102</v>
      </c>
      <c r="AI90" s="143" t="n">
        <f aca="false">'UT3b (1278)'!G10</f>
        <v>22</v>
      </c>
      <c r="AJ90" s="143" t="n">
        <f aca="false">'UT4 (1271)'!G22</f>
        <v>277</v>
      </c>
      <c r="AK90" s="148" t="n">
        <f aca="false">'UT1 (1273)'!D126+'UT2 (12334)'!D66+'UT3 (1279)'!D66+'UT3b (1278)'!D10+'UT4 (1271)'!D22</f>
        <v>77826.4</v>
      </c>
      <c r="AL90" s="149" t="n">
        <f aca="false">AK90/P90</f>
        <v>9510.68831826193</v>
      </c>
      <c r="AM90" s="150" t="n">
        <f aca="false">AK90/SUM(AF90:AJ90)</f>
        <v>2.51093402161639</v>
      </c>
      <c r="AN90" s="150" t="n">
        <f aca="false">AL90/SUM($AF$144:$AJ$144)</f>
        <v>0.59094621090232</v>
      </c>
      <c r="AO90" s="152" t="n">
        <f aca="false">'UT1 (1273)'!H126/SUM(AF90:AJ90)</f>
        <v>0</v>
      </c>
      <c r="AP90" s="148" t="n">
        <f aca="false">1000*SUM(AF90:AJ90)/O90</f>
        <v>14.8016247050277</v>
      </c>
      <c r="AQ90" s="151" t="n">
        <f aca="false">'UT1 (1273)'!I126</f>
        <v>393344.919</v>
      </c>
      <c r="AR90" s="143" t="n">
        <f aca="false">'UT2 (12334)'!H66</f>
        <v>634311.72</v>
      </c>
      <c r="AS90" s="143" t="n">
        <f aca="false">'UT3 (1279)'!H66</f>
        <v>1288987.56</v>
      </c>
      <c r="AT90" s="143"/>
      <c r="AU90" s="143" t="n">
        <f aca="false">'UT4 (1271)'!H22</f>
        <v>7677.81</v>
      </c>
      <c r="AV90" s="143" t="n">
        <f aca="false">'Osm.'!F66</f>
        <v>623442.96</v>
      </c>
      <c r="AW90" s="152"/>
      <c r="AX90" s="149" t="n">
        <f aca="false">AW90/P90</f>
        <v>0</v>
      </c>
      <c r="AY90" s="153"/>
      <c r="AZ90" s="152" t="n">
        <f aca="false">SUM(AQ90:AV90)/((1400+2000+1000+2000+1600+2000)*24*30)</f>
        <v>0.40941180125</v>
      </c>
      <c r="BA90" s="148"/>
      <c r="BB90" s="148"/>
      <c r="BC90" s="148"/>
      <c r="BD90" s="148"/>
      <c r="BE90" s="148" t="n">
        <f aca="false">1000*SUM(AQ90:AV90)/O90</f>
        <v>1407.70159024893</v>
      </c>
      <c r="BF90" s="151"/>
      <c r="BG90" s="143"/>
      <c r="BH90" s="143"/>
      <c r="BI90" s="143"/>
      <c r="BJ90" s="143"/>
    </row>
    <row r="91" customFormat="false" ht="18.75" hidden="false" customHeight="true" outlineLevel="0" collapsed="false">
      <c r="A91" s="18" t="n">
        <v>2021</v>
      </c>
      <c r="B91" s="18" t="n">
        <v>5</v>
      </c>
      <c r="C91" s="24" t="n">
        <f aca="false">SUM('UT1 (1273)'!C127:E127)</f>
        <v>514533.98</v>
      </c>
      <c r="D91" s="24" t="n">
        <f aca="false">SUM('UT2 (12334)'!C67:E67)</f>
        <v>429582.15</v>
      </c>
      <c r="E91" s="24" t="n">
        <f aca="false">SUM('UT3 (1279)'!C67:E67)</f>
        <v>879757.85</v>
      </c>
      <c r="F91" s="24" t="n">
        <f aca="false">SUM('Osm.'!C67:E67)</f>
        <v>432108.65</v>
      </c>
      <c r="G91" s="24" t="n">
        <f aca="false">SUM('UT4 (1271)'!C23:E23)</f>
        <v>39747.59</v>
      </c>
      <c r="H91" s="24" t="n">
        <f aca="false">SUM('UT3b (1278)'!C11:E11)</f>
        <v>1425.81</v>
      </c>
      <c r="I91" s="142" t="n">
        <v>1060</v>
      </c>
      <c r="J91" s="143"/>
      <c r="K91" s="144" t="n">
        <f aca="false">65/1060</f>
        <v>0.0613207547169811</v>
      </c>
      <c r="L91" s="25" t="n">
        <v>7425051</v>
      </c>
      <c r="M91" s="63" t="n">
        <v>869283.3</v>
      </c>
      <c r="N91" s="29" t="n">
        <v>1164817.82</v>
      </c>
      <c r="O91" s="29" t="n">
        <v>1888907.95</v>
      </c>
      <c r="P91" s="145" t="n">
        <f aca="false">'$'!C114</f>
        <v>8.384721</v>
      </c>
      <c r="Q91" s="35" t="n">
        <f aca="false">100*(SUM(C91:H91)/P91)/M91</f>
        <v>31.5166858163866</v>
      </c>
      <c r="R91" s="35" t="n">
        <f aca="false">100*(L91/P91)/M91</f>
        <v>101.870746471517</v>
      </c>
      <c r="S91" s="146" t="n">
        <f aca="false">SUM(Q91:R91)</f>
        <v>133.387432287904</v>
      </c>
      <c r="T91" s="35" t="n">
        <f aca="false">100*SUM(L91,C91:H91)/O91/P91</f>
        <v>61.3854514815059</v>
      </c>
      <c r="U91" s="29" t="n">
        <f aca="false">O91/I91</f>
        <v>1781.98863207547</v>
      </c>
      <c r="V91" s="29" t="n">
        <f aca="false">M91/I91</f>
        <v>820.07858490566</v>
      </c>
      <c r="W91" s="147"/>
      <c r="X91" s="143" t="n">
        <f aca="false">'UT1 (1273)'!F127</f>
        <v>118300.97</v>
      </c>
      <c r="Y91" s="143" t="n">
        <f aca="false">'UT2 (12334)'!F67</f>
        <v>9231.63</v>
      </c>
      <c r="Z91" s="143" t="n">
        <f aca="false">'UT3 (1279)'!F67</f>
        <v>24354.82</v>
      </c>
      <c r="AA91" s="143"/>
      <c r="AB91" s="148" t="n">
        <f aca="false">'UT1 (1273)'!C127+'UT2 (12334)'!C67+'UT3 (1279)'!C67+'UT4 (1271)'!C23</f>
        <v>281322.4</v>
      </c>
      <c r="AC91" s="149" t="n">
        <f aca="false">AB91/P91</f>
        <v>33551.7902146058</v>
      </c>
      <c r="AD91" s="150" t="n">
        <f aca="false">AB91/SUM(X91:AA91)</f>
        <v>1.85217709274409</v>
      </c>
      <c r="AE91" s="148" t="n">
        <f aca="false">1000*SUM(X91:AA91)/O91</f>
        <v>80.4101756255512</v>
      </c>
      <c r="AF91" s="151" t="n">
        <f aca="false">'UT1 (1273)'!G127</f>
        <v>21535</v>
      </c>
      <c r="AG91" s="143" t="n">
        <f aca="false">'UT2 (12334)'!G67</f>
        <v>2205</v>
      </c>
      <c r="AH91" s="143" t="n">
        <f aca="false">'UT3 (1279)'!G67</f>
        <v>4216</v>
      </c>
      <c r="AI91" s="143" t="n">
        <f aca="false">'UT3b (1278)'!G11</f>
        <v>34</v>
      </c>
      <c r="AJ91" s="143" t="n">
        <f aca="false">'UT4 (1271)'!G23</f>
        <v>99</v>
      </c>
      <c r="AK91" s="148" t="n">
        <f aca="false">'UT1 (1273)'!D127+'UT2 (12334)'!D67+'UT3 (1279)'!D67+'UT3b (1278)'!D11+'UT4 (1271)'!D23</f>
        <v>75316.95</v>
      </c>
      <c r="AL91" s="149" t="n">
        <f aca="false">AK91/P91</f>
        <v>8982.64235625729</v>
      </c>
      <c r="AM91" s="150" t="n">
        <f aca="false">AK91/SUM(AF91:AJ91)</f>
        <v>2.68136815123358</v>
      </c>
      <c r="AN91" s="150" t="n">
        <f aca="false">AL91/SUM($AF$144:$AJ$144)</f>
        <v>0.558136097692139</v>
      </c>
      <c r="AO91" s="152" t="n">
        <f aca="false">'UT1 (1273)'!H127/SUM(AF91:AJ91)</f>
        <v>0</v>
      </c>
      <c r="AP91" s="148" t="n">
        <f aca="false">1000*SUM(AF91:AJ91)/O91</f>
        <v>14.8704969980141</v>
      </c>
      <c r="AQ91" s="151" t="n">
        <f aca="false">'UT1 (1273)'!I127</f>
        <v>355123.44</v>
      </c>
      <c r="AR91" s="143" t="n">
        <f aca="false">'UT2 (12334)'!H67</f>
        <v>601302.24</v>
      </c>
      <c r="AS91" s="143" t="n">
        <f aca="false">'UT3 (1279)'!H67</f>
        <v>1234211.58</v>
      </c>
      <c r="AT91" s="143"/>
      <c r="AU91" s="143" t="n">
        <f aca="false">'UT4 (1271)'!H23</f>
        <v>54869.22</v>
      </c>
      <c r="AV91" s="143" t="n">
        <f aca="false">'Osm.'!F67</f>
        <v>622329.12</v>
      </c>
      <c r="AW91" s="152"/>
      <c r="AX91" s="149" t="n">
        <f aca="false">AW91/P91</f>
        <v>0</v>
      </c>
      <c r="AY91" s="153"/>
      <c r="AZ91" s="152" t="n">
        <f aca="false">SUM(AQ91:AV91)/((1400+2000+1000+2000+1600+2000)*24*30)</f>
        <v>0.3983105</v>
      </c>
      <c r="BA91" s="148"/>
      <c r="BB91" s="148"/>
      <c r="BC91" s="148"/>
      <c r="BD91" s="148"/>
      <c r="BE91" s="148" t="n">
        <f aca="false">1000*SUM(AQ91:AV91)/O91</f>
        <v>1518.25058494777</v>
      </c>
      <c r="BF91" s="151"/>
      <c r="BG91" s="143"/>
      <c r="BH91" s="143"/>
      <c r="BI91" s="143"/>
      <c r="BJ91" s="143"/>
    </row>
    <row r="92" customFormat="false" ht="18.75" hidden="false" customHeight="true" outlineLevel="0" collapsed="false">
      <c r="A92" s="18" t="n">
        <v>2021</v>
      </c>
      <c r="B92" s="18" t="n">
        <v>6</v>
      </c>
      <c r="C92" s="24" t="n">
        <f aca="false">SUM('UT1 (1273)'!C128:E128)</f>
        <v>552675.94</v>
      </c>
      <c r="D92" s="24" t="n">
        <f aca="false">SUM('UT2 (12334)'!C68:E68)</f>
        <v>414021.67</v>
      </c>
      <c r="E92" s="24" t="n">
        <f aca="false">SUM('UT3 (1279)'!C68:E68)</f>
        <v>908369.15</v>
      </c>
      <c r="F92" s="24" t="n">
        <f aca="false">SUM('Osm.'!C68:E68)</f>
        <v>410247.62</v>
      </c>
      <c r="G92" s="24" t="n">
        <f aca="false">SUM('UT4 (1271)'!C24:E24)</f>
        <v>68627.62</v>
      </c>
      <c r="H92" s="25" t="n">
        <f aca="false">SUM('UT3b (1278)'!C12:E12)</f>
        <v>1323.44</v>
      </c>
      <c r="I92" s="161" t="n">
        <v>1090</v>
      </c>
      <c r="J92" s="143"/>
      <c r="K92" s="144" t="n">
        <f aca="false">65/1060</f>
        <v>0.0613207547169811</v>
      </c>
      <c r="L92" s="25" t="n">
        <v>6837739</v>
      </c>
      <c r="M92" s="63" t="n">
        <v>796560.71</v>
      </c>
      <c r="N92" s="29" t="n">
        <v>1172363.25</v>
      </c>
      <c r="O92" s="29" t="n">
        <v>1967030.86</v>
      </c>
      <c r="P92" s="145" t="n">
        <f aca="false">'$'!C115</f>
        <v>8.631709</v>
      </c>
      <c r="Q92" s="35" t="n">
        <f aca="false">100*(SUM(C92:H92)/P92)/M92</f>
        <v>34.2550170239954</v>
      </c>
      <c r="R92" s="35" t="n">
        <f aca="false">100*(L92/P92)/M92</f>
        <v>99.4481818790824</v>
      </c>
      <c r="S92" s="146" t="n">
        <f aca="false">SUM(Q92:R92)</f>
        <v>133.703198903078</v>
      </c>
      <c r="T92" s="35" t="n">
        <f aca="false">100*SUM(L92,C92:H92)/O92/P92</f>
        <v>54.1438963735967</v>
      </c>
      <c r="U92" s="29" t="n">
        <f aca="false">O92/I92</f>
        <v>1804.61546788991</v>
      </c>
      <c r="V92" s="29" t="n">
        <f aca="false">M92/I92</f>
        <v>730.789642201835</v>
      </c>
      <c r="W92" s="147"/>
      <c r="X92" s="143" t="n">
        <f aca="false">'UT1 (1273)'!F128</f>
        <v>124535.4</v>
      </c>
      <c r="Y92" s="143" t="n">
        <f aca="false">'UT2 (12334)'!F68</f>
        <v>7780.04</v>
      </c>
      <c r="Z92" s="143" t="n">
        <f aca="false">'UT3 (1279)'!F68</f>
        <v>21911.37</v>
      </c>
      <c r="AA92" s="143"/>
      <c r="AB92" s="148" t="n">
        <f aca="false">'UT1 (1273)'!C128+'UT2 (12334)'!C68+'UT3 (1279)'!C68+'UT4 (1271)'!C24</f>
        <v>287285.3</v>
      </c>
      <c r="AC92" s="149" t="n">
        <f aca="false">AB92/P92</f>
        <v>33282.5515781405</v>
      </c>
      <c r="AD92" s="150" t="n">
        <f aca="false">AB92/SUM(X92:AA92)</f>
        <v>1.86274552394619</v>
      </c>
      <c r="AE92" s="148" t="n">
        <f aca="false">1000*SUM(X92:AA92)/O92</f>
        <v>78.4058924220436</v>
      </c>
      <c r="AF92" s="151" t="n">
        <f aca="false">'UT1 (1273)'!G128</f>
        <v>25706</v>
      </c>
      <c r="AG92" s="143" t="n">
        <f aca="false">'UT2 (12334)'!G68</f>
        <v>2229</v>
      </c>
      <c r="AH92" s="143" t="n">
        <f aca="false">'UT3 (1279)'!G68</f>
        <v>2983</v>
      </c>
      <c r="AI92" s="143" t="n">
        <f aca="false">'UT3b (1278)'!G12</f>
        <v>16</v>
      </c>
      <c r="AJ92" s="143" t="n">
        <f aca="false">'UT4 (1271)'!G24</f>
        <v>373</v>
      </c>
      <c r="AK92" s="148" t="n">
        <f aca="false">'UT1 (1273)'!D128+'UT2 (12334)'!D68+'UT3 (1279)'!D68+'UT3b (1278)'!D12+'UT4 (1271)'!D24</f>
        <v>80406.61</v>
      </c>
      <c r="AL92" s="149" t="n">
        <f aca="false">AK92/P92</f>
        <v>9315.25958532661</v>
      </c>
      <c r="AM92" s="150" t="n">
        <f aca="false">AK92/SUM(AF92:AJ92)</f>
        <v>2.56832689174945</v>
      </c>
      <c r="AN92" s="150" t="n">
        <f aca="false">AL92/SUM($AF$144:$AJ$144)</f>
        <v>0.578803254960023</v>
      </c>
      <c r="AO92" s="152" t="n">
        <f aca="false">'UT1 (1273)'!H128/SUM(AF92:AJ92)</f>
        <v>0</v>
      </c>
      <c r="AP92" s="148" t="n">
        <f aca="false">1000*SUM(AF92:AJ92)/O92</f>
        <v>15.9158662106603</v>
      </c>
      <c r="AQ92" s="151" t="n">
        <f aca="false">'UT1 (1273)'!I128</f>
        <v>381570.21</v>
      </c>
      <c r="AR92" s="143" t="n">
        <f aca="false">'UT2 (12334)'!H68</f>
        <v>583624.44</v>
      </c>
      <c r="AS92" s="143" t="n">
        <f aca="false">'UT3 (1279)'!H68</f>
        <v>1286473.86</v>
      </c>
      <c r="AT92" s="143"/>
      <c r="AU92" s="143" t="n">
        <f aca="false">'UT4 (1271)'!H24</f>
        <v>91939.68</v>
      </c>
      <c r="AV92" s="143" t="n">
        <f aca="false">'Osm.'!F68</f>
        <v>585814.32</v>
      </c>
      <c r="AW92" s="152"/>
      <c r="AX92" s="149" t="n">
        <f aca="false">AW92/P92</f>
        <v>0</v>
      </c>
      <c r="AY92" s="153"/>
      <c r="AZ92" s="152" t="n">
        <f aca="false">SUM(AQ92:AV92)/((1400+2000+1000+2000+1600+2000)*24*30)</f>
        <v>0.4068642375</v>
      </c>
      <c r="BA92" s="148"/>
      <c r="BB92" s="148"/>
      <c r="BC92" s="148"/>
      <c r="BD92" s="148"/>
      <c r="BE92" s="148" t="n">
        <f aca="false">1000*SUM(AQ92:AV92)/O92</f>
        <v>1489.26108358056</v>
      </c>
      <c r="BF92" s="151"/>
      <c r="BG92" s="143"/>
      <c r="BH92" s="143"/>
      <c r="BI92" s="143"/>
      <c r="BJ92" s="143"/>
    </row>
    <row r="93" customFormat="false" ht="18.75" hidden="false" customHeight="true" outlineLevel="0" collapsed="false">
      <c r="A93" s="18" t="n">
        <v>2021</v>
      </c>
      <c r="B93" s="18" t="n">
        <v>7</v>
      </c>
      <c r="C93" s="24" t="n">
        <f aca="false">SUM('UT1 (1273)'!C129:E129)</f>
        <v>503570.32</v>
      </c>
      <c r="D93" s="24" t="n">
        <f aca="false">SUM('UT2 (12334)'!C69:E69)</f>
        <v>425421.6</v>
      </c>
      <c r="E93" s="24" t="n">
        <f aca="false">SUM('UT3 (1279)'!C69:E69)</f>
        <v>908841.95</v>
      </c>
      <c r="F93" s="24" t="n">
        <f aca="false">SUM('Osm.'!C69:E69)</f>
        <v>376578.15</v>
      </c>
      <c r="G93" s="24" t="n">
        <f aca="false">SUM('UT4 (1271)'!C25:E25)</f>
        <v>94672.15</v>
      </c>
      <c r="H93" s="25" t="n">
        <f aca="false">SUM('UT3b (1278)'!C13:E13)</f>
        <v>1295.81</v>
      </c>
      <c r="I93" s="161" t="n">
        <v>1056</v>
      </c>
      <c r="J93" s="143"/>
      <c r="K93" s="144" t="n">
        <f aca="false">56/1056</f>
        <v>0.053030303030303</v>
      </c>
      <c r="L93" s="25" t="n">
        <v>7290469</v>
      </c>
      <c r="M93" s="63" t="n">
        <v>507195.69</v>
      </c>
      <c r="N93" s="29" t="n">
        <v>923069.39</v>
      </c>
      <c r="O93" s="29" t="n">
        <v>1526923.59</v>
      </c>
      <c r="P93" s="145" t="n">
        <f aca="false">'$'!C116</f>
        <v>8.605101</v>
      </c>
      <c r="Q93" s="35" t="n">
        <f aca="false">100*(SUM(C93:H93)/P93)/M93</f>
        <v>52.9360931866912</v>
      </c>
      <c r="R93" s="35" t="n">
        <f aca="false">100*(L93/P93)/M93</f>
        <v>167.04133073326</v>
      </c>
      <c r="S93" s="146" t="n">
        <f aca="false">SUM(Q93:R93)</f>
        <v>219.977423919952</v>
      </c>
      <c r="T93" s="35" t="n">
        <f aca="false">100*SUM(L93,C93:H93)/O93/P93</f>
        <v>73.0695380176177</v>
      </c>
      <c r="U93" s="29" t="n">
        <f aca="false">O93/I93</f>
        <v>1445.95036931818</v>
      </c>
      <c r="V93" s="29" t="n">
        <f aca="false">M93/I93</f>
        <v>480.298948863636</v>
      </c>
      <c r="W93" s="147"/>
      <c r="X93" s="143" t="n">
        <f aca="false">'UT1 (1273)'!F129</f>
        <v>95853.85</v>
      </c>
      <c r="Y93" s="143" t="n">
        <f aca="false">'UT2 (12334)'!F69</f>
        <v>5805.45</v>
      </c>
      <c r="Z93" s="143" t="n">
        <f aca="false">'UT3 (1279)'!F69</f>
        <v>17488.82</v>
      </c>
      <c r="AA93" s="143"/>
      <c r="AB93" s="148" t="n">
        <f aca="false">'UT1 (1273)'!C129+'UT2 (12334)'!C69+'UT3 (1279)'!C69+'UT4 (1271)'!C25</f>
        <v>265124.32</v>
      </c>
      <c r="AC93" s="149" t="n">
        <f aca="false">AB93/P93</f>
        <v>30810.1345934231</v>
      </c>
      <c r="AD93" s="150" t="n">
        <f aca="false">AB93/SUM(X93:AA93)</f>
        <v>2.22516578524277</v>
      </c>
      <c r="AE93" s="148" t="n">
        <f aca="false">1000*SUM(X93:AA93)/O93</f>
        <v>78.0314881375302</v>
      </c>
      <c r="AF93" s="151" t="n">
        <f aca="false">'UT1 (1273)'!G129</f>
        <v>22891</v>
      </c>
      <c r="AG93" s="143" t="n">
        <f aca="false">'UT2 (12334)'!G69</f>
        <v>2437</v>
      </c>
      <c r="AH93" s="143" t="n">
        <f aca="false">'UT3 (1279)'!G69</f>
        <v>4882</v>
      </c>
      <c r="AI93" s="143" t="n">
        <f aca="false">'UT3b (1278)'!G13</f>
        <v>13</v>
      </c>
      <c r="AJ93" s="143" t="n">
        <f aca="false">'UT4 (1271)'!G25</f>
        <v>166</v>
      </c>
      <c r="AK93" s="148" t="n">
        <f aca="false">'UT1 (1273)'!D129+'UT2 (12334)'!D69+'UT3 (1279)'!D69+'UT3b (1278)'!D13+'UT4 (1271)'!D25</f>
        <v>78514.63</v>
      </c>
      <c r="AL93" s="149" t="n">
        <f aca="false">AK93/P93</f>
        <v>9124.19621803393</v>
      </c>
      <c r="AM93" s="150" t="n">
        <f aca="false">AK93/SUM(AF93:AJ93)</f>
        <v>2.58365296653394</v>
      </c>
      <c r="AN93" s="150" t="n">
        <f aca="false">AL93/SUM($AF$144:$AJ$144)</f>
        <v>0.566931540824775</v>
      </c>
      <c r="AO93" s="152" t="n">
        <f aca="false">'UT1 (1273)'!H129/SUM(AF93:AJ93)</f>
        <v>0</v>
      </c>
      <c r="AP93" s="148" t="n">
        <f aca="false">1000*SUM(AF93:AJ93)/O93</f>
        <v>19.9021091815079</v>
      </c>
      <c r="AQ93" s="151" t="n">
        <f aca="false">'UT1 (1273)'!I129</f>
        <v>299903.31</v>
      </c>
      <c r="AR93" s="143" t="n">
        <f aca="false">'UT2 (12334)'!H69</f>
        <v>521607.24</v>
      </c>
      <c r="AS93" s="143" t="n">
        <f aca="false">'UT3 (1279)'!H69</f>
        <v>1125937.26</v>
      </c>
      <c r="AT93" s="143"/>
      <c r="AU93" s="143" t="n">
        <f aca="false">'UT4 (1271)'!H25</f>
        <v>111149.64</v>
      </c>
      <c r="AV93" s="143" t="n">
        <f aca="false">'Osm.'!F69</f>
        <v>469990.08</v>
      </c>
      <c r="AW93" s="152"/>
      <c r="AX93" s="149" t="n">
        <f aca="false">AW93/P93</f>
        <v>0</v>
      </c>
      <c r="AY93" s="153"/>
      <c r="AZ93" s="152" t="n">
        <f aca="false">SUM(AQ93:AV93)/((1400+2000+1000+2000+1600+2000)*24*30)</f>
        <v>0.3511927125</v>
      </c>
      <c r="BA93" s="148"/>
      <c r="BB93" s="148"/>
      <c r="BC93" s="148"/>
      <c r="BD93" s="148"/>
      <c r="BE93" s="148" t="n">
        <f aca="false">1000*SUM(AQ93:AV93)/O93</f>
        <v>1656.0013523663</v>
      </c>
      <c r="BF93" s="151"/>
      <c r="BG93" s="143"/>
      <c r="BH93" s="143"/>
      <c r="BI93" s="143" t="n">
        <f aca="false">'UT4 (1271)'!I25</f>
        <v>0</v>
      </c>
      <c r="BJ93" s="143"/>
    </row>
    <row r="94" customFormat="false" ht="18.75" hidden="false" customHeight="true" outlineLevel="0" collapsed="false">
      <c r="A94" s="18" t="n">
        <v>2021</v>
      </c>
      <c r="B94" s="18" t="n">
        <v>8</v>
      </c>
      <c r="C94" s="24" t="n">
        <f aca="false">SUM('UT1 (1273)'!C130:E130)</f>
        <v>601189.84</v>
      </c>
      <c r="D94" s="24" t="n">
        <f aca="false">SUM('UT2 (12334)'!C70:E70)</f>
        <v>459275</v>
      </c>
      <c r="E94" s="24" t="n">
        <f aca="false">SUM('UT3 (1279)'!C70:E70)</f>
        <v>977868.28</v>
      </c>
      <c r="F94" s="24" t="n">
        <f aca="false">SUM('Osm.'!C70:E70)</f>
        <v>415126.76</v>
      </c>
      <c r="G94" s="24" t="n">
        <f aca="false">SUM('UT4 (1271)'!C26:E26)</f>
        <v>102767.47</v>
      </c>
      <c r="H94" s="25" t="n">
        <f aca="false">SUM('UT3b (1278)'!C14:E14)</f>
        <v>2902.72</v>
      </c>
      <c r="I94" s="161" t="n">
        <v>1031</v>
      </c>
      <c r="J94" s="143"/>
      <c r="K94" s="144" t="n">
        <v>0.0786</v>
      </c>
      <c r="L94" s="25" t="n">
        <v>7470433</v>
      </c>
      <c r="M94" s="63" t="n">
        <v>688481.77</v>
      </c>
      <c r="N94" s="29" t="n">
        <v>980192.01</v>
      </c>
      <c r="O94" s="29" t="n">
        <v>1497482.49</v>
      </c>
      <c r="P94" s="145" t="n">
        <f aca="false">'$'!C117</f>
        <v>8.484798</v>
      </c>
      <c r="Q94" s="35" t="n">
        <f aca="false">100*(SUM(C94:H94)/P94)/M94</f>
        <v>43.8085024169397</v>
      </c>
      <c r="R94" s="35" t="n">
        <f aca="false">100*(L94/P94)/M94</f>
        <v>127.882707476485</v>
      </c>
      <c r="S94" s="146" t="n">
        <f aca="false">SUM(Q94:R94)</f>
        <v>171.691209893425</v>
      </c>
      <c r="T94" s="35" t="n">
        <f aca="false">100*SUM(L94,C94:H94)/O94/P94</f>
        <v>78.9366612766648</v>
      </c>
      <c r="U94" s="29" t="n">
        <f aca="false">O94/I94</f>
        <v>1452.45634335597</v>
      </c>
      <c r="V94" s="29" t="n">
        <f aca="false">M94/I94</f>
        <v>667.780572259942</v>
      </c>
      <c r="W94" s="147"/>
      <c r="X94" s="143" t="n">
        <f aca="false">'UT1 (1273)'!F130</f>
        <v>114974.47</v>
      </c>
      <c r="Y94" s="143" t="n">
        <f aca="false">'UT2 (12334)'!F70</f>
        <v>6921.36</v>
      </c>
      <c r="Z94" s="143" t="n">
        <f aca="false">'UT3 (1279)'!F70</f>
        <v>17365.6</v>
      </c>
      <c r="AA94" s="143"/>
      <c r="AB94" s="148" t="n">
        <f aca="false">'UT1 (1273)'!C130+'UT2 (12334)'!C70+'UT3 (1279)'!C70+'UT4 (1271)'!C26</f>
        <v>309946.79</v>
      </c>
      <c r="AC94" s="149" t="n">
        <f aca="false">AB94/P94</f>
        <v>36529.6604586226</v>
      </c>
      <c r="AD94" s="150" t="n">
        <f aca="false">AB94/SUM(X94:AA94)</f>
        <v>2.2256470438369</v>
      </c>
      <c r="AE94" s="148" t="n">
        <f aca="false">1000*SUM(X94:AA94)/O94</f>
        <v>92.9970339753355</v>
      </c>
      <c r="AF94" s="151" t="n">
        <f aca="false">'UT1 (1273)'!G130</f>
        <v>23459</v>
      </c>
      <c r="AG94" s="143" t="n">
        <f aca="false">'UT2 (12334)'!G70</f>
        <v>2568</v>
      </c>
      <c r="AH94" s="143" t="n">
        <f aca="false">'UT3 (1279)'!G70</f>
        <v>3362</v>
      </c>
      <c r="AI94" s="143" t="n">
        <f aca="false">'UT3b (1278)'!G14</f>
        <v>29</v>
      </c>
      <c r="AJ94" s="143" t="n">
        <f aca="false">'UT4 (1271)'!G26</f>
        <v>310</v>
      </c>
      <c r="AK94" s="148" t="n">
        <f aca="false">'UT1 (1273)'!D130+'UT2 (12334)'!D70+'UT3 (1279)'!D70+'UT3b (1278)'!D14+'UT4 (1271)'!D26</f>
        <v>70551.04</v>
      </c>
      <c r="AL94" s="149" t="n">
        <f aca="false">AK94/P94</f>
        <v>8314.99347421117</v>
      </c>
      <c r="AM94" s="150" t="n">
        <f aca="false">AK94/SUM(AF94:AJ94)</f>
        <v>2.37321851453175</v>
      </c>
      <c r="AN94" s="150" t="n">
        <f aca="false">AL94/SUM($AF$144:$AJ$144)</f>
        <v>0.516651763030395</v>
      </c>
      <c r="AO94" s="152" t="n">
        <f aca="false">'UT1 (1273)'!H130/SUM(AF94:AJ94)</f>
        <v>0</v>
      </c>
      <c r="AP94" s="148" t="n">
        <f aca="false">1000*SUM(AF94:AJ94)/O94</f>
        <v>19.8519850472509</v>
      </c>
      <c r="AQ94" s="151" t="n">
        <f aca="false">'UT1 (1273)'!I130</f>
        <v>358650.18</v>
      </c>
      <c r="AR94" s="143" t="n">
        <f aca="false">'UT2 (12334)'!H70</f>
        <v>529608.24</v>
      </c>
      <c r="AS94" s="143" t="n">
        <f aca="false">'UT3 (1279)'!H70</f>
        <v>1159182.36</v>
      </c>
      <c r="AT94" s="143" t="n">
        <f aca="false">'UT3b (1278)'!H14</f>
        <v>882</v>
      </c>
      <c r="AU94" s="143" t="n">
        <f aca="false">'UT4 (1271)'!H26</f>
        <v>116185.86</v>
      </c>
      <c r="AV94" s="143" t="n">
        <f aca="false">'Osm.'!F70</f>
        <v>499332.96</v>
      </c>
      <c r="AW94" s="152"/>
      <c r="AX94" s="149" t="n">
        <f aca="false">AW94/P94</f>
        <v>0</v>
      </c>
      <c r="AY94" s="153"/>
      <c r="AZ94" s="152" t="n">
        <f aca="false">SUM(AQ94:AV94)/((1400+2000+3000+2000+1600+2000)*24*30)</f>
        <v>0.308315</v>
      </c>
      <c r="BA94" s="148"/>
      <c r="BB94" s="148"/>
      <c r="BC94" s="148"/>
      <c r="BD94" s="148"/>
      <c r="BE94" s="148" t="n">
        <f aca="false">1000*SUM(AQ94:AV94)/O94</f>
        <v>1778.87996540113</v>
      </c>
      <c r="BF94" s="151"/>
      <c r="BG94" s="143"/>
      <c r="BH94" s="143"/>
      <c r="BI94" s="143" t="n">
        <f aca="false">'UT4 (1271)'!I26</f>
        <v>0</v>
      </c>
      <c r="BJ94" s="143"/>
    </row>
    <row r="95" customFormat="false" ht="18.75" hidden="false" customHeight="true" outlineLevel="0" collapsed="false">
      <c r="A95" s="18" t="n">
        <v>2021</v>
      </c>
      <c r="B95" s="18" t="n">
        <v>9</v>
      </c>
      <c r="C95" s="24" t="n">
        <f aca="false">SUM('UT1 (1273)'!C131:E131)</f>
        <v>608792.71</v>
      </c>
      <c r="D95" s="24" t="n">
        <f aca="false">SUM('UT2 (12334)'!C71:E71)</f>
        <v>410627.63</v>
      </c>
      <c r="E95" s="24" t="n">
        <f aca="false">SUM('UT3 (1279)'!C71:E71)</f>
        <v>924145.9</v>
      </c>
      <c r="F95" s="24" t="n">
        <f aca="false">SUM('Osm.'!C71:E71)</f>
        <v>317504.66</v>
      </c>
      <c r="G95" s="24" t="n">
        <f aca="false">SUM('UT4 (1271)'!C27:E27)</f>
        <v>68168.16</v>
      </c>
      <c r="H95" s="25" t="n">
        <f aca="false">SUM('UT3b (1278)'!C15:E15)</f>
        <v>24076.2</v>
      </c>
      <c r="I95" s="161" t="n">
        <v>995</v>
      </c>
      <c r="J95" s="143"/>
      <c r="K95" s="144" t="n">
        <v>0.0683</v>
      </c>
      <c r="L95" s="25" t="n">
        <v>6670518</v>
      </c>
      <c r="M95" s="63" t="n">
        <v>752335.56</v>
      </c>
      <c r="N95" s="29" t="n">
        <v>1094026.81</v>
      </c>
      <c r="O95" s="29" t="n">
        <v>1658073.05</v>
      </c>
      <c r="P95" s="145" t="n">
        <f aca="false">'$'!C118</f>
        <v>8.554109</v>
      </c>
      <c r="Q95" s="35" t="n">
        <f aca="false">100*(SUM(C95:H95)/P95)/M95</f>
        <v>36.5673712821089</v>
      </c>
      <c r="R95" s="35" t="n">
        <f aca="false">100*(L95/P95)/M95</f>
        <v>103.650927054283</v>
      </c>
      <c r="S95" s="146" t="n">
        <f aca="false">SUM(Q95:R95)</f>
        <v>140.218298336392</v>
      </c>
      <c r="T95" s="35" t="n">
        <f aca="false">100*SUM(L95,C95:H95)/O95/P95</f>
        <v>63.6227770550618</v>
      </c>
      <c r="U95" s="29" t="n">
        <f aca="false">O95/I95</f>
        <v>1666.40507537688</v>
      </c>
      <c r="V95" s="29" t="n">
        <f aca="false">M95/I95</f>
        <v>756.116140703518</v>
      </c>
      <c r="W95" s="147"/>
      <c r="X95" s="143" t="n">
        <f aca="false">'UT1 (1273)'!F131</f>
        <v>117538.04</v>
      </c>
      <c r="Y95" s="143" t="n">
        <f aca="false">'UT2 (12334)'!F71</f>
        <v>7450.9</v>
      </c>
      <c r="Z95" s="143" t="n">
        <f aca="false">'UT3 (1279)'!F71</f>
        <v>20009.67</v>
      </c>
      <c r="AA95" s="143"/>
      <c r="AB95" s="148" t="n">
        <f aca="false">'UT1 (1273)'!C131+'UT2 (12334)'!C71+'UT3 (1279)'!C71+'UT4 (1271)'!C27</f>
        <v>370048.2</v>
      </c>
      <c r="AC95" s="149" t="n">
        <f aca="false">AB95/P95</f>
        <v>43259.701273388</v>
      </c>
      <c r="AD95" s="150" t="n">
        <f aca="false">AB95/SUM(X95:AA95)</f>
        <v>2.55208101650078</v>
      </c>
      <c r="AE95" s="148" t="n">
        <f aca="false">1000*SUM(X95:AA95)/O95</f>
        <v>87.4500734451959</v>
      </c>
      <c r="AF95" s="151" t="n">
        <f aca="false">'UT1 (1273)'!G131</f>
        <v>23629</v>
      </c>
      <c r="AG95" s="143" t="n">
        <f aca="false">'UT2 (12334)'!G71</f>
        <v>2646</v>
      </c>
      <c r="AH95" s="143" t="n">
        <f aca="false">'UT3 (1279)'!G71</f>
        <v>4170</v>
      </c>
      <c r="AI95" s="143" t="n">
        <f aca="false">'UT3b (1278)'!G15</f>
        <v>65</v>
      </c>
      <c r="AJ95" s="143" t="n">
        <f aca="false">'UT4 (1271)'!G27</f>
        <v>239</v>
      </c>
      <c r="AK95" s="148" t="n">
        <f aca="false">'UT1 (1273)'!D131+'UT2 (12334)'!D71+'UT3 (1279)'!D71+'UT3b (1278)'!D15+'UT4 (1271)'!D27</f>
        <v>77381.32</v>
      </c>
      <c r="AL95" s="149" t="n">
        <f aca="false">AK95/P95</f>
        <v>9046.09936581355</v>
      </c>
      <c r="AM95" s="150" t="n">
        <f aca="false">AK95/SUM(AF95:AJ95)</f>
        <v>2.51654753000098</v>
      </c>
      <c r="AN95" s="150" t="n">
        <f aca="false">AL95/SUM($AF$144:$AJ$144)</f>
        <v>0.562078996260318</v>
      </c>
      <c r="AO95" s="152" t="n">
        <f aca="false">'UT1 (1273)'!H131/SUM(AF95:AJ95)</f>
        <v>0</v>
      </c>
      <c r="AP95" s="148" t="n">
        <f aca="false">1000*SUM(AF95:AJ95)/O95</f>
        <v>18.5450212823856</v>
      </c>
      <c r="AQ95" s="151" t="n">
        <f aca="false">'UT1 (1273)'!I131</f>
        <v>344855.07</v>
      </c>
      <c r="AR95" s="143" t="n">
        <f aca="false">'UT2 (12334)'!H71</f>
        <v>522935.28</v>
      </c>
      <c r="AS95" s="143" t="n">
        <f aca="false">'UT3 (1279)'!H71</f>
        <v>1179707.76</v>
      </c>
      <c r="AT95" s="143" t="n">
        <f aca="false">'UT3b (1278)'!H15</f>
        <v>24462.9</v>
      </c>
      <c r="AU95" s="143" t="n">
        <f aca="false">'UT4 (1271)'!H27</f>
        <v>108799</v>
      </c>
      <c r="AV95" s="143" t="n">
        <f aca="false">'Osm.'!F71</f>
        <v>421495.2</v>
      </c>
      <c r="AW95" s="148" t="n">
        <f aca="false">'UT1 (1273)'!E131+'UT2 (12334)'!E71+'UT3 (1279)'!E71+'UT3b (1278)'!E15+'UT4 (1271)'!E27+'Osm.'!E71</f>
        <v>1898605.91</v>
      </c>
      <c r="AX95" s="149" t="n">
        <f aca="false">AW95/P95</f>
        <v>221952.503761642</v>
      </c>
      <c r="AY95" s="150" t="n">
        <f aca="false">AW95/SUM(AQ95:AV95)</f>
        <v>0.729600195516565</v>
      </c>
      <c r="AZ95" s="152" t="n">
        <f aca="false">SUM(AQ95:AV95)/((1400+2000+3000+2000+1600+2000)*24*30)</f>
        <v>0.301186945601852</v>
      </c>
      <c r="BA95" s="148"/>
      <c r="BB95" s="148"/>
      <c r="BC95" s="148"/>
      <c r="BD95" s="148"/>
      <c r="BE95" s="148" t="n">
        <f aca="false">1000*SUM(AQ95:AV95)/O95</f>
        <v>1569.4454535643</v>
      </c>
      <c r="BF95" s="151"/>
      <c r="BG95" s="143"/>
      <c r="BH95" s="143"/>
      <c r="BI95" s="143"/>
      <c r="BJ95" s="143"/>
    </row>
    <row r="96" customFormat="false" ht="18.75" hidden="false" customHeight="true" outlineLevel="0" collapsed="false">
      <c r="A96" s="18" t="n">
        <v>2021</v>
      </c>
      <c r="B96" s="18" t="n">
        <v>10</v>
      </c>
      <c r="C96" s="24" t="n">
        <f aca="false">SUM('UT1 (1273)'!C132:E132)</f>
        <v>791242.02</v>
      </c>
      <c r="D96" s="24" t="n">
        <f aca="false">SUM('UT2 (12334)'!C72:E72)</f>
        <v>535761.55</v>
      </c>
      <c r="E96" s="24" t="n">
        <f aca="false">SUM('UT3 (1279)'!C72:E72)</f>
        <v>1172212.56</v>
      </c>
      <c r="F96" s="24" t="n">
        <f aca="false">SUM('Osm.'!C72:E72)</f>
        <v>478649.03</v>
      </c>
      <c r="G96" s="24" t="n">
        <f aca="false">SUM('UT4 (1271)'!C28:E28)</f>
        <v>59233.17</v>
      </c>
      <c r="H96" s="25" t="n">
        <f aca="false">SUM('UT3b (1278)'!C16:E16)</f>
        <v>35286.5</v>
      </c>
      <c r="I96" s="161" t="n">
        <v>1011</v>
      </c>
      <c r="J96" s="143"/>
      <c r="K96" s="144" t="n">
        <f aca="false">102/I96</f>
        <v>0.100890207715134</v>
      </c>
      <c r="L96" s="25" t="n">
        <v>6736330</v>
      </c>
      <c r="M96" s="63" t="n">
        <v>771234.61</v>
      </c>
      <c r="N96" s="29" t="n">
        <v>1117591.92</v>
      </c>
      <c r="O96" s="29" t="n">
        <v>1723839.15</v>
      </c>
      <c r="P96" s="145" t="n">
        <f aca="false">'$'!C119</f>
        <v>9.219938</v>
      </c>
      <c r="Q96" s="35" t="n">
        <f aca="false">100*(SUM(C96:H96)/P96)/M96</f>
        <v>43.2076952060688</v>
      </c>
      <c r="R96" s="35" t="n">
        <f aca="false">100*(L96/P96)/M96</f>
        <v>94.7346473675622</v>
      </c>
      <c r="S96" s="146" t="n">
        <f aca="false">SUM(Q96:R96)</f>
        <v>137.942342573631</v>
      </c>
      <c r="T96" s="35" t="n">
        <f aca="false">100*SUM(L96,C96:H96)/O96/P96</f>
        <v>61.714521785435</v>
      </c>
      <c r="U96" s="29" t="n">
        <f aca="false">O96/I96</f>
        <v>1705.08323442136</v>
      </c>
      <c r="V96" s="29" t="n">
        <f aca="false">M96/I96</f>
        <v>762.843333333333</v>
      </c>
      <c r="W96" s="147"/>
      <c r="X96" s="143" t="n">
        <f aca="false">'UT1 (1273)'!F132</f>
        <v>133689.61</v>
      </c>
      <c r="Y96" s="143" t="n">
        <f aca="false">'UT2 (12334)'!F72</f>
        <v>6036.81</v>
      </c>
      <c r="Z96" s="143" t="n">
        <f aca="false">'UT3 (1279)'!F72</f>
        <v>25083.85</v>
      </c>
      <c r="AA96" s="143"/>
      <c r="AB96" s="148" t="n">
        <f aca="false">'UT1 (1273)'!C132+'UT2 (12334)'!C72+'UT3 (1279)'!C72+'UT4 (1271)'!C28</f>
        <v>482440.42</v>
      </c>
      <c r="AC96" s="149" t="n">
        <f aca="false">AB96/P96</f>
        <v>52325.7770280017</v>
      </c>
      <c r="AD96" s="150" t="n">
        <f aca="false">AB96/SUM(X96:AA96)</f>
        <v>2.92724731292534</v>
      </c>
      <c r="AE96" s="148" t="n">
        <f aca="false">1000*SUM(X96:AA96)/O96</f>
        <v>95.6065245414574</v>
      </c>
      <c r="AF96" s="151" t="n">
        <f aca="false">'UT1 (1273)'!G132</f>
        <v>23730</v>
      </c>
      <c r="AG96" s="143" t="n">
        <f aca="false">'UT2 (12334)'!G72</f>
        <v>2566</v>
      </c>
      <c r="AH96" s="143" t="n">
        <f aca="false">'UT3 (1279)'!G72</f>
        <v>4308</v>
      </c>
      <c r="AI96" s="143" t="n">
        <f aca="false">'UT3b (1278)'!G16</f>
        <v>1029</v>
      </c>
      <c r="AJ96" s="143" t="n">
        <f aca="false">'UT4 (1271)'!G28</f>
        <v>311</v>
      </c>
      <c r="AK96" s="148" t="n">
        <f aca="false">'UT1 (1273)'!D132+'UT2 (12334)'!D72+'UT3 (1279)'!D72+'UT3b (1278)'!D16+'UT4 (1271)'!D28</f>
        <v>80498.41</v>
      </c>
      <c r="AL96" s="149" t="n">
        <f aca="false">AK96/P96</f>
        <v>8730.90578266361</v>
      </c>
      <c r="AM96" s="150" t="n">
        <f aca="false">AK96/SUM(AF96:AJ96)</f>
        <v>2.51998528675182</v>
      </c>
      <c r="AN96" s="150" t="n">
        <f aca="false">AL96/SUM($AF$144:$AJ$144)</f>
        <v>0.542494456484629</v>
      </c>
      <c r="AO96" s="152" t="n">
        <f aca="false">'UT1 (1273)'!H132/SUM(AF96:AJ96)</f>
        <v>0</v>
      </c>
      <c r="AP96" s="148" t="n">
        <f aca="false">1000*SUM(AF96:AJ96)/O96</f>
        <v>18.5307312460098</v>
      </c>
      <c r="AQ96" s="151" t="n">
        <f aca="false">'UT1 (1273)'!I132</f>
        <v>369513.9</v>
      </c>
      <c r="AR96" s="143" t="n">
        <f aca="false">'UT2 (12334)'!H72</f>
        <v>545824.44</v>
      </c>
      <c r="AS96" s="143" t="n">
        <f aca="false">'UT3 (1279)'!H72</f>
        <v>1195882.38</v>
      </c>
      <c r="AT96" s="143" t="n">
        <f aca="false">'UT3b (1278)'!H16</f>
        <v>31449.6</v>
      </c>
      <c r="AU96" s="143" t="n">
        <f aca="false">'UT4 (1271)'!H28</f>
        <v>187623</v>
      </c>
      <c r="AV96" s="143" t="n">
        <f aca="false">'Osm.'!F72</f>
        <v>496162.8</v>
      </c>
      <c r="AW96" s="148" t="n">
        <f aca="false">'UT1 (1273)'!E132+'UT2 (12334)'!E72+'UT3 (1279)'!E72+'UT3b (1278)'!E16+'UT4 (1271)'!E28+'Osm.'!E72</f>
        <v>2502119.65</v>
      </c>
      <c r="AX96" s="149" t="n">
        <f aca="false">AW96/P96</f>
        <v>271381.396490953</v>
      </c>
      <c r="AY96" s="150" t="n">
        <f aca="false">AW96/SUM(AQ96:AV96)</f>
        <v>0.885249777024665</v>
      </c>
      <c r="AZ96" s="152" t="n">
        <f aca="false">SUM(AQ96:AV96)/((1400+2000+3000+2000+1600+2000)*24*30)</f>
        <v>0.327136125</v>
      </c>
      <c r="BA96" s="148"/>
      <c r="BB96" s="148"/>
      <c r="BC96" s="148"/>
      <c r="BD96" s="148"/>
      <c r="BE96" s="148" t="n">
        <f aca="false">1000*SUM(AQ96:AV96)/O96</f>
        <v>1639.62868577384</v>
      </c>
      <c r="BF96" s="151"/>
      <c r="BG96" s="143"/>
      <c r="BH96" s="143"/>
      <c r="BI96" s="143" t="n">
        <f aca="false">'UT4 (1271)'!I28</f>
        <v>132476</v>
      </c>
      <c r="BJ96" s="162" t="n">
        <f aca="false">SUM(BH96:BI96)/SUM(AQ96:AU96)</f>
        <v>0.0568494956677814</v>
      </c>
    </row>
    <row r="97" customFormat="false" ht="18.75" hidden="false" customHeight="true" outlineLevel="0" collapsed="false">
      <c r="A97" s="18" t="n">
        <v>2021</v>
      </c>
      <c r="B97" s="18" t="n">
        <v>11</v>
      </c>
      <c r="C97" s="24" t="n">
        <f aca="false">SUM('UT1 (1273)'!C133:E133)</f>
        <v>1072972.99</v>
      </c>
      <c r="D97" s="24" t="n">
        <f aca="false">SUM('UT2 (12334)'!C73:E73)</f>
        <v>558651.38</v>
      </c>
      <c r="E97" s="24" t="n">
        <f aca="false">SUM('UT3 (1279)'!C73:E73)</f>
        <v>1117296.09</v>
      </c>
      <c r="F97" s="24" t="n">
        <f aca="false">SUM('Osm.'!C73:E73)</f>
        <v>500840.25</v>
      </c>
      <c r="G97" s="24" t="n">
        <f aca="false">SUM('UT4 (1271)'!C29:E29)</f>
        <v>90690.9</v>
      </c>
      <c r="H97" s="25" t="n">
        <f aca="false">SUM('UT3b (1278)'!C17:E17)</f>
        <v>75008.37</v>
      </c>
      <c r="I97" s="161" t="n">
        <v>1064</v>
      </c>
      <c r="J97" s="143"/>
      <c r="K97" s="144" t="n">
        <f aca="false">131/I97</f>
        <v>0.12312030075188</v>
      </c>
      <c r="L97" s="25" t="n">
        <v>7124760</v>
      </c>
      <c r="M97" s="63" t="n">
        <v>724078.27</v>
      </c>
      <c r="N97" s="29" t="n">
        <v>1074653.16</v>
      </c>
      <c r="O97" s="29" t="n">
        <v>1712969.41</v>
      </c>
      <c r="P97" s="145" t="n">
        <f aca="false">'$'!C120</f>
        <v>10.680956</v>
      </c>
      <c r="Q97" s="35" t="n">
        <f aca="false">100*(SUM(C97:H97)/P97)/M97</f>
        <v>44.1624908726041</v>
      </c>
      <c r="R97" s="35" t="n">
        <f aca="false">100*(L97/P97)/M97</f>
        <v>92.1243845080846</v>
      </c>
      <c r="S97" s="146" t="n">
        <f aca="false">SUM(Q97:R97)</f>
        <v>136.286875380689</v>
      </c>
      <c r="T97" s="35" t="n">
        <f aca="false">100*SUM(L97,C97:H97)/O97/P97</f>
        <v>57.6089475814718</v>
      </c>
      <c r="U97" s="29" t="n">
        <f aca="false">O97/I97</f>
        <v>1609.93365601504</v>
      </c>
      <c r="V97" s="29" t="n">
        <f aca="false">M97/I97</f>
        <v>680.524689849624</v>
      </c>
      <c r="W97" s="147"/>
      <c r="X97" s="143" t="n">
        <f aca="false">'UT1 (1273)'!F133</f>
        <v>139381.81</v>
      </c>
      <c r="Y97" s="143" t="n">
        <f aca="false">'UT2 (12334)'!F73</f>
        <v>5184.04</v>
      </c>
      <c r="Z97" s="143" t="n">
        <f aca="false">'UT3 (1279)'!F73</f>
        <v>23646.37</v>
      </c>
      <c r="AA97" s="143"/>
      <c r="AB97" s="148" t="n">
        <f aca="false">'UT1 (1273)'!C133+'UT2 (12334)'!C73+'UT3 (1279)'!C73+'UT4 (1271)'!C29</f>
        <v>726444.31</v>
      </c>
      <c r="AC97" s="149" t="n">
        <f aca="false">AB97/P97</f>
        <v>68013.0420909889</v>
      </c>
      <c r="AD97" s="150" t="n">
        <f aca="false">AB97/SUM(X97:AA97)</f>
        <v>4.31861793394083</v>
      </c>
      <c r="AE97" s="148" t="n">
        <f aca="false">1000*SUM(X97:AA97)/O97</f>
        <v>98.1991966803423</v>
      </c>
      <c r="AF97" s="151" t="n">
        <f aca="false">'UT1 (1273)'!G133</f>
        <v>25408</v>
      </c>
      <c r="AG97" s="143" t="n">
        <f aca="false">'UT2 (12334)'!G73</f>
        <v>2162</v>
      </c>
      <c r="AH97" s="143" t="n">
        <f aca="false">'UT3 (1279)'!G73</f>
        <v>4307</v>
      </c>
      <c r="AI97" s="143" t="n">
        <f aca="false">'UT3b (1278)'!G17</f>
        <v>640</v>
      </c>
      <c r="AJ97" s="143" t="n">
        <f aca="false">'UT4 (1271)'!G29</f>
        <v>226</v>
      </c>
      <c r="AK97" s="148" t="n">
        <f aca="false">'UT1 (1273)'!D133+'UT2 (12334)'!D73+'UT3 (1279)'!D73+'UT3b (1278)'!D17+'UT4 (1271)'!D29</f>
        <v>80576.06</v>
      </c>
      <c r="AL97" s="149" t="n">
        <f aca="false">AK97/P97</f>
        <v>7543.89962846022</v>
      </c>
      <c r="AM97" s="150" t="n">
        <f aca="false">AK97/SUM(AF97:AJ97)</f>
        <v>2.46086369605717</v>
      </c>
      <c r="AN97" s="150" t="n">
        <f aca="false">AL97/SUM($AF$144:$AJ$144)</f>
        <v>0.468739879983859</v>
      </c>
      <c r="AO97" s="152" t="n">
        <f aca="false">'UT1 (1273)'!H133/SUM(AF97:AJ97)</f>
        <v>0</v>
      </c>
      <c r="AP97" s="148" t="n">
        <f aca="false">1000*SUM(AF97:AJ97)/O97</f>
        <v>19.1147604906733</v>
      </c>
      <c r="AQ97" s="151" t="n">
        <f aca="false">'UT1 (1273)'!I133</f>
        <v>386453.97</v>
      </c>
      <c r="AR97" s="143" t="n">
        <f aca="false">'UT2 (12334)'!H73</f>
        <v>492430.68</v>
      </c>
      <c r="AS97" s="143" t="n">
        <f aca="false">'UT3 (1279)'!H73</f>
        <v>948984.12</v>
      </c>
      <c r="AT97" s="143" t="n">
        <f aca="false">'UT3b (1278)'!H17</f>
        <v>65208.15</v>
      </c>
      <c r="AU97" s="143" t="n">
        <f aca="false">'UT4 (1271)'!H29</f>
        <v>160969</v>
      </c>
      <c r="AV97" s="143" t="n">
        <f aca="false">'Osm.'!F73</f>
        <v>473261.04</v>
      </c>
      <c r="AW97" s="148" t="n">
        <f aca="false">'UT1 (1273)'!E133+'UT2 (12334)'!E73+'UT3 (1279)'!E73+'UT3b (1278)'!E17+'UT4 (1271)'!E29+'Osm.'!E73</f>
        <v>2600594.3</v>
      </c>
      <c r="AX97" s="149" t="n">
        <f aca="false">AW97/P97</f>
        <v>243479.544340413</v>
      </c>
      <c r="AY97" s="150" t="n">
        <f aca="false">AW97/SUM(AQ97:AV97)</f>
        <v>1.02899819497985</v>
      </c>
      <c r="AZ97" s="152" t="n">
        <f aca="false">SUM(AQ97:AV97)/((1400+2000+3000+2000+1600+2000)*24*30)</f>
        <v>0.29251237962963</v>
      </c>
      <c r="BA97" s="148"/>
      <c r="BB97" s="148"/>
      <c r="BC97" s="148"/>
      <c r="BD97" s="148"/>
      <c r="BE97" s="148" t="n">
        <f aca="false">1000*SUM(AQ97:AV97)/O97</f>
        <v>1475.39526698261</v>
      </c>
      <c r="BF97" s="151"/>
      <c r="BG97" s="143"/>
      <c r="BH97" s="143"/>
      <c r="BI97" s="143" t="n">
        <f aca="false">'UT4 (1271)'!I29</f>
        <v>85924</v>
      </c>
      <c r="BJ97" s="162" t="n">
        <f aca="false">SUM(BH97:BI97)/SUM(AQ97:AU97)</f>
        <v>0.0418315867057149</v>
      </c>
    </row>
    <row r="98" customFormat="false" ht="18.75" hidden="false" customHeight="true" outlineLevel="0" collapsed="false">
      <c r="A98" s="18" t="n">
        <v>2021</v>
      </c>
      <c r="B98" s="18" t="n">
        <v>12</v>
      </c>
      <c r="C98" s="24" t="n">
        <f aca="false">SUM('UT1 (1273)'!C134:E134)</f>
        <v>1606053.21</v>
      </c>
      <c r="D98" s="24" t="n">
        <f aca="false">SUM('UT2 (12334)'!C74:E74)</f>
        <v>697587.28</v>
      </c>
      <c r="E98" s="24" t="n">
        <f aca="false">SUM('UT3 (1279)'!C74:E74)</f>
        <v>1704581.96</v>
      </c>
      <c r="F98" s="24" t="n">
        <f aca="false">SUM('Osm.'!C74:E74)</f>
        <v>597831.07</v>
      </c>
      <c r="G98" s="24" t="n">
        <f aca="false">SUM('UT4 (1271)'!C30:E30)</f>
        <v>138198.61</v>
      </c>
      <c r="H98" s="25" t="n">
        <f aca="false">SUM('UT3b (1278)'!C18:E18)</f>
        <v>130590.29</v>
      </c>
      <c r="I98" s="161" t="n">
        <v>1102</v>
      </c>
      <c r="J98" s="143"/>
      <c r="K98" s="144" t="n">
        <f aca="false">105/1102</f>
        <v>0.0952813067150635</v>
      </c>
      <c r="L98" s="25" t="n">
        <v>7497317</v>
      </c>
      <c r="M98" s="63" t="n">
        <v>611152.93</v>
      </c>
      <c r="N98" s="29" t="n">
        <v>1056277.62</v>
      </c>
      <c r="O98" s="29" t="n">
        <v>1856028.58</v>
      </c>
      <c r="P98" s="145" t="n">
        <f aca="false">'$'!C121</f>
        <v>13.466856</v>
      </c>
      <c r="Q98" s="35" t="n">
        <f aca="false">100*(SUM(C98:H98)/P98)/M98</f>
        <v>59.2303729397842</v>
      </c>
      <c r="R98" s="35" t="n">
        <f aca="false">100*(L98/P98)/M98</f>
        <v>91.0939972409989</v>
      </c>
      <c r="S98" s="146" t="n">
        <f aca="false">SUM(Q98:R98)</f>
        <v>150.324370180783</v>
      </c>
      <c r="T98" s="35" t="n">
        <f aca="false">100*SUM(L98,C98:H98)/O98/P98</f>
        <v>49.4987955877222</v>
      </c>
      <c r="U98" s="29" t="n">
        <f aca="false">O98/I98</f>
        <v>1684.23646098004</v>
      </c>
      <c r="V98" s="29" t="n">
        <f aca="false">M98/I98</f>
        <v>554.585235934664</v>
      </c>
      <c r="W98" s="147"/>
      <c r="X98" s="143" t="n">
        <f aca="false">'UT1 (1273)'!F134</f>
        <v>157843.27</v>
      </c>
      <c r="Y98" s="143" t="n">
        <f aca="false">'UT2 (12334)'!F74</f>
        <v>630.87</v>
      </c>
      <c r="Z98" s="143" t="n">
        <f aca="false">'UT3 (1279)'!F74</f>
        <v>35376.18</v>
      </c>
      <c r="AA98" s="143"/>
      <c r="AB98" s="148" t="n">
        <f aca="false">'UT1 (1273)'!C134+'UT2 (12334)'!C74+'UT3 (1279)'!C74+'UT4 (1271)'!C30</f>
        <v>1268297.51</v>
      </c>
      <c r="AC98" s="149" t="n">
        <f aca="false">AB98/P98</f>
        <v>94179.1840649369</v>
      </c>
      <c r="AD98" s="150" t="n">
        <f aca="false">AB98/SUM(X98:AA98)</f>
        <v>6.54266399972928</v>
      </c>
      <c r="AE98" s="148" t="n">
        <f aca="false">1000*SUM(X98:AA98)/O98</f>
        <v>104.443607220747</v>
      </c>
      <c r="AF98" s="151" t="n">
        <f aca="false">'UT1 (1273)'!G134</f>
        <v>25951</v>
      </c>
      <c r="AG98" s="143" t="n">
        <f aca="false">'UT2 (12334)'!G74</f>
        <v>1906</v>
      </c>
      <c r="AH98" s="143" t="n">
        <f aca="false">'UT3 (1279)'!G74</f>
        <v>3865</v>
      </c>
      <c r="AI98" s="143" t="n">
        <f aca="false">'UT3b (1278)'!G18</f>
        <v>747</v>
      </c>
      <c r="AJ98" s="143" t="n">
        <f aca="false">'UT4 (1271)'!G30</f>
        <v>233</v>
      </c>
      <c r="AK98" s="148" t="n">
        <f aca="false">'UT1 (1273)'!D134+'UT2 (12334)'!D74+'UT3 (1279)'!D74+'UT3b (1278)'!D18+'UT4 (1271)'!D30</f>
        <v>78308.74</v>
      </c>
      <c r="AL98" s="149" t="n">
        <f aca="false">AK98/P98</f>
        <v>5814.92369117187</v>
      </c>
      <c r="AM98" s="150" t="n">
        <f aca="false">AK98/SUM(AF98:AJ98)</f>
        <v>2.39461623142315</v>
      </c>
      <c r="AN98" s="150" t="n">
        <f aca="false">AL98/SUM($AF$144:$AJ$144)</f>
        <v>0.36131003424704</v>
      </c>
      <c r="AO98" s="152" t="n">
        <f aca="false">'UT1 (1273)'!H134/SUM(AF98:AJ98)</f>
        <v>0</v>
      </c>
      <c r="AP98" s="148" t="n">
        <f aca="false">1000*SUM(AF98:AJ98)/O98</f>
        <v>17.6193407539015</v>
      </c>
      <c r="AQ98" s="151" t="n">
        <f aca="false">'UT1 (1273)'!I134</f>
        <v>405660.15</v>
      </c>
      <c r="AR98" s="143" t="n">
        <f aca="false">'UT2 (12334)'!H74</f>
        <v>531911.52</v>
      </c>
      <c r="AS98" s="143" t="n">
        <f aca="false">'UT3 (1279)'!H74</f>
        <v>1103710.86</v>
      </c>
      <c r="AT98" s="143" t="n">
        <f aca="false">'UT3b (1278)'!H18</f>
        <v>95586.75</v>
      </c>
      <c r="AU98" s="143" t="n">
        <f aca="false">'UT4 (1271)'!H30</f>
        <v>164504</v>
      </c>
      <c r="AV98" s="143" t="n">
        <f aca="false">'Osm.'!F74</f>
        <v>456135.12</v>
      </c>
      <c r="AW98" s="148" t="n">
        <f aca="false">'UT1 (1273)'!E134+'UT2 (12334)'!E74+'UT3 (1279)'!E74+'UT3b (1278)'!E18+'UT4 (1271)'!E30+'Osm.'!E74</f>
        <v>3520474.01</v>
      </c>
      <c r="AX98" s="149" t="n">
        <f aca="false">AW98/P98</f>
        <v>261417.661999208</v>
      </c>
      <c r="AY98" s="150" t="n">
        <f aca="false">AW98/SUM(AQ98:AV98)</f>
        <v>1.27668659504355</v>
      </c>
      <c r="AZ98" s="152" t="n">
        <f aca="false">SUM(AQ98:AV98)/((1400+2000+3000+2000+1600+2000)*24*30)</f>
        <v>0.319156064814815</v>
      </c>
      <c r="BA98" s="148"/>
      <c r="BB98" s="148"/>
      <c r="BC98" s="148"/>
      <c r="BD98" s="148"/>
      <c r="BE98" s="148" t="n">
        <f aca="false">1000*SUM(AQ98:AV98)/O98</f>
        <v>1485.70363070595</v>
      </c>
      <c r="BF98" s="151"/>
      <c r="BG98" s="143"/>
      <c r="BH98" s="143"/>
      <c r="BI98" s="143" t="n">
        <f aca="false">'UT4 (1271)'!I30</f>
        <v>63727</v>
      </c>
      <c r="BJ98" s="162" t="n">
        <f aca="false">SUM(BH98:BI98)/SUM(AQ98:AU98)</f>
        <v>0.0276908576951932</v>
      </c>
    </row>
    <row r="99" customFormat="false" ht="18.75" hidden="false" customHeight="true" outlineLevel="0" collapsed="false">
      <c r="A99" s="18" t="n">
        <v>2022</v>
      </c>
      <c r="B99" s="18" t="n">
        <v>1</v>
      </c>
      <c r="C99" s="24" t="n">
        <f aca="false">SUM('UT1 (1273)'!C135:E135)</f>
        <v>1712940.5</v>
      </c>
      <c r="D99" s="24" t="n">
        <f aca="false">SUM('UT2 (12334)'!C75:E75)</f>
        <v>846397.78</v>
      </c>
      <c r="E99" s="24" t="n">
        <f aca="false">SUM('UT3 (1279)'!C75:E75)</f>
        <v>1570633.88</v>
      </c>
      <c r="F99" s="24" t="n">
        <f aca="false">SUM('Osm.'!C75:E75)</f>
        <v>644993.25</v>
      </c>
      <c r="G99" s="24" t="n">
        <f aca="false">SUM('UT4 (1271)'!C31:E31)</f>
        <v>113695.52</v>
      </c>
      <c r="H99" s="25" t="n">
        <f aca="false">SUM('UT3b (1278)'!C19:E19)</f>
        <v>208168.12</v>
      </c>
      <c r="I99" s="161" t="n">
        <v>1141</v>
      </c>
      <c r="J99" s="143"/>
      <c r="K99" s="144" t="n">
        <f aca="false">90/I99</f>
        <v>0.0788781770376862</v>
      </c>
      <c r="L99" s="25" t="n">
        <v>10467226</v>
      </c>
      <c r="M99" s="63" t="n">
        <v>764864.8</v>
      </c>
      <c r="N99" s="29" t="n">
        <v>970603.4</v>
      </c>
      <c r="O99" s="29" t="n">
        <v>1594634.91</v>
      </c>
      <c r="P99" s="145" t="n">
        <f aca="false">'$'!C122</f>
        <v>13.535066</v>
      </c>
      <c r="Q99" s="35" t="n">
        <f aca="false">100*(SUM(C99:H99)/P99)/M99</f>
        <v>49.2328542991213</v>
      </c>
      <c r="R99" s="35" t="n">
        <f aca="false">100*(L99/P99)/M99</f>
        <v>101.108239558079</v>
      </c>
      <c r="S99" s="146" t="n">
        <f aca="false">SUM(Q99:R99)</f>
        <v>150.3410938572</v>
      </c>
      <c r="T99" s="35" t="n">
        <f aca="false">100*SUM(L99,C99:H99)/O99/P99</f>
        <v>72.1109327055109</v>
      </c>
      <c r="U99" s="29" t="n">
        <f aca="false">O99/I99</f>
        <v>1397.57660823839</v>
      </c>
      <c r="V99" s="29" t="n">
        <f aca="false">M99/I99</f>
        <v>670.346012269939</v>
      </c>
      <c r="W99" s="147"/>
      <c r="X99" s="143" t="n">
        <f aca="false">'UT1 (1273)'!F135</f>
        <v>124439.41</v>
      </c>
      <c r="Y99" s="143" t="n">
        <f aca="false">'UT2 (12334)'!F75</f>
        <v>0</v>
      </c>
      <c r="Z99" s="143" t="n">
        <f aca="false">'UT3 (1279)'!F75</f>
        <v>32840.77</v>
      </c>
      <c r="AA99" s="143"/>
      <c r="AB99" s="148" t="n">
        <f aca="false">'UT1 (1273)'!C135+'UT2 (12334)'!C75+'UT3 (1279)'!C75+'UT4 (1271)'!C31</f>
        <v>1457626.5</v>
      </c>
      <c r="AC99" s="149" t="n">
        <f aca="false">AB99/P99</f>
        <v>107692.603789298</v>
      </c>
      <c r="AD99" s="150" t="n">
        <f aca="false">AB99/SUM(X99:AA99)</f>
        <v>9.26770620430368</v>
      </c>
      <c r="AE99" s="148" t="n">
        <f aca="false">1000*SUM(X99:AA99)/O99</f>
        <v>98.630839581958</v>
      </c>
      <c r="AF99" s="151" t="n">
        <f aca="false">'UT1 (1273)'!G135</f>
        <v>18156</v>
      </c>
      <c r="AG99" s="143" t="n">
        <f aca="false">'UT2 (12334)'!G75</f>
        <v>1606</v>
      </c>
      <c r="AH99" s="143" t="n">
        <f aca="false">'UT3 (1279)'!G75</f>
        <v>3937</v>
      </c>
      <c r="AI99" s="143" t="n">
        <f aca="false">'UT3b (1278)'!G19</f>
        <v>45</v>
      </c>
      <c r="AJ99" s="143" t="n">
        <f aca="false">'UT4 (1271)'!G31</f>
        <v>280</v>
      </c>
      <c r="AK99" s="148" t="n">
        <f aca="false">'UT1 (1273)'!D135+'UT2 (12334)'!D75+'UT3 (1279)'!D75+'UT3b (1278)'!D19+'UT4 (1271)'!D31</f>
        <v>64522.92</v>
      </c>
      <c r="AL99" s="149" t="n">
        <f aca="false">AK99/P99</f>
        <v>4767.09311945727</v>
      </c>
      <c r="AM99" s="150" t="n">
        <f aca="false">AK99/SUM(AF99:AJ99)</f>
        <v>2.68576923076923</v>
      </c>
      <c r="AN99" s="150" t="n">
        <f aca="false">AL99/SUM($AF$144:$AJ$144)</f>
        <v>0.29620312659732</v>
      </c>
      <c r="AO99" s="152" t="n">
        <f aca="false">'UT1 (1273)'!H135/SUM(AF99:AJ99)</f>
        <v>0.646395271395271</v>
      </c>
      <c r="AP99" s="148" t="n">
        <f aca="false">1000*SUM(AF99:AJ99)/O99</f>
        <v>15.0655174105024</v>
      </c>
      <c r="AQ99" s="151" t="n">
        <f aca="false">'UT1 (1273)'!I135</f>
        <v>320778.36</v>
      </c>
      <c r="AR99" s="143" t="n">
        <f aca="false">'UT2 (12334)'!H75</f>
        <v>532539</v>
      </c>
      <c r="AS99" s="143" t="n">
        <f aca="false">'UT3 (1279)'!H75</f>
        <v>773535.42</v>
      </c>
      <c r="AT99" s="143" t="n">
        <f aca="false">'UT3b (1278)'!H19</f>
        <v>123716.25</v>
      </c>
      <c r="AU99" s="143" t="n">
        <f aca="false">'UT4 (1271)'!H31</f>
        <v>141411</v>
      </c>
      <c r="AV99" s="143" t="n">
        <f aca="false">'Osm.'!F75</f>
        <v>402650.64</v>
      </c>
      <c r="AW99" s="148" t="n">
        <f aca="false">'UT1 (1273)'!E135+'UT2 (12334)'!E75+'UT3 (1279)'!E75+'UT3b (1278)'!E19+'UT4 (1271)'!E31+'Osm.'!E75</f>
        <v>3564676.74</v>
      </c>
      <c r="AX99" s="149" t="n">
        <f aca="false">AW99/P99</f>
        <v>263366.040475902</v>
      </c>
      <c r="AY99" s="150" t="n">
        <f aca="false">AW99/SUM(AQ99:AV99)</f>
        <v>1.55348605185339</v>
      </c>
      <c r="AZ99" s="152" t="n">
        <f aca="false">SUM(AQ99:AV99)/((1400+2000+3000+2000+1600+2000)*24*30)</f>
        <v>0.265582253472222</v>
      </c>
      <c r="BA99" s="152" t="n">
        <f aca="false">AQ99/(1400*24*30)</f>
        <v>0.3182325</v>
      </c>
      <c r="BB99" s="152" t="n">
        <f aca="false">AR99/(2000*24*30)</f>
        <v>0.36981875</v>
      </c>
      <c r="BC99" s="152" t="n">
        <f aca="false">(AS99+AT99)/(5000*24*30)</f>
        <v>0.249236575</v>
      </c>
      <c r="BD99" s="152" t="n">
        <f aca="false">AU99/(1600*24*30)</f>
        <v>0.122752604166667</v>
      </c>
      <c r="BE99" s="148" t="n">
        <f aca="false">1000*SUM(AQ99:AV99)/O99</f>
        <v>1438.96929360464</v>
      </c>
      <c r="BF99" s="151"/>
      <c r="BG99" s="143"/>
      <c r="BH99" s="143"/>
      <c r="BI99" s="143" t="n">
        <f aca="false">'UT4 (1271)'!I31</f>
        <v>71109</v>
      </c>
      <c r="BJ99" s="162" t="n">
        <f aca="false">SUM(BH99:BI99)/SUM(AQ99:AU99)</f>
        <v>0.0375844347574853</v>
      </c>
    </row>
    <row r="100" customFormat="false" ht="18.75" hidden="false" customHeight="true" outlineLevel="0" collapsed="false">
      <c r="A100" s="18" t="n">
        <v>2022</v>
      </c>
      <c r="B100" s="18" t="n">
        <v>2</v>
      </c>
      <c r="C100" s="24" t="n">
        <f aca="false">SUM('UT1 (1273)'!C136:E136)</f>
        <v>1551104.46</v>
      </c>
      <c r="D100" s="24" t="n">
        <f aca="false">SUM('UT2 (12334)'!C76:E76)</f>
        <v>956722.91</v>
      </c>
      <c r="E100" s="24" t="n">
        <f aca="false">SUM('UT3 (1279)'!C76:E76)</f>
        <v>1701066.81</v>
      </c>
      <c r="F100" s="24" t="n">
        <f aca="false">SUM('Osm.'!C76:E76)</f>
        <v>654397.12</v>
      </c>
      <c r="G100" s="24" t="n">
        <f aca="false">SUM('UT4 (1271)'!C32:E32)</f>
        <v>117713.84</v>
      </c>
      <c r="H100" s="25" t="n">
        <f aca="false">SUM('UT3b (1278)'!C20:E20)</f>
        <v>187897.19</v>
      </c>
      <c r="I100" s="163" t="n">
        <v>1163</v>
      </c>
      <c r="J100" s="143"/>
      <c r="K100" s="144" t="n">
        <f aca="false">83/I100</f>
        <v>0.0713671539122958</v>
      </c>
      <c r="L100" s="25" t="n">
        <v>9608966</v>
      </c>
      <c r="M100" s="158" t="n">
        <v>611703.48</v>
      </c>
      <c r="N100" s="29" t="n">
        <v>877921.91</v>
      </c>
      <c r="O100" s="156" t="n">
        <v>1552533.27</v>
      </c>
      <c r="P100" s="145" t="n">
        <f aca="false">'$'!C123</f>
        <v>13.629202</v>
      </c>
      <c r="Q100" s="35" t="n">
        <f aca="false">100*(SUM(C100:H100)/P100)/M100</f>
        <v>61.9993228803033</v>
      </c>
      <c r="R100" s="35" t="n">
        <f aca="false">100*(L100/P100)/M100</f>
        <v>115.256460181529</v>
      </c>
      <c r="S100" s="146" t="n">
        <f aca="false">SUM(Q100:R100)</f>
        <v>177.255783061832</v>
      </c>
      <c r="T100" s="35" t="n">
        <f aca="false">100*SUM(L100,C100:H100)/O100/P100</f>
        <v>69.8393918148033</v>
      </c>
      <c r="U100" s="29" t="n">
        <f aca="false">O100/I100</f>
        <v>1334.93832330181</v>
      </c>
      <c r="V100" s="29" t="n">
        <f aca="false">M100/I100</f>
        <v>525.970318142734</v>
      </c>
      <c r="W100" s="147"/>
      <c r="X100" s="143" t="n">
        <f aca="false">'UT1 (1273)'!F136</f>
        <v>106897.07</v>
      </c>
      <c r="Y100" s="143" t="n">
        <f aca="false">'UT2 (12334)'!F76</f>
        <v>0</v>
      </c>
      <c r="Z100" s="143" t="n">
        <f aca="false">'UT3 (1279)'!F76</f>
        <v>31954.75</v>
      </c>
      <c r="AA100" s="143"/>
      <c r="AB100" s="148" t="n">
        <f aca="false">'UT1 (1273)'!C136+'UT2 (12334)'!C76+'UT3 (1279)'!C76+'UT4 (1271)'!C32</f>
        <v>1264317.84</v>
      </c>
      <c r="AC100" s="149" t="n">
        <f aca="false">AB100/P100</f>
        <v>92765.3607305842</v>
      </c>
      <c r="AD100" s="150" t="n">
        <f aca="false">AB100/SUM(X100:AA100)</f>
        <v>9.10551867451215</v>
      </c>
      <c r="AE100" s="148" t="n">
        <f aca="false">1000*SUM(X100:AA100)/O100</f>
        <v>89.435648615762</v>
      </c>
      <c r="AF100" s="151" t="n">
        <f aca="false">'UT1 (1273)'!G136</f>
        <v>17073</v>
      </c>
      <c r="AG100" s="143" t="n">
        <f aca="false">'UT2 (12334)'!G76</f>
        <v>1956</v>
      </c>
      <c r="AH100" s="143" t="n">
        <f aca="false">'UT3 (1279)'!G76</f>
        <v>2857</v>
      </c>
      <c r="AI100" s="143" t="n">
        <f aca="false">'UT3b (1278)'!G20</f>
        <v>16</v>
      </c>
      <c r="AJ100" s="143" t="n">
        <f aca="false">'UT4 (1271)'!G32</f>
        <v>223</v>
      </c>
      <c r="AK100" s="148" t="n">
        <f aca="false">'UT1 (1273)'!D136+'UT2 (12334)'!D76+'UT3 (1279)'!D76+'UT3b (1278)'!D20+'UT4 (1271)'!D32</f>
        <v>99731.32</v>
      </c>
      <c r="AL100" s="149" t="n">
        <f aca="false">AK100/P100</f>
        <v>7317.47317267731</v>
      </c>
      <c r="AM100" s="150" t="n">
        <f aca="false">AK100/SUM(AF100:AJ100)</f>
        <v>4.50763028248588</v>
      </c>
      <c r="AN100" s="150" t="n">
        <f aca="false">AL100/SUM($AF$144:$AJ$144)</f>
        <v>0.454670881861396</v>
      </c>
      <c r="AO100" s="152" t="n">
        <f aca="false">'UT1 (1273)'!H136/SUM(AF100:AJ100)</f>
        <v>0.645152542372881</v>
      </c>
      <c r="AP100" s="148" t="n">
        <f aca="false">1000*SUM(AF100:AJ100)/O100</f>
        <v>14.25090233332</v>
      </c>
      <c r="AQ100" s="151" t="n">
        <f aca="false">'UT1 (1273)'!I136</f>
        <v>280942.83</v>
      </c>
      <c r="AR100" s="143" t="n">
        <f aca="false">'UT2 (12334)'!H76</f>
        <v>528219.72</v>
      </c>
      <c r="AS100" s="143" t="n">
        <f aca="false">'UT3 (1279)'!H76</f>
        <v>790802.46</v>
      </c>
      <c r="AT100" s="143" t="n">
        <f aca="false">'UT3b (1278)'!H20</f>
        <v>133367</v>
      </c>
      <c r="AU100" s="143" t="n">
        <f aca="false">'UT4 (1271)'!H32</f>
        <v>156622</v>
      </c>
      <c r="AV100" s="143" t="n">
        <f aca="false">'Osm.'!F76</f>
        <v>371024.64</v>
      </c>
      <c r="AW100" s="148" t="n">
        <f aca="false">'UT1 (1273)'!E136+'UT2 (12334)'!E76+'UT3 (1279)'!E76+'UT3b (1278)'!E20+'UT4 (1271)'!E32+'Osm.'!E76</f>
        <v>3796599.61</v>
      </c>
      <c r="AX100" s="149" t="n">
        <f aca="false">AW100/P100</f>
        <v>278563.60262325</v>
      </c>
      <c r="AY100" s="150" t="n">
        <f aca="false">AW100/SUM(AQ100:AV100)</f>
        <v>1.67918419309267</v>
      </c>
      <c r="AZ100" s="152" t="n">
        <f aca="false">SUM(AQ100:AV100)/((1400+2000+3000+2000+1600+2000)*24*30)</f>
        <v>0.26168734375</v>
      </c>
      <c r="BA100" s="152" t="n">
        <f aca="false">AQ100/(1400*24*30)</f>
        <v>0.278713125</v>
      </c>
      <c r="BB100" s="152" t="n">
        <f aca="false">AR100/(2000*24*30)</f>
        <v>0.36681925</v>
      </c>
      <c r="BC100" s="152" t="n">
        <f aca="false">(AS100+AT100)/(5000*24*30)</f>
        <v>0.256713738888889</v>
      </c>
      <c r="BD100" s="152" t="n">
        <f aca="false">AU100/(1600*24*30)</f>
        <v>0.135956597222222</v>
      </c>
      <c r="BE100" s="148" t="n">
        <f aca="false">1000*SUM(AQ100:AV100)/O100</f>
        <v>1456.31574774562</v>
      </c>
      <c r="BF100" s="151"/>
      <c r="BG100" s="143"/>
      <c r="BH100" s="143"/>
      <c r="BI100" s="143" t="n">
        <f aca="false">'UT4 (1271)'!I32</f>
        <v>94997</v>
      </c>
      <c r="BJ100" s="162" t="n">
        <f aca="false">SUM(BH100:BI100)/SUM(AQ100:AU100)</f>
        <v>0.050264186058157</v>
      </c>
    </row>
    <row r="101" customFormat="false" ht="18.75" hidden="false" customHeight="true" outlineLevel="0" collapsed="false">
      <c r="A101" s="18" t="n">
        <v>2022</v>
      </c>
      <c r="B101" s="18" t="n">
        <v>3</v>
      </c>
      <c r="C101" s="24" t="n">
        <f aca="false">SUM('UT1 (1273)'!C137:E137)</f>
        <v>2073584.02</v>
      </c>
      <c r="D101" s="24" t="n">
        <f aca="false">SUM('UT2 (12334)'!C77:E77)</f>
        <v>1186400.29</v>
      </c>
      <c r="E101" s="24" t="n">
        <f aca="false">SUM('UT3 (1279)'!C77:E77)</f>
        <v>2124190.76</v>
      </c>
      <c r="F101" s="24" t="n">
        <f aca="false">SUM('Osm.'!C77:E77)</f>
        <v>805043.3</v>
      </c>
      <c r="G101" s="24" t="n">
        <f aca="false">SUM('UT4 (1271)'!C33:E33)</f>
        <v>57039.18</v>
      </c>
      <c r="H101" s="25" t="n">
        <f aca="false">SUM('UT3b (1278)'!C21:E21)</f>
        <v>26429.18</v>
      </c>
      <c r="I101" s="161" t="n">
        <v>1151</v>
      </c>
      <c r="J101" s="143"/>
      <c r="K101" s="144" t="n">
        <f aca="false">69/I101</f>
        <v>0.0599478714161599</v>
      </c>
      <c r="L101" s="25" t="n">
        <v>11090586</v>
      </c>
      <c r="M101" s="63" t="n">
        <v>694733.99</v>
      </c>
      <c r="N101" s="29" t="n">
        <v>898526.22</v>
      </c>
      <c r="O101" s="29" t="n">
        <v>1720327</v>
      </c>
      <c r="P101" s="145" t="n">
        <f aca="false">'$'!C124</f>
        <v>14.600894</v>
      </c>
      <c r="Q101" s="35" t="n">
        <f aca="false">100*(SUM(C101:H101)/P101)/M101</f>
        <v>61.8380239543352</v>
      </c>
      <c r="R101" s="35" t="n">
        <f aca="false">100*(L101/P101)/M101</f>
        <v>109.334317535034</v>
      </c>
      <c r="S101" s="146" t="n">
        <f aca="false">SUM(Q101:R101)</f>
        <v>171.172341489369</v>
      </c>
      <c r="T101" s="35" t="n">
        <f aca="false">100*SUM(L101,C101:H101)/O101/P101</f>
        <v>69.1259532522317</v>
      </c>
      <c r="U101" s="29" t="n">
        <f aca="false">O101/I101</f>
        <v>1494.63683753258</v>
      </c>
      <c r="V101" s="29" t="n">
        <f aca="false">M101/I101</f>
        <v>603.591650738488</v>
      </c>
      <c r="W101" s="147"/>
      <c r="X101" s="143" t="n">
        <f aca="false">'UT1 (1273)'!F137</f>
        <v>132358.84</v>
      </c>
      <c r="Y101" s="143" t="n">
        <f aca="false">'UT2 (12334)'!F77</f>
        <v>0</v>
      </c>
      <c r="Z101" s="143" t="n">
        <f aca="false">'UT3 (1279)'!F77</f>
        <v>31167.87</v>
      </c>
      <c r="AA101" s="143"/>
      <c r="AB101" s="148" t="n">
        <f aca="false">'UT1 (1273)'!C137+'UT2 (12334)'!C77+'UT3 (1279)'!C77+'UT4 (1271)'!C33</f>
        <v>1489572.09</v>
      </c>
      <c r="AC101" s="149" t="n">
        <f aca="false">AB101/P101</f>
        <v>102019.238684974</v>
      </c>
      <c r="AD101" s="150" t="n">
        <f aca="false">AB101/SUM(X101:AA101)</f>
        <v>9.10904457137308</v>
      </c>
      <c r="AE101" s="148" t="n">
        <f aca="false">1000*SUM(X101:AA101)/O101</f>
        <v>95.055596988247</v>
      </c>
      <c r="AF101" s="151" t="n">
        <f aca="false">'UT1 (1273)'!G137</f>
        <v>22991</v>
      </c>
      <c r="AG101" s="143" t="n">
        <f aca="false">'UT2 (12334)'!G77</f>
        <v>2143</v>
      </c>
      <c r="AH101" s="143" t="n">
        <f aca="false">'UT3 (1279)'!G77</f>
        <v>3314</v>
      </c>
      <c r="AI101" s="143" t="n">
        <f aca="false">'UT3b (1278)'!G21</f>
        <v>27</v>
      </c>
      <c r="AJ101" s="143" t="n">
        <f aca="false">'UT4 (1271)'!G33</f>
        <v>286</v>
      </c>
      <c r="AK101" s="148" t="n">
        <f aca="false">'UT1 (1273)'!D137+'UT2 (12334)'!D77+'UT3 (1279)'!D77+'UT3b (1278)'!D21+'UT4 (1271)'!D33</f>
        <v>117447.37</v>
      </c>
      <c r="AL101" s="149" t="n">
        <f aca="false">AK101/P101</f>
        <v>8043.84786301442</v>
      </c>
      <c r="AM101" s="150" t="n">
        <f aca="false">AK101/SUM(AF101:AJ101)</f>
        <v>4.08356350613678</v>
      </c>
      <c r="AN101" s="150" t="n">
        <f aca="false">AL101/SUM($AF$144:$AJ$144)</f>
        <v>0.499804142103543</v>
      </c>
      <c r="AO101" s="152" t="n">
        <f aca="false">'UT1 (1273)'!H137/SUM(AF101:AJ101)</f>
        <v>0.60818469455165</v>
      </c>
      <c r="AP101" s="148" t="n">
        <f aca="false">1000*SUM(AF101:AJ101)/O101</f>
        <v>16.7183332006066</v>
      </c>
      <c r="AQ101" s="151" t="n">
        <f aca="false">'UT1 (1273)'!I137</f>
        <v>374921.19</v>
      </c>
      <c r="AR101" s="143" t="n">
        <f aca="false">'UT2 (12334)'!H77</f>
        <v>568554.84</v>
      </c>
      <c r="AS101" s="143" t="n">
        <f aca="false">'UT3 (1279)'!H77</f>
        <v>886020.66</v>
      </c>
      <c r="AT101" s="143" t="n">
        <f aca="false">'UT3b (1278)'!H21</f>
        <v>84131</v>
      </c>
      <c r="AU101" s="143" t="n">
        <f aca="false">'UT4 (1271)'!H33</f>
        <v>178931</v>
      </c>
      <c r="AV101" s="143" t="n">
        <f aca="false">'Osm.'!F77</f>
        <v>380150.88</v>
      </c>
      <c r="AW101" s="148" t="n">
        <f aca="false">'UT1 (1273)'!E137+'UT2 (12334)'!E77+'UT3 (1279)'!E77+'UT3b (1278)'!E21+'UT4 (1271)'!E33+'Osm.'!E77</f>
        <v>4654914.11</v>
      </c>
      <c r="AX101" s="149" t="n">
        <f aca="false">AW101/P101</f>
        <v>318810.211895244</v>
      </c>
      <c r="AY101" s="150" t="n">
        <f aca="false">AW101/SUM(AQ101:AV101)</f>
        <v>1.88251550706782</v>
      </c>
      <c r="AZ101" s="152" t="n">
        <f aca="false">SUM(AQ101:AV101)/((1400+2000+3000+2000+1600+2000)*24*30)</f>
        <v>0.286193237268518</v>
      </c>
      <c r="BA101" s="152" t="n">
        <f aca="false">AQ101/(1400*24*30)</f>
        <v>0.371945625</v>
      </c>
      <c r="BB101" s="152" t="n">
        <f aca="false">AR101/(2000*24*30)</f>
        <v>0.39482975</v>
      </c>
      <c r="BC101" s="152" t="n">
        <f aca="false">(AS101+AT101)/(5000*24*30)</f>
        <v>0.269486572222222</v>
      </c>
      <c r="BD101" s="152" t="n">
        <f aca="false">AU101/(1600*24*30)</f>
        <v>0.155322048611111</v>
      </c>
      <c r="BE101" s="148" t="n">
        <f aca="false">1000*SUM(AQ101:AV101)/O101</f>
        <v>1437.34857965956</v>
      </c>
      <c r="BF101" s="151"/>
      <c r="BG101" s="143"/>
      <c r="BH101" s="143" t="n">
        <f aca="false">'UT3b (1278)'!I21</f>
        <v>149178</v>
      </c>
      <c r="BI101" s="143" t="n">
        <f aca="false">'UT4 (1271)'!I33</f>
        <v>156325</v>
      </c>
      <c r="BJ101" s="162" t="n">
        <f aca="false">SUM(BH101:BI101)/SUM(AQ101:AU101)</f>
        <v>0.145994949369855</v>
      </c>
    </row>
    <row r="102" customFormat="false" ht="18.75" hidden="false" customHeight="true" outlineLevel="0" collapsed="false">
      <c r="A102" s="18" t="n">
        <v>2022</v>
      </c>
      <c r="B102" s="18" t="n">
        <v>4</v>
      </c>
      <c r="C102" s="24" t="n">
        <f aca="false">SUM('UT1 (1273)'!C138:E138)</f>
        <v>2561280.98</v>
      </c>
      <c r="D102" s="24" t="n">
        <f aca="false">SUM('UT2 (12334)'!C78:E78)</f>
        <v>1183463.41</v>
      </c>
      <c r="E102" s="24" t="n">
        <f aca="false">SUM('UT3 (1279)'!C78:E78)</f>
        <v>2226636.38</v>
      </c>
      <c r="F102" s="24" t="n">
        <f aca="false">SUM('Osm.'!C78:E78)</f>
        <v>807655.78</v>
      </c>
      <c r="G102" s="24" t="n">
        <f aca="false">SUM('UT4 (1271)'!C34:E34)</f>
        <v>11881.1</v>
      </c>
      <c r="H102" s="25" t="n">
        <f aca="false">SUM('UT3b (1278)'!C22:E22)</f>
        <v>29590.81</v>
      </c>
      <c r="I102" s="161" t="n">
        <v>1124</v>
      </c>
      <c r="J102" s="143"/>
      <c r="K102" s="144" t="n">
        <f aca="false">(31+65)/I102</f>
        <v>0.0854092526690392</v>
      </c>
      <c r="L102" s="25" t="n">
        <v>8291179</v>
      </c>
      <c r="M102" s="63" t="n">
        <v>758301.78</v>
      </c>
      <c r="N102" s="29" t="n">
        <v>899231.56</v>
      </c>
      <c r="O102" s="29" t="n">
        <v>1526271.67</v>
      </c>
      <c r="P102" s="145" t="n">
        <f aca="false">'$'!C125</f>
        <v>14.709928</v>
      </c>
      <c r="Q102" s="35" t="n">
        <f aca="false">100*(SUM(C102:H102)/P102)/M102</f>
        <v>61.1454477435761</v>
      </c>
      <c r="R102" s="35" t="n">
        <f aca="false">100*(L102/P102)/M102</f>
        <v>74.3299205990773</v>
      </c>
      <c r="S102" s="146" t="n">
        <f aca="false">SUM(Q102:R102)</f>
        <v>135.475368342653</v>
      </c>
      <c r="T102" s="35" t="n">
        <f aca="false">100*SUM(L102,C102:H102)/O102/P102</f>
        <v>67.3086023803284</v>
      </c>
      <c r="U102" s="29" t="n">
        <f aca="false">O102/I102</f>
        <v>1357.89294483986</v>
      </c>
      <c r="V102" s="29" t="n">
        <f aca="false">M102/I102</f>
        <v>674.645711743772</v>
      </c>
      <c r="W102" s="147"/>
      <c r="X102" s="143" t="n">
        <f aca="false">'UT1 (1273)'!F138</f>
        <v>121165.99</v>
      </c>
      <c r="Y102" s="143" t="n">
        <f aca="false">'UT2 (12334)'!F78</f>
        <v>0</v>
      </c>
      <c r="Z102" s="143" t="n">
        <f aca="false">'UT3 (1279)'!F78</f>
        <v>34308.28</v>
      </c>
      <c r="AA102" s="143"/>
      <c r="AB102" s="148" t="n">
        <f aca="false">'UT1 (1273)'!C138+'UT2 (12334)'!C78+'UT3 (1279)'!C78+'UT4 (1271)'!C34</f>
        <v>2129245.34</v>
      </c>
      <c r="AC102" s="149" t="n">
        <f aca="false">AB102/P102</f>
        <v>144748.862129033</v>
      </c>
      <c r="AD102" s="150" t="n">
        <f aca="false">AB102/SUM(X102:AA102)</f>
        <v>13.6951621641317</v>
      </c>
      <c r="AE102" s="148" t="n">
        <f aca="false">1000*SUM(X102:AA102)/O102</f>
        <v>101.865397265744</v>
      </c>
      <c r="AF102" s="151" t="n">
        <f aca="false">'UT1 (1273)'!G138</f>
        <v>22165</v>
      </c>
      <c r="AG102" s="143" t="n">
        <f aca="false">'UT2 (12334)'!G78</f>
        <v>1583</v>
      </c>
      <c r="AH102" s="143" t="n">
        <f aca="false">'UT3 (1279)'!G78</f>
        <v>3179</v>
      </c>
      <c r="AI102" s="143" t="n">
        <f aca="false">'UT3b (1278)'!G22</f>
        <v>37</v>
      </c>
      <c r="AJ102" s="143" t="n">
        <f aca="false">'UT4 (1271)'!G34</f>
        <v>309</v>
      </c>
      <c r="AK102" s="148" t="n">
        <f aca="false">'UT1 (1273)'!D138+'UT2 (12334)'!D78+'UT3 (1279)'!D78+'UT3b (1278)'!D22+'UT4 (1271)'!D34</f>
        <v>116564.77</v>
      </c>
      <c r="AL102" s="149" t="n">
        <f aca="false">AK102/P102</f>
        <v>7924.22437417777</v>
      </c>
      <c r="AM102" s="150" t="n">
        <f aca="false">AK102/SUM(AF102:AJ102)</f>
        <v>4.2739988266784</v>
      </c>
      <c r="AN102" s="150" t="n">
        <f aca="false">AL102/SUM($AF$144:$AJ$144)</f>
        <v>0.49237134175331</v>
      </c>
      <c r="AO102" s="152" t="n">
        <f aca="false">'UT1 (1273)'!H138/SUM(AF102:AJ102)</f>
        <v>0.59329740035933</v>
      </c>
      <c r="AP102" s="148" t="n">
        <f aca="false">1000*SUM(AF102:AJ102)/O102</f>
        <v>17.8690337612045</v>
      </c>
      <c r="AQ102" s="151" t="n">
        <f aca="false">'UT1 (1273)'!I138</f>
        <v>347383.89</v>
      </c>
      <c r="AR102" s="143" t="n">
        <f aca="false">'UT2 (12334)'!H78</f>
        <v>509082.84</v>
      </c>
      <c r="AS102" s="143" t="n">
        <f aca="false">'UT3 (1279)'!H78</f>
        <v>752787</v>
      </c>
      <c r="AT102" s="143" t="n">
        <f aca="false">'UT3b (1278)'!H22</f>
        <v>101343</v>
      </c>
      <c r="AU102" s="143" t="n">
        <f aca="false">'UT4 (1271)'!H34</f>
        <v>169439</v>
      </c>
      <c r="AV102" s="143" t="n">
        <f aca="false">'Osm.'!F78</f>
        <v>344040.48</v>
      </c>
      <c r="AW102" s="148" t="n">
        <f aca="false">'UT1 (1273)'!E138+'UT2 (12334)'!E78+'UT3 (1279)'!E78+'UT3b (1278)'!E22+'UT4 (1271)'!E34+'Osm.'!E78</f>
        <v>4563654.49</v>
      </c>
      <c r="AX102" s="149" t="n">
        <f aca="false">AW102/P102</f>
        <v>310243.15618676</v>
      </c>
      <c r="AY102" s="150" t="n">
        <f aca="false">AW102/SUM(AQ102:AV102)</f>
        <v>2.05193260441377</v>
      </c>
      <c r="AZ102" s="152" t="n">
        <f aca="false">SUM(AQ102:AV102)/((1400+2000+3000+2000+1600+2000)*24*30)</f>
        <v>0.257416228009259</v>
      </c>
      <c r="BA102" s="152" t="n">
        <f aca="false">AQ102/(1400*24*30)</f>
        <v>0.344626875</v>
      </c>
      <c r="BB102" s="152" t="n">
        <f aca="false">AR102/(2000*24*30)</f>
        <v>0.35352975</v>
      </c>
      <c r="BC102" s="152" t="n">
        <f aca="false">(AS102+AT102)/(5000*24*30)</f>
        <v>0.237258333333333</v>
      </c>
      <c r="BD102" s="152" t="n">
        <f aca="false">AU102/(1600*24*30)</f>
        <v>0.147082465277778</v>
      </c>
      <c r="BE102" s="148" t="n">
        <f aca="false">1000*SUM(AQ102:AV102)/O102</f>
        <v>1457.19550045766</v>
      </c>
      <c r="BF102" s="151"/>
      <c r="BG102" s="143"/>
      <c r="BH102" s="143" t="n">
        <f aca="false">'UT3b (1278)'!I22</f>
        <v>171471</v>
      </c>
      <c r="BI102" s="143" t="n">
        <f aca="false">'UT4 (1271)'!I34</f>
        <v>172870</v>
      </c>
      <c r="BJ102" s="162" t="n">
        <f aca="false">SUM(BH102:BI102)/SUM(AQ102:AU102)</f>
        <v>0.183156625432858</v>
      </c>
    </row>
    <row r="103" customFormat="false" ht="18.75" hidden="false" customHeight="true" outlineLevel="0" collapsed="false">
      <c r="A103" s="18" t="n">
        <v>2022</v>
      </c>
      <c r="B103" s="18" t="n">
        <v>5</v>
      </c>
      <c r="C103" s="24" t="n">
        <f aca="false">SUM('UT1 (1273)'!C139:E139)</f>
        <v>2359373.32</v>
      </c>
      <c r="D103" s="24" t="n">
        <f aca="false">SUM('UT2 (12334)'!C79:E79)</f>
        <v>1079070.33</v>
      </c>
      <c r="E103" s="24" t="n">
        <f aca="false">SUM('UT3 (1279)'!C79:E79)</f>
        <v>2102009.01</v>
      </c>
      <c r="F103" s="24" t="n">
        <f aca="false">SUM('Osm.'!C79:E79)</f>
        <v>503707.87</v>
      </c>
      <c r="G103" s="24" t="n">
        <f aca="false">SUM('UT4 (1271)'!C35:E35)</f>
        <v>19662.62</v>
      </c>
      <c r="H103" s="25" t="n">
        <f aca="false">SUM('UT3b (1278)'!C23:E23)</f>
        <v>50492.51</v>
      </c>
      <c r="I103" s="161" t="n">
        <v>1057</v>
      </c>
      <c r="J103" s="143"/>
      <c r="K103" s="144" t="n">
        <f aca="false">(16+110)/I103</f>
        <v>0.119205298013245</v>
      </c>
      <c r="L103" s="25" t="n">
        <v>10106404</v>
      </c>
      <c r="M103" s="63" t="n">
        <v>558588.14</v>
      </c>
      <c r="N103" s="29" t="n">
        <v>669344.86</v>
      </c>
      <c r="O103" s="29" t="n">
        <v>1139599.28</v>
      </c>
      <c r="P103" s="145" t="n">
        <f aca="false">'$'!C126</f>
        <v>15.570749</v>
      </c>
      <c r="Q103" s="35" t="n">
        <f aca="false">100*(SUM(C103:H103)/P103)/M103</f>
        <v>70.298594413555</v>
      </c>
      <c r="R103" s="35" t="n">
        <f aca="false">100*(L103/P103)/M103</f>
        <v>116.197140494956</v>
      </c>
      <c r="S103" s="146" t="n">
        <f aca="false">SUM(Q103:R103)</f>
        <v>186.495734908511</v>
      </c>
      <c r="T103" s="35" t="n">
        <f aca="false">100*SUM(L103,C103:H103)/O103/P103</f>
        <v>91.4131024025201</v>
      </c>
      <c r="U103" s="29" t="n">
        <f aca="false">O103/I103</f>
        <v>1078.14501419111</v>
      </c>
      <c r="V103" s="29" t="n">
        <f aca="false">M103/I103</f>
        <v>528.465600756859</v>
      </c>
      <c r="W103" s="147"/>
      <c r="X103" s="143" t="n">
        <f aca="false">'UT1 (1273)'!F139</f>
        <v>107301.06</v>
      </c>
      <c r="Y103" s="143" t="n">
        <f aca="false">'UT2 (12334)'!F79</f>
        <v>0</v>
      </c>
      <c r="Z103" s="143" t="n">
        <f aca="false">'UT3 (1279)'!F79</f>
        <v>30607.47</v>
      </c>
      <c r="AA103" s="143"/>
      <c r="AB103" s="148" t="n">
        <f aca="false">'UT1 (1273)'!C139+'UT2 (12334)'!C79+'UT3 (1279)'!C79+'UT4 (1271)'!C35</f>
        <v>1889934.38</v>
      </c>
      <c r="AC103" s="149" t="n">
        <f aca="false">AB103/P103</f>
        <v>121377.229830113</v>
      </c>
      <c r="AD103" s="150" t="n">
        <f aca="false">AB103/SUM(X103:AA103)</f>
        <v>13.7042602078349</v>
      </c>
      <c r="AE103" s="148" t="n">
        <f aca="false">1000*SUM(X103:AA103)/O103</f>
        <v>121.014932547167</v>
      </c>
      <c r="AF103" s="151" t="n">
        <f aca="false">'UT1 (1273)'!G139</f>
        <v>21443</v>
      </c>
      <c r="AG103" s="143" t="n">
        <f aca="false">'UT2 (12334)'!G79</f>
        <v>1069</v>
      </c>
      <c r="AH103" s="143" t="n">
        <f aca="false">'UT3 (1279)'!G79</f>
        <v>2648</v>
      </c>
      <c r="AI103" s="143" t="n">
        <f aca="false">'UT3b (1278)'!G23</f>
        <v>0</v>
      </c>
      <c r="AJ103" s="143" t="n">
        <f aca="false">'UT4 (1271)'!G35</f>
        <v>467</v>
      </c>
      <c r="AK103" s="148" t="n">
        <f aca="false">'UT1 (1273)'!D139+'UT2 (12334)'!D79+'UT3 (1279)'!D79+'UT3b (1278)'!D23+'UT4 (1271)'!D35</f>
        <v>146948.63</v>
      </c>
      <c r="AL103" s="149" t="n">
        <f aca="false">AK103/P103</f>
        <v>9437.47985405198</v>
      </c>
      <c r="AM103" s="150" t="n">
        <f aca="false">AK103/SUM(AF103:AJ103)</f>
        <v>5.73413314082803</v>
      </c>
      <c r="AN103" s="150" t="n">
        <f aca="false">AL103/SUM($AF$144:$AJ$144)</f>
        <v>0.58639740611731</v>
      </c>
      <c r="AO103" s="152" t="n">
        <f aca="false">'UT1 (1273)'!H139/SUM(AF103:AJ103)</f>
        <v>0.632965231981894</v>
      </c>
      <c r="AP103" s="148" t="n">
        <f aca="false">1000*SUM(AF103:AJ103)/O103</f>
        <v>22.4877291954765</v>
      </c>
      <c r="AQ103" s="151" t="n">
        <f aca="false">'UT1 (1273)'!I139</f>
        <v>327096.63</v>
      </c>
      <c r="AR103" s="143" t="n">
        <f aca="false">'UT2 (12334)'!H79</f>
        <v>450371.88</v>
      </c>
      <c r="AS103" s="143" t="n">
        <f aca="false">'UT3 (1279)'!H79</f>
        <v>683968.32</v>
      </c>
      <c r="AT103" s="143" t="n">
        <f aca="false">'UT3b (1278)'!H23</f>
        <v>68678</v>
      </c>
      <c r="AU103" s="143" t="n">
        <f aca="false">'UT4 (1271)'!H35</f>
        <v>198400</v>
      </c>
      <c r="AV103" s="143" t="n">
        <f aca="false">'Osm.'!F79</f>
        <v>198223.2</v>
      </c>
      <c r="AW103" s="148" t="n">
        <f aca="false">'UT1 (1273)'!E139+'UT2 (12334)'!E79+'UT3 (1279)'!E79+'UT3b (1278)'!E23+'UT4 (1271)'!E35+'Osm.'!E79</f>
        <v>4065183.05</v>
      </c>
      <c r="AX103" s="149" t="n">
        <f aca="false">AW103/P103</f>
        <v>261078.195403445</v>
      </c>
      <c r="AY103" s="150" t="n">
        <f aca="false">AW103/SUM(AQ103:AV103)</f>
        <v>2.10987845088624</v>
      </c>
      <c r="AZ103" s="152" t="n">
        <f aca="false">SUM(AQ103:AV103)/((1400+2000+3000+2000+1600+2000)*24*30)</f>
        <v>0.223002086805555</v>
      </c>
      <c r="BA103" s="152" t="n">
        <f aca="false">AQ103/(1400*24*30)</f>
        <v>0.324500625</v>
      </c>
      <c r="BB103" s="152" t="n">
        <f aca="false">AR103/(2000*24*30)</f>
        <v>0.31275825</v>
      </c>
      <c r="BC103" s="152" t="n">
        <f aca="false">(AS103+AT103)/(5000*24*30)</f>
        <v>0.209068422222222</v>
      </c>
      <c r="BD103" s="152" t="n">
        <f aca="false">AU103/(1600*24*30)</f>
        <v>0.172222222222222</v>
      </c>
      <c r="BE103" s="148" t="n">
        <f aca="false">1000*SUM(AQ103:AV103)/O103</f>
        <v>1690.71538023436</v>
      </c>
      <c r="BF103" s="151"/>
      <c r="BG103" s="143"/>
      <c r="BH103" s="143" t="n">
        <f aca="false">'UT3b (1278)'!I23</f>
        <v>208516</v>
      </c>
      <c r="BI103" s="143" t="n">
        <f aca="false">'UT4 (1271)'!I35</f>
        <v>211529</v>
      </c>
      <c r="BJ103" s="162" t="n">
        <f aca="false">SUM(BH103:BI103)/SUM(AQ103:AU103)</f>
        <v>0.243009196513518</v>
      </c>
    </row>
    <row r="104" customFormat="false" ht="18.75" hidden="false" customHeight="true" outlineLevel="0" collapsed="false">
      <c r="A104" s="18" t="n">
        <v>2022</v>
      </c>
      <c r="B104" s="18" t="n">
        <v>6</v>
      </c>
      <c r="C104" s="24" t="n">
        <f aca="false">SUM('UT1 (1273)'!C140:E140)</f>
        <v>2698740.43</v>
      </c>
      <c r="D104" s="24" t="n">
        <f aca="false">SUM('UT2 (12334)'!C80:E80)</f>
        <v>1413582.13</v>
      </c>
      <c r="E104" s="24" t="n">
        <f aca="false">SUM('UT3 (1279)'!C80:E80)</f>
        <v>2889291.69</v>
      </c>
      <c r="F104" s="24" t="n">
        <f aca="false">SUM('Osm.'!C80:E80)</f>
        <v>648557.68</v>
      </c>
      <c r="G104" s="24" t="n">
        <f aca="false">SUM('UT4 (1271)'!C36:E36)</f>
        <v>238567.13</v>
      </c>
      <c r="H104" s="25" t="n">
        <f aca="false">SUM('UT3b (1278)'!C24:E24)</f>
        <v>44488.91</v>
      </c>
      <c r="I104" s="161" t="n">
        <v>1025</v>
      </c>
      <c r="J104" s="143"/>
      <c r="K104" s="144" t="n">
        <f aca="false">80/I104</f>
        <v>0.0780487804878049</v>
      </c>
      <c r="L104" s="25" t="n">
        <v>9753458</v>
      </c>
      <c r="M104" s="63" t="n">
        <v>642607.49</v>
      </c>
      <c r="N104" s="29" t="n">
        <v>795972.04</v>
      </c>
      <c r="O104" s="29" t="n">
        <v>1392315.56</v>
      </c>
      <c r="P104" s="145" t="n">
        <f aca="false">'$'!C127</f>
        <v>16.965875</v>
      </c>
      <c r="Q104" s="35" t="n">
        <f aca="false">100*(SUM(C104:H104)/P104)/M104</f>
        <v>72.7658971517388</v>
      </c>
      <c r="R104" s="35" t="n">
        <f aca="false">100*(L104/P104)/M104</f>
        <v>89.4615816393593</v>
      </c>
      <c r="S104" s="146" t="n">
        <f aca="false">SUM(Q104:R104)</f>
        <v>162.227478791098</v>
      </c>
      <c r="T104" s="35" t="n">
        <f aca="false">100*SUM(L104,C104:H104)/O104/P104</f>
        <v>74.8742569213087</v>
      </c>
      <c r="U104" s="29" t="n">
        <f aca="false">O104/I104</f>
        <v>1358.35664390244</v>
      </c>
      <c r="V104" s="29" t="n">
        <f aca="false">M104/I104</f>
        <v>626.934136585366</v>
      </c>
      <c r="W104" s="147"/>
      <c r="X104" s="143" t="n">
        <f aca="false">'UT1 (1273)'!F140</f>
        <v>105776.71</v>
      </c>
      <c r="Y104" s="143" t="n">
        <f aca="false">'UT2 (12334)'!F80</f>
        <v>0</v>
      </c>
      <c r="Z104" s="143" t="n">
        <f aca="false">'UT3 (1279)'!F80</f>
        <v>28844.22</v>
      </c>
      <c r="AA104" s="143" t="n">
        <f aca="false">'UT4 (1271)'!F36</f>
        <v>14.25</v>
      </c>
      <c r="AB104" s="148" t="n">
        <f aca="false">'UT1 (1273)'!C140+'UT2 (12334)'!C80+'UT3 (1279)'!C80+'UT4 (1271)'!C36</f>
        <v>1946180.45</v>
      </c>
      <c r="AC104" s="149" t="n">
        <f aca="false">AB104/P104</f>
        <v>114711.469346556</v>
      </c>
      <c r="AD104" s="150" t="n">
        <f aca="false">AB104/SUM(X104:AA104)</f>
        <v>14.4552148257239</v>
      </c>
      <c r="AE104" s="148" t="n">
        <f aca="false">1000*SUM(X104:AA104)/O104</f>
        <v>96.6987541243883</v>
      </c>
      <c r="AF104" s="151" t="n">
        <f aca="false">'UT1 (1273)'!G140</f>
        <v>22240</v>
      </c>
      <c r="AG104" s="143" t="n">
        <f aca="false">'UT2 (12334)'!G80</f>
        <v>1217</v>
      </c>
      <c r="AH104" s="143" t="n">
        <f aca="false">'UT3 (1279)'!G80</f>
        <v>4329</v>
      </c>
      <c r="AI104" s="143" t="n">
        <f aca="false">'UT3b (1278)'!G24</f>
        <v>0</v>
      </c>
      <c r="AJ104" s="143" t="n">
        <f aca="false">'UT4 (1271)'!G36</f>
        <v>521</v>
      </c>
      <c r="AK104" s="148" t="n">
        <f aca="false">'UT1 (1273)'!D140+'UT2 (12334)'!D80+'UT3 (1279)'!D80+'UT3b (1278)'!D24+'UT4 (1271)'!D36</f>
        <v>168693.72</v>
      </c>
      <c r="AL104" s="149" t="n">
        <f aca="false">AK104/P104</f>
        <v>9943.11934987143</v>
      </c>
      <c r="AM104" s="150" t="n">
        <f aca="false">AK104/SUM(AF104:AJ104)</f>
        <v>5.95943476878511</v>
      </c>
      <c r="AN104" s="150" t="n">
        <f aca="false">AL104/SUM($AF$144:$AJ$144)</f>
        <v>0.617815294511708</v>
      </c>
      <c r="AO104" s="152" t="n">
        <f aca="false">'UT1 (1273)'!H140/SUM(AF104:AJ104)</f>
        <v>0.683929770021549</v>
      </c>
      <c r="AP104" s="148" t="n">
        <f aca="false">1000*SUM(AF104:AJ104)/O104</f>
        <v>20.3308795888196</v>
      </c>
      <c r="AQ104" s="151" t="n">
        <f aca="false">'UT1 (1273)'!I140</f>
        <v>361209.24</v>
      </c>
      <c r="AR104" s="143" t="n">
        <f aca="false">'UT2 (12334)'!H80</f>
        <v>479979.36</v>
      </c>
      <c r="AS104" s="143" t="n">
        <f aca="false">'UT3 (1279)'!H80</f>
        <v>873561.06</v>
      </c>
      <c r="AT104" s="143" t="n">
        <f aca="false">'UT3b (1278)'!H24</f>
        <v>89592</v>
      </c>
      <c r="AU104" s="143" t="n">
        <f aca="false">'UT4 (1271)'!H36</f>
        <v>280992</v>
      </c>
      <c r="AV104" s="143" t="n">
        <f aca="false">'Osm.'!F80</f>
        <v>213338.16</v>
      </c>
      <c r="AW104" s="148" t="n">
        <f aca="false">'UT1 (1273)'!E140+'UT2 (12334)'!E80+'UT3 (1279)'!E80+'UT3b (1278)'!E24+'UT4 (1271)'!E36+'Osm.'!E80</f>
        <v>5798643.05</v>
      </c>
      <c r="AX104" s="149" t="n">
        <f aca="false">AW104/P104</f>
        <v>341782.728565429</v>
      </c>
      <c r="AY104" s="150" t="n">
        <f aca="false">AW104/SUM(AQ104:AV104)</f>
        <v>2.52260588029482</v>
      </c>
      <c r="AZ104" s="152" t="n">
        <f aca="false">SUM(AQ104:AV104)/((1400+2000+3000+2000+1600+2000)*24*30)</f>
        <v>0.266049979166667</v>
      </c>
      <c r="BA104" s="152" t="n">
        <f aca="false">AQ104/(1400*24*30)</f>
        <v>0.3583425</v>
      </c>
      <c r="BB104" s="152" t="n">
        <f aca="false">AR104/(2000*24*30)</f>
        <v>0.333319</v>
      </c>
      <c r="BC104" s="152" t="n">
        <f aca="false">(AS104+AT104)/(5000*24*30)</f>
        <v>0.267542516666667</v>
      </c>
      <c r="BD104" s="152" t="n">
        <f aca="false">AU104/(1600*24*30)</f>
        <v>0.243916666666667</v>
      </c>
      <c r="BE104" s="148" t="n">
        <f aca="false">1000*SUM(AQ104:AV104)/O104</f>
        <v>1650.97043086985</v>
      </c>
      <c r="BF104" s="151"/>
      <c r="BG104" s="143"/>
      <c r="BH104" s="143" t="n">
        <f aca="false">'UT3b (1278)'!I24</f>
        <v>209875</v>
      </c>
      <c r="BI104" s="143" t="n">
        <f aca="false">'UT4 (1271)'!I36</f>
        <v>205096</v>
      </c>
      <c r="BJ104" s="162" t="n">
        <f aca="false">SUM(BH104:BI104)/SUM(AQ104:AU104)</f>
        <v>0.198995013584541</v>
      </c>
    </row>
    <row r="105" customFormat="false" ht="18.75" hidden="false" customHeight="true" outlineLevel="0" collapsed="false">
      <c r="A105" s="18" t="n">
        <v>2022</v>
      </c>
      <c r="B105" s="18" t="n">
        <v>7</v>
      </c>
      <c r="C105" s="24" t="n">
        <f aca="false">SUM('UT1 (1273)'!C141:E141)</f>
        <v>2451542.88</v>
      </c>
      <c r="D105" s="24" t="n">
        <f aca="false">SUM('UT2 (12334)'!C81:E81)</f>
        <v>1398079.35</v>
      </c>
      <c r="E105" s="24" t="n">
        <f aca="false">SUM('UT3 (1279)'!C81:E81)</f>
        <v>3238808.76</v>
      </c>
      <c r="F105" s="24" t="n">
        <f aca="false">SUM('Osm.'!C81:E81)</f>
        <v>511053.51</v>
      </c>
      <c r="G105" s="24" t="n">
        <f aca="false">SUM('UT4 (1271)'!C37:E37)</f>
        <v>40963.58</v>
      </c>
      <c r="H105" s="25" t="n">
        <f aca="false">SUM('UT3b (1278)'!C25:E25)</f>
        <v>55185.37</v>
      </c>
      <c r="I105" s="161" t="n">
        <v>1019</v>
      </c>
      <c r="J105" s="143"/>
      <c r="K105" s="144" t="n">
        <f aca="false">(0+69)/I105</f>
        <v>0.0677134445534838</v>
      </c>
      <c r="L105" s="25" t="n">
        <v>12443580</v>
      </c>
      <c r="M105" s="63" t="n">
        <v>528516.41</v>
      </c>
      <c r="N105" s="29" t="n">
        <v>758384.03</v>
      </c>
      <c r="O105" s="29" t="n">
        <v>1384642.97</v>
      </c>
      <c r="P105" s="145" t="n">
        <f aca="false">'$'!C128</f>
        <v>17.410362</v>
      </c>
      <c r="Q105" s="35" t="n">
        <f aca="false">100*(SUM(C105:H105)/P105)/M105</f>
        <v>83.6330809847531</v>
      </c>
      <c r="R105" s="35" t="n">
        <f aca="false">100*(L105/P105)/M105</f>
        <v>135.231874106511</v>
      </c>
      <c r="S105" s="146" t="n">
        <f aca="false">SUM(Q105:R105)</f>
        <v>218.864955091264</v>
      </c>
      <c r="T105" s="35" t="n">
        <f aca="false">100*SUM(L105,C105:H105)/O105/P105</f>
        <v>83.5404669982516</v>
      </c>
      <c r="U105" s="29" t="n">
        <f aca="false">O105/I105</f>
        <v>1358.82528949951</v>
      </c>
      <c r="V105" s="29" t="n">
        <f aca="false">M105/I105</f>
        <v>518.661835132483</v>
      </c>
      <c r="W105" s="147"/>
      <c r="X105" s="143" t="n">
        <f aca="false">'UT1 (1273)'!F141</f>
        <v>93490.51</v>
      </c>
      <c r="Y105" s="143" t="n">
        <f aca="false">'UT2 (12334)'!F81</f>
        <v>0</v>
      </c>
      <c r="Z105" s="143" t="n">
        <f aca="false">'UT3 (1279)'!F81</f>
        <v>31223.83</v>
      </c>
      <c r="AA105" s="143" t="n">
        <f aca="false">'UT4 (1271)'!F37</f>
        <v>0</v>
      </c>
      <c r="AB105" s="148" t="n">
        <f aca="false">'UT1 (1273)'!C141+'UT2 (12334)'!C81+'UT3 (1279)'!C81+'UT4 (1271)'!C37</f>
        <v>1883612.84</v>
      </c>
      <c r="AC105" s="149" t="n">
        <f aca="false">AB105/P105</f>
        <v>108189.182970463</v>
      </c>
      <c r="AD105" s="150" t="n">
        <f aca="false">AB105/SUM(X105:AA105)</f>
        <v>15.1034182596805</v>
      </c>
      <c r="AE105" s="148" t="n">
        <f aca="false">1000*SUM(X105:AA105)/O105</f>
        <v>90.0696733396913</v>
      </c>
      <c r="AF105" s="151" t="n">
        <f aca="false">'UT1 (1273)'!G141</f>
        <v>19849</v>
      </c>
      <c r="AG105" s="143" t="n">
        <f aca="false">'UT2 (12334)'!G81</f>
        <v>1347</v>
      </c>
      <c r="AH105" s="143" t="n">
        <f aca="false">'UT3 (1279)'!G81</f>
        <v>4478</v>
      </c>
      <c r="AI105" s="143" t="n">
        <f aca="false">'UT3b (1278)'!G25</f>
        <v>0</v>
      </c>
      <c r="AJ105" s="143" t="n">
        <f aca="false">'UT4 (1271)'!G37</f>
        <v>461</v>
      </c>
      <c r="AK105" s="148" t="n">
        <f aca="false">'UT1 (1273)'!D141+'UT2 (12334)'!D81+'UT3 (1279)'!D81+'UT3b (1278)'!D25+'UT4 (1271)'!D37</f>
        <v>141707.9</v>
      </c>
      <c r="AL105" s="149" t="n">
        <f aca="false">AK105/P105</f>
        <v>8139.28509929891</v>
      </c>
      <c r="AM105" s="150" t="n">
        <f aca="false">AK105/SUM(AF105:AJ105)</f>
        <v>5.42215037306294</v>
      </c>
      <c r="AN105" s="150" t="n">
        <f aca="false">AL105/SUM($AF$144:$AJ$144)</f>
        <v>0.505734130688388</v>
      </c>
      <c r="AO105" s="152" t="n">
        <f aca="false">'UT1 (1273)'!H141/SUM(AF105:AJ105)</f>
        <v>0.550066960015305</v>
      </c>
      <c r="AP105" s="148" t="n">
        <f aca="false">1000*SUM(AF105:AJ105)/O105</f>
        <v>18.8749017373049</v>
      </c>
      <c r="AQ105" s="151" t="n">
        <f aca="false">'UT1 (1273)'!I141</f>
        <v>312388.65</v>
      </c>
      <c r="AR105" s="143" t="n">
        <f aca="false">'UT2 (12334)'!H81</f>
        <v>463622.04</v>
      </c>
      <c r="AS105" s="143" t="n">
        <f aca="false">'UT3 (1279)'!H81</f>
        <v>943650.54</v>
      </c>
      <c r="AT105" s="143" t="n">
        <f aca="false">'UT3b (1278)'!H25</f>
        <v>112656</v>
      </c>
      <c r="AU105" s="143" t="n">
        <f aca="false">'UT4 (1271)'!H37</f>
        <v>268526</v>
      </c>
      <c r="AV105" s="143" t="n">
        <f aca="false">'Osm.'!F81</f>
        <v>163714.32</v>
      </c>
      <c r="AW105" s="148" t="n">
        <f aca="false">'UT1 (1273)'!E141+'UT2 (12334)'!E81+'UT3 (1279)'!E81+'UT3b (1278)'!E25+'UT4 (1271)'!E37+'Osm.'!E81</f>
        <v>5654638.59</v>
      </c>
      <c r="AX105" s="149" t="n">
        <f aca="false">AW105/P105</f>
        <v>324785.813758496</v>
      </c>
      <c r="AY105" s="150" t="n">
        <f aca="false">AW105/SUM(AQ105:AV105)</f>
        <v>2.49701695150119</v>
      </c>
      <c r="AZ105" s="152" t="n">
        <f aca="false">SUM(AQ105:AV105)/((1400+2000+3000+2000+1600+2000)*24*30)</f>
        <v>0.262101568287037</v>
      </c>
      <c r="BA105" s="152" t="n">
        <f aca="false">AQ105/(1400*24*30)</f>
        <v>0.309909375</v>
      </c>
      <c r="BB105" s="152" t="n">
        <f aca="false">AR105/(2000*24*30)</f>
        <v>0.32195975</v>
      </c>
      <c r="BC105" s="152" t="n">
        <f aca="false">(AS105+AT105)/(5000*24*30)</f>
        <v>0.293418483333333</v>
      </c>
      <c r="BD105" s="152" t="n">
        <f aca="false">AU105/(1600*24*30)</f>
        <v>0.233095486111111</v>
      </c>
      <c r="BE105" s="148" t="n">
        <f aca="false">1000*SUM(AQ105:AV105)/O105</f>
        <v>1635.48120278255</v>
      </c>
      <c r="BF105" s="151"/>
      <c r="BG105" s="143"/>
      <c r="BH105" s="143" t="n">
        <f aca="false">'UT3b (1278)'!I25</f>
        <v>261434</v>
      </c>
      <c r="BI105" s="143" t="n">
        <f aca="false">'UT4 (1271)'!I37</f>
        <v>260288</v>
      </c>
      <c r="BJ105" s="162" t="n">
        <f aca="false">SUM(BH105:BI105)/SUM(AQ105:AU105)</f>
        <v>0.24833932991754</v>
      </c>
    </row>
    <row r="106" customFormat="false" ht="18.75" hidden="false" customHeight="true" outlineLevel="0" collapsed="false">
      <c r="A106" s="18" t="n">
        <v>2022</v>
      </c>
      <c r="B106" s="18" t="n">
        <v>8</v>
      </c>
      <c r="C106" s="24" t="n">
        <f aca="false">SUM('UT1 (1273)'!C142:E142)</f>
        <v>2742210.59</v>
      </c>
      <c r="D106" s="24" t="n">
        <f aca="false">SUM('UT2 (12334)'!C82:E82)</f>
        <v>1819591.76</v>
      </c>
      <c r="E106" s="24" t="n">
        <f aca="false">SUM('UT3 (1279)'!C82:E82)</f>
        <v>3820762</v>
      </c>
      <c r="F106" s="24" t="n">
        <f aca="false">SUM('Osm.'!C82:E82)</f>
        <v>628249.1</v>
      </c>
      <c r="G106" s="24" t="n">
        <f aca="false">SUM('UT4 (1271)'!C38:E38)</f>
        <v>439407.05</v>
      </c>
      <c r="H106" s="25" t="n">
        <f aca="false">SUM('UT3b (1278)'!C26:E26)</f>
        <v>31259.93</v>
      </c>
      <c r="I106" s="161" t="n">
        <v>988</v>
      </c>
      <c r="J106" s="143"/>
      <c r="K106" s="144" t="n">
        <f aca="false">(33+34)/I106</f>
        <v>0.0678137651821862</v>
      </c>
      <c r="L106" s="25" t="n">
        <v>11751550</v>
      </c>
      <c r="M106" s="63" t="n">
        <v>623547.64</v>
      </c>
      <c r="N106" s="29" t="n">
        <v>907378.51</v>
      </c>
      <c r="O106" s="29" t="n">
        <v>1510812.57</v>
      </c>
      <c r="P106" s="145" t="n">
        <f aca="false">'$'!C129</f>
        <v>18.018529</v>
      </c>
      <c r="Q106" s="35" t="n">
        <f aca="false">100*(SUM(C106:H106)/P106)/M106</f>
        <v>84.3892602802172</v>
      </c>
      <c r="R106" s="35" t="n">
        <f aca="false">100*(L106/P106)/M106</f>
        <v>104.593857358833</v>
      </c>
      <c r="S106" s="146" t="n">
        <f aca="false">SUM(Q106:R106)</f>
        <v>188.98311763905</v>
      </c>
      <c r="T106" s="35" t="n">
        <f aca="false">100*SUM(L106,C106:H106)/O106/P106</f>
        <v>77.9977472676655</v>
      </c>
      <c r="U106" s="29" t="n">
        <f aca="false">O106/I106</f>
        <v>1529.16252024292</v>
      </c>
      <c r="V106" s="29" t="n">
        <f aca="false">M106/I106</f>
        <v>631.121093117409</v>
      </c>
      <c r="W106" s="147"/>
      <c r="X106" s="143" t="n">
        <f aca="false">'UT1 (1273)'!F142</f>
        <v>93942.06</v>
      </c>
      <c r="Y106" s="143" t="n">
        <f aca="false">'UT2 (12334)'!F82</f>
        <v>0</v>
      </c>
      <c r="Z106" s="143" t="n">
        <f aca="false">'UT3 (1279)'!F82</f>
        <v>36085.13</v>
      </c>
      <c r="AA106" s="143" t="n">
        <f aca="false">'UT4 (1271)'!F38</f>
        <v>1625.88</v>
      </c>
      <c r="AB106" s="148" t="n">
        <f aca="false">'UT1 (1273)'!C142+'UT2 (12334)'!C82+'UT3 (1279)'!C82+'UT4 (1271)'!C38</f>
        <v>2085284.15</v>
      </c>
      <c r="AC106" s="149" t="n">
        <f aca="false">AB106/P106</f>
        <v>115729.988280397</v>
      </c>
      <c r="AD106" s="150" t="n">
        <f aca="false">AB106/SUM(X106:AA106)</f>
        <v>15.83923679106</v>
      </c>
      <c r="AE106" s="148" t="n">
        <f aca="false">1000*SUM(X106:AA106)/O106</f>
        <v>87.1405709842618</v>
      </c>
      <c r="AF106" s="151" t="n">
        <f aca="false">'UT1 (1273)'!G142</f>
        <v>20331</v>
      </c>
      <c r="AG106" s="143" t="n">
        <f aca="false">'UT2 (12334)'!G82</f>
        <v>1634</v>
      </c>
      <c r="AH106" s="143" t="n">
        <f aca="false">'UT3 (1279)'!G82</f>
        <v>4243</v>
      </c>
      <c r="AI106" s="143" t="n">
        <f aca="false">'UT3b (1278)'!G26</f>
        <v>0</v>
      </c>
      <c r="AJ106" s="143" t="n">
        <f aca="false">'UT4 (1271)'!G38</f>
        <v>750</v>
      </c>
      <c r="AK106" s="148" t="n">
        <f aca="false">'UT1 (1273)'!D142+'UT2 (12334)'!D82+'UT3 (1279)'!D82+'UT3b (1278)'!D26+'UT4 (1271)'!D38</f>
        <v>139955.08</v>
      </c>
      <c r="AL106" s="149" t="n">
        <f aca="false">AK106/P106</f>
        <v>7767.28666363386</v>
      </c>
      <c r="AM106" s="150" t="n">
        <f aca="false">AK106/SUM(AF106:AJ106)</f>
        <v>5.19159729950293</v>
      </c>
      <c r="AN106" s="150" t="n">
        <f aca="false">AL106/SUM($AF$144:$AJ$144)</f>
        <v>0.482620023837074</v>
      </c>
      <c r="AO106" s="152" t="n">
        <f aca="false">'UT1 (1273)'!H142/SUM(AF106:AJ106)</f>
        <v>0.483233177535425</v>
      </c>
      <c r="AP106" s="148" t="n">
        <f aca="false">1000*SUM(AF106:AJ106)/O106</f>
        <v>17.8433781498125</v>
      </c>
      <c r="AQ106" s="151" t="n">
        <f aca="false">'UT1 (1273)'!I142</f>
        <v>314312.67</v>
      </c>
      <c r="AR106" s="143" t="n">
        <f aca="false">'UT2 (12334)'!H82</f>
        <v>478646.28</v>
      </c>
      <c r="AS106" s="143" t="n">
        <f aca="false">'UT3 (1279)'!H82</f>
        <v>848451.24</v>
      </c>
      <c r="AT106" s="143" t="n">
        <f aca="false">'UT3b (1278)'!H26</f>
        <v>125704</v>
      </c>
      <c r="AU106" s="143" t="n">
        <f aca="false">'UT4 (1271)'!H38</f>
        <v>308212</v>
      </c>
      <c r="AV106" s="143" t="n">
        <f aca="false">'Osm.'!F82</f>
        <v>161647.92</v>
      </c>
      <c r="AW106" s="148" t="n">
        <f aca="false">'UT1 (1273)'!E142+'UT2 (12334)'!E82+'UT3 (1279)'!E82+'UT3b (1278)'!E26+'UT4 (1271)'!E38+'Osm.'!E82</f>
        <v>7243661.86</v>
      </c>
      <c r="AX106" s="149" t="n">
        <f aca="false">AW106/P106</f>
        <v>402011.83237544</v>
      </c>
      <c r="AY106" s="150" t="n">
        <f aca="false">AW106/SUM(AQ106:AV106)</f>
        <v>3.23815185326396</v>
      </c>
      <c r="AZ106" s="152" t="n">
        <f aca="false">SUM(AQ106:AV106)/((1400+2000+3000+2000+1600+2000)*24*30)</f>
        <v>0.258909040509259</v>
      </c>
      <c r="BA106" s="152" t="n">
        <f aca="false">AQ106/(1400*24*30)</f>
        <v>0.311818125</v>
      </c>
      <c r="BB106" s="152" t="n">
        <f aca="false">AR106/(2000*24*30)</f>
        <v>0.33239325</v>
      </c>
      <c r="BC106" s="152" t="n">
        <f aca="false">(AS106+AT106)/(5000*24*30)</f>
        <v>0.270598677777778</v>
      </c>
      <c r="BD106" s="152" t="n">
        <f aca="false">AU106/(1600*24*30)</f>
        <v>0.267545138888889</v>
      </c>
      <c r="BE106" s="148" t="n">
        <f aca="false">1000*SUM(AQ106:AV106)/O106</f>
        <v>1480.64303568774</v>
      </c>
      <c r="BF106" s="151"/>
      <c r="BG106" s="143"/>
      <c r="BH106" s="143" t="n">
        <f aca="false">'UT3b (1278)'!I26</f>
        <v>202123</v>
      </c>
      <c r="BI106" s="143" t="n">
        <f aca="false">'UT4 (1271)'!I38</f>
        <v>197667</v>
      </c>
      <c r="BJ106" s="162" t="n">
        <f aca="false">SUM(BH106:BI106)/SUM(AQ106:AU106)</f>
        <v>0.192639596573491</v>
      </c>
    </row>
    <row r="107" customFormat="false" ht="18.75" hidden="false" customHeight="true" outlineLevel="0" collapsed="false">
      <c r="A107" s="18" t="n">
        <v>2022</v>
      </c>
      <c r="B107" s="18" t="n">
        <v>9</v>
      </c>
      <c r="C107" s="24" t="n">
        <f aca="false">SUM('UT1 (1273)'!C143:E143)</f>
        <v>3711016.36</v>
      </c>
      <c r="D107" s="24" t="n">
        <f aca="false">SUM('UT2 (12334)'!C83:E83)</f>
        <v>2061536.84</v>
      </c>
      <c r="E107" s="24" t="n">
        <f aca="false">SUM('UT3 (1279)'!C83:E83)</f>
        <v>4176277.58</v>
      </c>
      <c r="F107" s="24" t="n">
        <f aca="false">SUM('Osm.'!C83:E83)</f>
        <v>693124.16</v>
      </c>
      <c r="G107" s="24" t="n">
        <f aca="false">SUM('UT4 (1271)'!C39:E39)</f>
        <v>786508.9</v>
      </c>
      <c r="H107" s="25" t="n">
        <f aca="false">SUM('UT3b (1278)'!C27:E27)</f>
        <v>19088.82</v>
      </c>
      <c r="I107" s="161" t="n">
        <v>995</v>
      </c>
      <c r="J107" s="143"/>
      <c r="K107" s="144" t="n">
        <f aca="false">(38+33)/I107</f>
        <v>0.071356783919598</v>
      </c>
      <c r="L107" s="25" t="n">
        <v>11283910</v>
      </c>
      <c r="M107" s="63" t="n">
        <v>705834.33</v>
      </c>
      <c r="N107" s="29" t="n">
        <v>787303.39</v>
      </c>
      <c r="O107" s="29" t="n">
        <v>1320021.37</v>
      </c>
      <c r="P107" s="145" t="n">
        <f aca="false">'$'!C130</f>
        <v>18.301932</v>
      </c>
      <c r="Q107" s="35" t="n">
        <f aca="false">100*(SUM(C107:H107)/P107)/M107</f>
        <v>88.6161616782856</v>
      </c>
      <c r="R107" s="35" t="n">
        <f aca="false">100*(L107/P107)/M107</f>
        <v>87.349394462032</v>
      </c>
      <c r="S107" s="146" t="n">
        <f aca="false">SUM(Q107:R107)</f>
        <v>175.965556140318</v>
      </c>
      <c r="T107" s="35" t="n">
        <f aca="false">100*SUM(L107,C107:H107)/O107/P107</f>
        <v>94.0913027956346</v>
      </c>
      <c r="U107" s="29" t="n">
        <f aca="false">O107/I107</f>
        <v>1326.65464321608</v>
      </c>
      <c r="V107" s="29" t="n">
        <f aca="false">M107/I107</f>
        <v>709.381236180905</v>
      </c>
      <c r="W107" s="147"/>
      <c r="X107" s="143" t="n">
        <f aca="false">'UT1 (1273)'!F143</f>
        <v>92589.67</v>
      </c>
      <c r="Y107" s="143" t="n">
        <f aca="false">'UT2 (12334)'!F83</f>
        <v>0</v>
      </c>
      <c r="Z107" s="143" t="n">
        <f aca="false">'UT3 (1279)'!F83</f>
        <v>39717.77</v>
      </c>
      <c r="AA107" s="143" t="n">
        <f aca="false">'UT4 (1271)'!F39</f>
        <v>1152.55</v>
      </c>
      <c r="AB107" s="148" t="n">
        <f aca="false">'UT1 (1273)'!C143+'UT2 (12334)'!C83+'UT3 (1279)'!C83+'UT4 (1271)'!C39</f>
        <v>3043162.57</v>
      </c>
      <c r="AC107" s="149" t="n">
        <f aca="false">AB107/P107</f>
        <v>166275.482282417</v>
      </c>
      <c r="AD107" s="150" t="n">
        <f aca="false">AB107/SUM(X107:AA107)</f>
        <v>22.8020590290768</v>
      </c>
      <c r="AE107" s="148" t="n">
        <f aca="false">1000*SUM(X107:AA107)/O107</f>
        <v>101.10441621108</v>
      </c>
      <c r="AF107" s="151" t="n">
        <f aca="false">'UT1 (1273)'!G143</f>
        <v>21180</v>
      </c>
      <c r="AG107" s="143" t="n">
        <f aca="false">'UT2 (12334)'!G83</f>
        <v>1564</v>
      </c>
      <c r="AH107" s="143" t="n">
        <f aca="false">'UT3 (1279)'!G83</f>
        <v>3884</v>
      </c>
      <c r="AI107" s="143" t="n">
        <f aca="false">'UT3b (1278)'!G27</f>
        <v>0</v>
      </c>
      <c r="AJ107" s="143" t="n">
        <f aca="false">'UT4 (1271)'!G39</f>
        <v>1220</v>
      </c>
      <c r="AK107" s="148" t="n">
        <f aca="false">'UT1 (1273)'!D143+'UT2 (12334)'!D83+'UT3 (1279)'!D83+'UT3b (1278)'!D27+'UT4 (1271)'!D39</f>
        <v>153037.33</v>
      </c>
      <c r="AL107" s="149" t="n">
        <f aca="false">AK107/P107</f>
        <v>8361.8128403056</v>
      </c>
      <c r="AM107" s="150" t="n">
        <f aca="false">AK107/SUM(AF107:AJ107)</f>
        <v>5.4954513789141</v>
      </c>
      <c r="AN107" s="150" t="n">
        <f aca="false">AL107/SUM($AF$144:$AJ$144)</f>
        <v>0.51956088233538</v>
      </c>
      <c r="AO107" s="152" t="n">
        <f aca="false">'UT1 (1273)'!H143/SUM(AF107:AJ107)</f>
        <v>0.529158287848319</v>
      </c>
      <c r="AP107" s="148" t="n">
        <f aca="false">1000*SUM(AF107:AJ107)/O107</f>
        <v>21.0966281553457</v>
      </c>
      <c r="AQ107" s="151" t="n">
        <f aca="false">'UT1 (1273)'!I143</f>
        <v>311506.02</v>
      </c>
      <c r="AR107" s="143" t="n">
        <f aca="false">'UT2 (12334)'!H83</f>
        <v>436675.68</v>
      </c>
      <c r="AS107" s="143" t="n">
        <f aca="false">'UT3 (1279)'!H83</f>
        <v>692821.08</v>
      </c>
      <c r="AT107" s="143" t="n">
        <f aca="false">'UT3b (1278)'!H27</f>
        <v>126793</v>
      </c>
      <c r="AU107" s="143" t="n">
        <f aca="false">'UT4 (1271)'!H39</f>
        <v>322428</v>
      </c>
      <c r="AV107" s="143" t="n">
        <f aca="false">'Osm.'!F83</f>
        <v>142087.68</v>
      </c>
      <c r="AW107" s="148" t="n">
        <f aca="false">'UT1 (1273)'!E143+'UT2 (12334)'!E83+'UT3 (1279)'!E83+'UT3b (1278)'!E27+'UT4 (1271)'!E39+'Osm.'!E83</f>
        <v>8234264.68</v>
      </c>
      <c r="AX107" s="149" t="n">
        <f aca="false">AW107/P107</f>
        <v>449912.31963926</v>
      </c>
      <c r="AY107" s="150" t="n">
        <f aca="false">AW107/SUM(AQ107:AV107)</f>
        <v>4.0516745794466</v>
      </c>
      <c r="AZ107" s="152" t="n">
        <f aca="false">SUM(AQ107:AV107)/((1400+2000+3000+2000+1600+2000)*24*30)</f>
        <v>0.235221233796296</v>
      </c>
      <c r="BA107" s="152" t="n">
        <f aca="false">AQ107/(1400*24*30)</f>
        <v>0.30903375</v>
      </c>
      <c r="BB107" s="152" t="n">
        <f aca="false">AR107/(2000*24*30)</f>
        <v>0.303247</v>
      </c>
      <c r="BC107" s="152" t="n">
        <f aca="false">(AS107+AT107)/(5000*24*30)</f>
        <v>0.227670577777778</v>
      </c>
      <c r="BD107" s="152" t="n">
        <f aca="false">AU107/(1600*24*30)</f>
        <v>0.279885416666667</v>
      </c>
      <c r="BE107" s="148" t="n">
        <f aca="false">1000*SUM(AQ107:AV107)/O107</f>
        <v>1539.60496866805</v>
      </c>
      <c r="BF107" s="151"/>
      <c r="BG107" s="143"/>
      <c r="BH107" s="143" t="n">
        <f aca="false">'UT3b (1278)'!I27</f>
        <v>164933</v>
      </c>
      <c r="BI107" s="143" t="n">
        <f aca="false">'UT4 (1271)'!I39</f>
        <v>163200</v>
      </c>
      <c r="BJ107" s="162" t="n">
        <f aca="false">SUM(BH107:BI107)/SUM(AQ107:AU107)</f>
        <v>0.17359478992482</v>
      </c>
    </row>
    <row r="108" customFormat="false" ht="18.75" hidden="false" customHeight="true" outlineLevel="0" collapsed="false">
      <c r="A108" s="18" t="n">
        <v>2022</v>
      </c>
      <c r="B108" s="18" t="n">
        <v>10</v>
      </c>
      <c r="C108" s="24" t="n">
        <f aca="false">SUM('UT1 (1273)'!C144:E144)</f>
        <v>3988970</v>
      </c>
      <c r="D108" s="24" t="n">
        <f aca="false">SUM('UT2 (12334)'!C84:E84)</f>
        <v>1885201.82</v>
      </c>
      <c r="E108" s="24" t="n">
        <f aca="false">SUM('UT3 (1279)'!C84:E84)</f>
        <v>3892565.52</v>
      </c>
      <c r="F108" s="24" t="n">
        <f aca="false">SUM('Osm.'!C84:E84)</f>
        <v>742854.4</v>
      </c>
      <c r="G108" s="24" t="n">
        <f aca="false">SUM('UT4 (1271)'!C40:E40)</f>
        <v>515096.18</v>
      </c>
      <c r="H108" s="25" t="n">
        <f aca="false">SUM('UT3b (1278)'!C28:E28)</f>
        <v>11499.78</v>
      </c>
      <c r="I108" s="164" t="n">
        <v>1025</v>
      </c>
      <c r="J108" s="143"/>
      <c r="K108" s="144" t="n">
        <f aca="false">(38+22)/I108</f>
        <v>0.0585365853658537</v>
      </c>
      <c r="L108" s="25" t="n">
        <v>12621805</v>
      </c>
      <c r="M108" s="63" t="n">
        <v>624742.21</v>
      </c>
      <c r="N108" s="29" t="n">
        <v>778780.47</v>
      </c>
      <c r="O108" s="165" t="n">
        <v>1221893.6</v>
      </c>
      <c r="P108" s="145" t="n">
        <f aca="false">'$'!C131</f>
        <v>18.578678</v>
      </c>
      <c r="Q108" s="35" t="n">
        <f aca="false">100*(SUM(C108:H108)/P108)/M108</f>
        <v>95.0831193345127</v>
      </c>
      <c r="R108" s="35" t="n">
        <f aca="false">100*(L108/P108)/M108</f>
        <v>108.744126473306</v>
      </c>
      <c r="S108" s="146" t="n">
        <f aca="false">SUM(Q108:R108)</f>
        <v>203.827245807819</v>
      </c>
      <c r="T108" s="35" t="n">
        <f aca="false">100*SUM(L108,C108:H108)/O108/P108</f>
        <v>104.214871085494</v>
      </c>
      <c r="U108" s="29" t="n">
        <f aca="false">O108/I108</f>
        <v>1192.09131707317</v>
      </c>
      <c r="V108" s="29" t="n">
        <f aca="false">M108/I108</f>
        <v>609.504595121951</v>
      </c>
      <c r="W108" s="147"/>
      <c r="X108" s="143" t="n">
        <f aca="false">'UT1 (1273)'!F144</f>
        <v>101611.19</v>
      </c>
      <c r="Y108" s="143" t="n">
        <f aca="false">'UT2 (12334)'!F84</f>
        <v>0</v>
      </c>
      <c r="Z108" s="143" t="n">
        <f aca="false">'UT3 (1279)'!F84</f>
        <v>38111.91</v>
      </c>
      <c r="AA108" s="143" t="n">
        <f aca="false">'UT4 (1271)'!F40</f>
        <v>683.39</v>
      </c>
      <c r="AB108" s="148" t="n">
        <f aca="false">'UT1 (1273)'!C144+'UT2 (12334)'!C84+'UT3 (1279)'!C84+'UT4 (1271)'!C40</f>
        <v>3367776.97</v>
      </c>
      <c r="AC108" s="149" t="n">
        <f aca="false">AB108/P108</f>
        <v>181271.076984057</v>
      </c>
      <c r="AD108" s="150" t="n">
        <f aca="false">AB108/SUM(X108:AA108)</f>
        <v>23.9859067055946</v>
      </c>
      <c r="AE108" s="148" t="n">
        <f aca="false">1000*SUM(X108:AA108)/O108</f>
        <v>114.908933150972</v>
      </c>
      <c r="AF108" s="151" t="n">
        <f aca="false">'UT1 (1273)'!G144</f>
        <v>20983</v>
      </c>
      <c r="AG108" s="143" t="n">
        <f aca="false">'UT2 (12334)'!G84</f>
        <v>1306</v>
      </c>
      <c r="AH108" s="143" t="n">
        <f aca="false">'UT3 (1279)'!G84</f>
        <v>3049</v>
      </c>
      <c r="AI108" s="143" t="n">
        <f aca="false">'UT3b (1278)'!G28</f>
        <v>0</v>
      </c>
      <c r="AJ108" s="143" t="n">
        <f aca="false">'UT4 (1271)'!G40</f>
        <v>1066</v>
      </c>
      <c r="AK108" s="148" t="n">
        <f aca="false">'UT1 (1273)'!D144+'UT2 (12334)'!D84+'UT3 (1279)'!D84+'UT3b (1278)'!D28+'UT4 (1271)'!D40</f>
        <v>187808.49</v>
      </c>
      <c r="AL108" s="149" t="n">
        <f aca="false">AK108/P108</f>
        <v>10108.8188298435</v>
      </c>
      <c r="AM108" s="150" t="n">
        <f aca="false">AK108/SUM(AF108:AJ108)</f>
        <v>7.11288024541736</v>
      </c>
      <c r="AN108" s="150" t="n">
        <f aca="false">AL108/SUM($AF$144:$AJ$144)</f>
        <v>0.628111024595722</v>
      </c>
      <c r="AO108" s="152" t="n">
        <f aca="false">'UT1 (1273)'!H144/SUM(AF108:AJ108)</f>
        <v>0.492652628389638</v>
      </c>
      <c r="AP108" s="148" t="n">
        <f aca="false">1000*SUM(AF108:AJ108)/O108</f>
        <v>21.6090828203045</v>
      </c>
      <c r="AQ108" s="151" t="n">
        <f aca="false">'UT1 (1273)'!I144</f>
        <v>320496.75</v>
      </c>
      <c r="AR108" s="143" t="n">
        <f aca="false">'UT2 (12334)'!H84</f>
        <v>436675.68</v>
      </c>
      <c r="AS108" s="143" t="n">
        <f aca="false">'UT3 (1279)'!H84</f>
        <v>688617.72</v>
      </c>
      <c r="AT108" s="143" t="n">
        <f aca="false">'UT3b (1278)'!H28</f>
        <v>114513</v>
      </c>
      <c r="AU108" s="143" t="n">
        <f aca="false">'UT4 (1271)'!H40</f>
        <v>253339</v>
      </c>
      <c r="AV108" s="143" t="n">
        <f aca="false">'Osm.'!F84</f>
        <v>169107.12</v>
      </c>
      <c r="AW108" s="148" t="n">
        <f aca="false">'UT1 (1273)'!E144+'UT2 (12334)'!E84+'UT3 (1279)'!E84+'UT3b (1278)'!E28+'UT4 (1271)'!E40+'Osm.'!E84</f>
        <v>7466152.48</v>
      </c>
      <c r="AX108" s="149" t="n">
        <f aca="false">AW108/P108</f>
        <v>401866.724855235</v>
      </c>
      <c r="AY108" s="150" t="n">
        <f aca="false">AW108/SUM(AQ108:AV108)</f>
        <v>3.76555553088162</v>
      </c>
      <c r="AZ108" s="152" t="n">
        <f aca="false">SUM(AQ108:AV108)/((1400+2000+3000+2000+1600+2000)*24*30)</f>
        <v>0.229484869212963</v>
      </c>
      <c r="BA108" s="152" t="n">
        <f aca="false">AQ108/(1400*24*30)</f>
        <v>0.317953125</v>
      </c>
      <c r="BB108" s="152" t="n">
        <f aca="false">AR108/(2000*24*30)</f>
        <v>0.303247</v>
      </c>
      <c r="BC108" s="152" t="n">
        <f aca="false">(AS108+AT108)/(5000*24*30)</f>
        <v>0.223091866666667</v>
      </c>
      <c r="BD108" s="152" t="n">
        <f aca="false">AU108/(1600*24*30)</f>
        <v>0.219912326388889</v>
      </c>
      <c r="BE108" s="148" t="n">
        <f aca="false">1000*SUM(AQ108:AV108)/O108</f>
        <v>1622.68569865658</v>
      </c>
      <c r="BF108" s="151"/>
      <c r="BG108" s="143"/>
      <c r="BH108" s="143" t="n">
        <f aca="false">'UT3b (1278)'!I28</f>
        <v>136100</v>
      </c>
      <c r="BI108" s="143" t="n">
        <f aca="false">'UT4 (1271)'!I40</f>
        <v>137508</v>
      </c>
      <c r="BJ108" s="162" t="n">
        <f aca="false">SUM(BH108:BI108)/SUM(AQ108:AU108)</f>
        <v>0.150861072566052</v>
      </c>
    </row>
    <row r="109" customFormat="false" ht="18.75" hidden="false" customHeight="true" outlineLevel="0" collapsed="false">
      <c r="A109" s="18" t="n">
        <v>2022</v>
      </c>
      <c r="B109" s="18" t="n">
        <v>11</v>
      </c>
      <c r="C109" s="24" t="n">
        <f aca="false">SUM('UT1 (1273)'!C145:E145)</f>
        <v>3561140.43</v>
      </c>
      <c r="D109" s="24" t="n">
        <f aca="false">SUM('UT2 (12334)'!C85:E85)</f>
        <v>2137323.16</v>
      </c>
      <c r="E109" s="24" t="n">
        <f aca="false">SUM('UT3 (1279)'!C85:E85)</f>
        <v>3502188.51</v>
      </c>
      <c r="F109" s="24" t="n">
        <f aca="false">SUM('Osm.'!C85:E85)</f>
        <v>289617.93</v>
      </c>
      <c r="G109" s="24" t="n">
        <f aca="false">SUM('UT4 (1271)'!C41:E41)</f>
        <v>694941.1</v>
      </c>
      <c r="H109" s="25" t="n">
        <f aca="false">SUM('UT3b (1278)'!C29:E29)</f>
        <v>4792.25</v>
      </c>
      <c r="I109" s="161" t="n">
        <v>1018</v>
      </c>
      <c r="J109" s="143"/>
      <c r="K109" s="144" t="n">
        <f aca="false">(31+102)/I109</f>
        <v>0.130648330058939</v>
      </c>
      <c r="L109" s="25" t="n">
        <v>12745371</v>
      </c>
      <c r="M109" s="63" t="n">
        <v>607580.52</v>
      </c>
      <c r="N109" s="29" t="n">
        <v>735395.2</v>
      </c>
      <c r="O109" s="29" t="n">
        <v>1143654.35</v>
      </c>
      <c r="P109" s="145" t="n">
        <f aca="false">'$'!C132</f>
        <v>18.598286</v>
      </c>
      <c r="Q109" s="35" t="n">
        <f aca="false">100*(SUM(C109:H109)/P109)/M109</f>
        <v>90.1773699686557</v>
      </c>
      <c r="R109" s="35" t="n">
        <f aca="false">100*(L109/P109)/M109</f>
        <v>112.791330208055</v>
      </c>
      <c r="S109" s="146" t="n">
        <f aca="false">SUM(Q109:R109)</f>
        <v>202.968700176711</v>
      </c>
      <c r="T109" s="35" t="n">
        <f aca="false">100*SUM(L109,C109:H109)/O109/P109</f>
        <v>107.829632613289</v>
      </c>
      <c r="U109" s="29" t="n">
        <f aca="false">O109/I109</f>
        <v>1123.43256385069</v>
      </c>
      <c r="V109" s="29" t="n">
        <f aca="false">M109/I109</f>
        <v>596.837445972495</v>
      </c>
      <c r="W109" s="147"/>
      <c r="X109" s="143" t="n">
        <f aca="false">'UT1 (1273)'!F145</f>
        <v>96337.86</v>
      </c>
      <c r="Y109" s="143" t="n">
        <f aca="false">'UT2 (12334)'!F85</f>
        <v>0</v>
      </c>
      <c r="Z109" s="143" t="n">
        <f aca="false">'UT3 (1279)'!F85</f>
        <v>20227.69</v>
      </c>
      <c r="AA109" s="143" t="n">
        <f aca="false">'UT4 (1271)'!F41</f>
        <v>1749.73</v>
      </c>
      <c r="AB109" s="148" t="n">
        <f aca="false">'UT1 (1273)'!C145+'UT2 (12334)'!C85+'UT3 (1279)'!C85+'UT4 (1271)'!C41</f>
        <v>2808691.95</v>
      </c>
      <c r="AC109" s="149" t="n">
        <f aca="false">AB109/P109</f>
        <v>151018.860017531</v>
      </c>
      <c r="AD109" s="150" t="n">
        <f aca="false">AB109/SUM(X109:AA109)</f>
        <v>23.7390466387773</v>
      </c>
      <c r="AE109" s="148" t="n">
        <f aca="false">1000*SUM(X109:AA109)/O109</f>
        <v>103.453705221337</v>
      </c>
      <c r="AF109" s="151" t="n">
        <f aca="false">'UT1 (1273)'!G145</f>
        <v>17254</v>
      </c>
      <c r="AG109" s="143" t="n">
        <f aca="false">'UT2 (12334)'!G85</f>
        <v>1781</v>
      </c>
      <c r="AH109" s="143" t="n">
        <f aca="false">'UT3 (1279)'!G85</f>
        <v>2822</v>
      </c>
      <c r="AI109" s="143" t="n">
        <f aca="false">'UT3b (1278)'!G29</f>
        <v>0</v>
      </c>
      <c r="AJ109" s="143" t="n">
        <f aca="false">'UT4 (1271)'!G41</f>
        <v>1297</v>
      </c>
      <c r="AK109" s="148" t="n">
        <f aca="false">'UT1 (1273)'!D145+'UT2 (12334)'!D85+'UT3 (1279)'!D85+'UT3b (1278)'!D29+'UT4 (1271)'!D41</f>
        <v>181670.57</v>
      </c>
      <c r="AL109" s="149" t="n">
        <f aca="false">AK109/P109</f>
        <v>9768.13508513634</v>
      </c>
      <c r="AM109" s="150" t="n">
        <f aca="false">AK109/SUM(AF109:AJ109)</f>
        <v>7.8461851084046</v>
      </c>
      <c r="AN109" s="150" t="n">
        <f aca="false">AL109/SUM($AF$144:$AJ$144)</f>
        <v>0.606942654724515</v>
      </c>
      <c r="AO109" s="152" t="n">
        <f aca="false">'UT1 (1273)'!H145/SUM(AF109:AJ109)</f>
        <v>0.590956206271055</v>
      </c>
      <c r="AP109" s="148" t="n">
        <f aca="false">1000*SUM(AF109:AJ109)/O109</f>
        <v>20.2456275359771</v>
      </c>
      <c r="AQ109" s="151" t="n">
        <f aca="false">'UT1 (1273)'!I145</f>
        <v>276423.84</v>
      </c>
      <c r="AR109" s="143" t="n">
        <f aca="false">'UT2 (12334)'!H85</f>
        <v>491193.36</v>
      </c>
      <c r="AS109" s="143" t="n">
        <f aca="false">'UT3 (1279)'!H85</f>
        <v>697878.72</v>
      </c>
      <c r="AT109" s="143" t="n">
        <f aca="false">'UT3b (1278)'!H29</f>
        <v>89312</v>
      </c>
      <c r="AU109" s="143" t="n">
        <f aca="false">'UT4 (1271)'!H41</f>
        <v>275191</v>
      </c>
      <c r="AV109" s="143" t="n">
        <f aca="false">'Osm.'!F85</f>
        <v>63473.76</v>
      </c>
      <c r="AW109" s="148" t="n">
        <f aca="false">'UT1 (1273)'!E145+'UT2 (12334)'!E85+'UT3 (1279)'!E85+'UT3b (1278)'!E29+'UT4 (1271)'!E41+'Osm.'!E85</f>
        <v>7189077.28</v>
      </c>
      <c r="AX109" s="149" t="n">
        <f aca="false">AW109/P109</f>
        <v>386545.151526329</v>
      </c>
      <c r="AY109" s="150" t="n">
        <f aca="false">AW109/SUM(AQ109:AV109)</f>
        <v>3.79676842234661</v>
      </c>
      <c r="AZ109" s="152" t="n">
        <f aca="false">SUM(AQ109:AV109)/((1400+2000+3000+2000+1600+2000)*24*30)</f>
        <v>0.219151930555556</v>
      </c>
      <c r="BA109" s="152" t="n">
        <f aca="false">AQ109/(1400*24*30)</f>
        <v>0.27423</v>
      </c>
      <c r="BB109" s="152" t="n">
        <f aca="false">AR109/(2000*24*30)</f>
        <v>0.3411065</v>
      </c>
      <c r="BC109" s="152" t="n">
        <f aca="false">(AS109+AT109)/(5000*24*30)</f>
        <v>0.218664088888889</v>
      </c>
      <c r="BD109" s="152" t="n">
        <f aca="false">AU109/(1600*24*30)</f>
        <v>0.238881076388889</v>
      </c>
      <c r="BE109" s="148" t="n">
        <f aca="false">1000*SUM(AQ109:AV109)/O109</f>
        <v>1655.63369736669</v>
      </c>
      <c r="BF109" s="151"/>
      <c r="BG109" s="143"/>
      <c r="BH109" s="143" t="n">
        <f aca="false">'UT3b (1278)'!I29</f>
        <v>93460</v>
      </c>
      <c r="BI109" s="143" t="n">
        <f aca="false">'UT4 (1271)'!I41</f>
        <v>92453</v>
      </c>
      <c r="BJ109" s="162" t="n">
        <f aca="false">SUM(BH109:BI109)/SUM(AQ109:AU109)</f>
        <v>0.101591863234542</v>
      </c>
    </row>
    <row r="110" customFormat="false" ht="18.75" hidden="false" customHeight="true" outlineLevel="0" collapsed="false">
      <c r="A110" s="18" t="n">
        <v>2022</v>
      </c>
      <c r="B110" s="18" t="n">
        <v>12</v>
      </c>
      <c r="C110" s="24" t="n">
        <f aca="false">SUM('UT1 (1273)'!C146:E146)</f>
        <v>4004780.21</v>
      </c>
      <c r="D110" s="24" t="n">
        <f aca="false">SUM('UT2 (12334)'!C86:E86)</f>
        <v>2354486.56</v>
      </c>
      <c r="E110" s="24" t="n">
        <f aca="false">SUM('UT3 (1279)'!C86:E86)</f>
        <v>4043813.88</v>
      </c>
      <c r="F110" s="24" t="n">
        <f aca="false">SUM('Osm.'!C86:E86)</f>
        <v>39675.38</v>
      </c>
      <c r="G110" s="24" t="n">
        <f aca="false">SUM('UT4 (1271)'!C42:E42)</f>
        <v>1040331.98</v>
      </c>
      <c r="H110" s="25" t="n">
        <f aca="false">SUM('UT3b (1278)'!C30:E30)</f>
        <v>85030.2</v>
      </c>
      <c r="I110" s="161" t="n">
        <v>937</v>
      </c>
      <c r="J110" s="143"/>
      <c r="K110" s="144" t="n">
        <f aca="false">(15+39)/I110</f>
        <v>0.0576307363927428</v>
      </c>
      <c r="L110" s="25" t="n">
        <v>9078455</v>
      </c>
      <c r="M110" s="63" t="n">
        <v>480627.8</v>
      </c>
      <c r="N110" s="29" t="n">
        <v>765596.31</v>
      </c>
      <c r="O110" s="29" t="n">
        <v>1182042.99</v>
      </c>
      <c r="P110" s="145" t="n">
        <f aca="false">'$'!C133</f>
        <v>18.653721</v>
      </c>
      <c r="Q110" s="35" t="n">
        <f aca="false">100*(SUM(C110:H110)/P110)/M110</f>
        <v>129.02930375234</v>
      </c>
      <c r="R110" s="35" t="n">
        <f aca="false">100*(L110/P110)/M110</f>
        <v>101.259920285423</v>
      </c>
      <c r="S110" s="146" t="n">
        <f aca="false">SUM(Q110:R110)</f>
        <v>230.289224037762</v>
      </c>
      <c r="T110" s="35" t="n">
        <f aca="false">100*SUM(L110,C110:H110)/O110/P110</f>
        <v>93.63737533182</v>
      </c>
      <c r="U110" s="29" t="n">
        <f aca="false">O110/I110</f>
        <v>1261.51866595518</v>
      </c>
      <c r="V110" s="29" t="n">
        <f aca="false">M110/I110</f>
        <v>512.943223052295</v>
      </c>
      <c r="W110" s="147"/>
      <c r="X110" s="143" t="n">
        <f aca="false">'UT1 (1273)'!F146</f>
        <v>116371</v>
      </c>
      <c r="Y110" s="143" t="n">
        <f aca="false">'UT2 (12334)'!F86</f>
        <v>0</v>
      </c>
      <c r="Z110" s="143" t="n">
        <f aca="false">'UT3 (1279)'!F86</f>
        <v>18836.19</v>
      </c>
      <c r="AA110" s="143" t="n">
        <f aca="false">'UT4 (1271)'!F42</f>
        <v>1317.91</v>
      </c>
      <c r="AB110" s="148" t="n">
        <f aca="false">'UT1 (1273)'!C146+'UT2 (12334)'!C86+'UT3 (1279)'!C86+'UT4 (1271)'!C42</f>
        <v>2956954.44</v>
      </c>
      <c r="AC110" s="149" t="n">
        <f aca="false">AB110/P110</f>
        <v>158518.2087799</v>
      </c>
      <c r="AD110" s="150" t="n">
        <f aca="false">AB110/SUM(X110:AA110)</f>
        <v>21.6586872304067</v>
      </c>
      <c r="AE110" s="148" t="n">
        <f aca="false">1000*SUM(X110:AA110)/O110</f>
        <v>115.499267924257</v>
      </c>
      <c r="AF110" s="151" t="n">
        <f aca="false">'UT1 (1273)'!G146</f>
        <v>20039</v>
      </c>
      <c r="AG110" s="143" t="n">
        <f aca="false">'UT2 (12334)'!G86</f>
        <v>1822</v>
      </c>
      <c r="AH110" s="143" t="n">
        <f aca="false">'UT3 (1279)'!G86</f>
        <v>3256</v>
      </c>
      <c r="AI110" s="143" t="n">
        <f aca="false">'UT3b (1278)'!G30</f>
        <v>0</v>
      </c>
      <c r="AJ110" s="143" t="n">
        <f aca="false">'UT4 (1271)'!G42</f>
        <v>1947</v>
      </c>
      <c r="AK110" s="148" t="n">
        <f aca="false">'UT1 (1273)'!D146+'UT2 (12334)'!D86+'UT3 (1279)'!D86+'UT3b (1278)'!D30+'UT4 (1271)'!D42</f>
        <v>218690.55</v>
      </c>
      <c r="AL110" s="149" t="n">
        <f aca="false">AK110/P110</f>
        <v>11723.6957709403</v>
      </c>
      <c r="AM110" s="150" t="n">
        <f aca="false">AK110/SUM(AF110:AJ110)</f>
        <v>8.08049623115578</v>
      </c>
      <c r="AN110" s="150" t="n">
        <f aca="false">AL110/SUM($AF$144:$AJ$144)</f>
        <v>0.728451334095954</v>
      </c>
      <c r="AO110" s="152" t="n">
        <f aca="false">'UT1 (1273)'!H146/SUM(AF110:AJ110)</f>
        <v>0.632279042270174</v>
      </c>
      <c r="AP110" s="148" t="n">
        <f aca="false">1000*SUM(AF110:AJ110)/O110</f>
        <v>22.8959523714108</v>
      </c>
      <c r="AQ110" s="151" t="n">
        <f aca="false">'UT1 (1273)'!I146</f>
        <v>277884.81</v>
      </c>
      <c r="AR110" s="143" t="n">
        <f aca="false">'UT2 (12334)'!H86</f>
        <v>505716.12</v>
      </c>
      <c r="AS110" s="143" t="n">
        <f aca="false">'UT3 (1279)'!H86</f>
        <v>776907.18</v>
      </c>
      <c r="AT110" s="143" t="n">
        <f aca="false">'UT3b (1278)'!H30</f>
        <v>100984</v>
      </c>
      <c r="AU110" s="143" t="n">
        <f aca="false">'UT4 (1271)'!H42</f>
        <v>305125</v>
      </c>
      <c r="AV110" s="143" t="n">
        <f aca="false">'Osm.'!F86</f>
        <v>6930</v>
      </c>
      <c r="AW110" s="148" t="n">
        <f aca="false">'UT1 (1273)'!E146+'UT2 (12334)'!E86+'UT3 (1279)'!E86+'UT3b (1278)'!E30+'UT4 (1271)'!E42+'Osm.'!E86</f>
        <v>8386277.13</v>
      </c>
      <c r="AX110" s="149" t="n">
        <f aca="false">AW110/P110</f>
        <v>449576.635674995</v>
      </c>
      <c r="AY110" s="150" t="n">
        <f aca="false">AW110/SUM(AQ110:AV110)</f>
        <v>4.24934225664367</v>
      </c>
      <c r="AZ110" s="152" t="n">
        <f aca="false">SUM(AQ110:AV110)/((1400+2000+3000+2000+1600+2000)*24*30)</f>
        <v>0.228419804398148</v>
      </c>
      <c r="BA110" s="152" t="n">
        <f aca="false">AQ110/(1400*24*30)</f>
        <v>0.275679375</v>
      </c>
      <c r="BB110" s="152" t="n">
        <f aca="false">AR110/(2000*24*30)</f>
        <v>0.35119175</v>
      </c>
      <c r="BC110" s="152" t="n">
        <f aca="false">(AS110+AT110)/(5000*24*30)</f>
        <v>0.243858661111111</v>
      </c>
      <c r="BD110" s="152" t="n">
        <f aca="false">AU110/(1600*24*30)</f>
        <v>0.264865451388889</v>
      </c>
      <c r="BE110" s="148" t="n">
        <f aca="false">1000*SUM(AQ110:AV110)/O110</f>
        <v>1669.60688121842</v>
      </c>
      <c r="BF110" s="151"/>
      <c r="BG110" s="143"/>
      <c r="BH110" s="143" t="n">
        <f aca="false">'UT3b (1278)'!I30</f>
        <v>82992</v>
      </c>
      <c r="BI110" s="143" t="n">
        <f aca="false">'UT4 (1271)'!I42</f>
        <v>79448</v>
      </c>
      <c r="BJ110" s="162" t="n">
        <f aca="false">SUM(BH110:BI110)/SUM(AQ110:AU110)</f>
        <v>0.08259869151652</v>
      </c>
    </row>
    <row r="111" customFormat="false" ht="18.75" hidden="false" customHeight="true" outlineLevel="0" collapsed="false">
      <c r="A111" s="18" t="n">
        <v>2023</v>
      </c>
      <c r="B111" s="18" t="n">
        <v>1</v>
      </c>
      <c r="C111" s="24" t="n">
        <f aca="false">SUM('UT1 (1273)'!C147:E147)</f>
        <v>4018949.45</v>
      </c>
      <c r="D111" s="24" t="n">
        <f aca="false">SUM('UT2 (12334)'!C87:E87)</f>
        <v>2155359.65</v>
      </c>
      <c r="E111" s="24" t="n">
        <f aca="false">SUM('UT3 (1279)'!C87:E87)</f>
        <v>3442615.55</v>
      </c>
      <c r="F111" s="24" t="n">
        <f aca="false">SUM('Osm.'!C87:E87)</f>
        <v>42745.99</v>
      </c>
      <c r="G111" s="24" t="n">
        <f aca="false">SUM('UT4 (1271)'!C43:E43)</f>
        <v>1129619.13</v>
      </c>
      <c r="H111" s="25" t="n">
        <f aca="false">SUM('UT3b (1278)'!C31:E31)</f>
        <v>95241.69</v>
      </c>
      <c r="I111" s="161" t="n">
        <v>938</v>
      </c>
      <c r="J111" s="143"/>
      <c r="K111" s="144" t="n">
        <f aca="false">(6+5)/I111</f>
        <v>0.011727078891258</v>
      </c>
      <c r="L111" s="25" t="n">
        <v>16326651</v>
      </c>
      <c r="M111" s="166" t="n">
        <v>616588</v>
      </c>
      <c r="N111" s="29" t="n">
        <v>737687.1</v>
      </c>
      <c r="O111" s="29" t="n">
        <v>1184168.55</v>
      </c>
      <c r="P111" s="145" t="n">
        <f aca="false">'$'!C134</f>
        <v>18.779415</v>
      </c>
      <c r="Q111" s="35" t="n">
        <f aca="false">100*(SUM(C111:H111)/P111)/M111</f>
        <v>94.0010297821367</v>
      </c>
      <c r="R111" s="35" t="n">
        <f aca="false">100*(L111/P111)/M111</f>
        <v>141.000282146601</v>
      </c>
      <c r="S111" s="146" t="n">
        <f aca="false">SUM(Q111:R111)</f>
        <v>235.001311928737</v>
      </c>
      <c r="T111" s="35" t="n">
        <f aca="false">100*SUM(L111,C111:H111)/O111/P111</f>
        <v>122.363483576317</v>
      </c>
      <c r="U111" s="29" t="n">
        <f aca="false">O111/I111</f>
        <v>1262.43981876333</v>
      </c>
      <c r="V111" s="29" t="n">
        <f aca="false">M111/I111</f>
        <v>657.343283582089</v>
      </c>
      <c r="W111" s="147"/>
      <c r="X111" s="143" t="n">
        <f aca="false">'UT1 (1273)'!F147</f>
        <v>123605.99</v>
      </c>
      <c r="Y111" s="143" t="n">
        <f aca="false">'UT2 (12334)'!F87</f>
        <v>0</v>
      </c>
      <c r="Z111" s="143" t="n">
        <f aca="false">'UT3 (1279)'!F87</f>
        <v>21841.39</v>
      </c>
      <c r="AA111" s="143" t="n">
        <f aca="false">'UT4 (1271)'!F43</f>
        <v>1623.23</v>
      </c>
      <c r="AB111" s="148" t="n">
        <f aca="false">'UT1 (1273)'!C147+'UT2 (12334)'!C87+'UT3 (1279)'!C87+'UT4 (1271)'!C43</f>
        <v>3045029.53</v>
      </c>
      <c r="AC111" s="149" t="n">
        <f aca="false">AB111/P111</f>
        <v>162147.19840847</v>
      </c>
      <c r="AD111" s="150" t="n">
        <f aca="false">AB111/SUM(X111:AA111)</f>
        <v>20.7045413764178</v>
      </c>
      <c r="AE111" s="148" t="n">
        <f aca="false">1000*SUM(X111:AA111)/O111</f>
        <v>124.197361938045</v>
      </c>
      <c r="AF111" s="151" t="n">
        <f aca="false">'UT1 (1273)'!G147</f>
        <v>19139</v>
      </c>
      <c r="AG111" s="143" t="n">
        <f aca="false">'UT2 (12334)'!G87</f>
        <v>1458</v>
      </c>
      <c r="AH111" s="143" t="n">
        <f aca="false">'UT3 (1279)'!G87</f>
        <v>3233</v>
      </c>
      <c r="AI111" s="143" t="n">
        <f aca="false">'UT3b (1278)'!G31</f>
        <v>0</v>
      </c>
      <c r="AJ111" s="143" t="n">
        <f aca="false">'UT4 (1271)'!G43</f>
        <v>1957</v>
      </c>
      <c r="AK111" s="148" t="n">
        <f aca="false">'UT1 (1273)'!D147+'UT2 (12334)'!D87+'UT3 (1279)'!D87+'UT3b (1278)'!D31+'UT4 (1271)'!D43</f>
        <v>258440.19</v>
      </c>
      <c r="AL111" s="149" t="n">
        <f aca="false">AK111/P111</f>
        <v>13761.8871514368</v>
      </c>
      <c r="AM111" s="150" t="n">
        <f aca="false">AK111/SUM(AF111:AJ111)</f>
        <v>10.022111529065</v>
      </c>
      <c r="AN111" s="150" t="n">
        <f aca="false">AL111/SUM($AF$144:$AJ$144)</f>
        <v>0.855094268139482</v>
      </c>
      <c r="AO111" s="152" t="n">
        <f aca="false">'UT1 (1273)'!H147/SUM(AF111:AJ111)</f>
        <v>0.534571683406367</v>
      </c>
      <c r="AP111" s="148" t="n">
        <f aca="false">1000*SUM(AF111:AJ111)/O111</f>
        <v>21.7764607918358</v>
      </c>
      <c r="AQ111" s="151" t="n">
        <f aca="false">'UT1 (1273)'!I147</f>
        <v>291846.24</v>
      </c>
      <c r="AR111" s="143" t="n">
        <f aca="false">'UT2 (12334)'!H87</f>
        <v>495384.12</v>
      </c>
      <c r="AS111" s="143" t="n">
        <f aca="false">'UT3 (1279)'!H87</f>
        <v>732756</v>
      </c>
      <c r="AT111" s="143" t="n">
        <f aca="false">'UT3b (1278)'!H31</f>
        <v>101113</v>
      </c>
      <c r="AU111" s="143" t="n">
        <f aca="false">'UT4 (1271)'!H43</f>
        <v>335074</v>
      </c>
      <c r="AV111" s="143" t="n">
        <f aca="false">'Osm.'!F87</f>
        <v>6854.4</v>
      </c>
      <c r="AW111" s="148" t="n">
        <f aca="false">'UT1 (1273)'!E147+'UT2 (12334)'!E87+'UT3 (1279)'!E87+'UT3b (1278)'!E31+'UT4 (1271)'!E43+'Osm.'!E87</f>
        <v>7573419.13</v>
      </c>
      <c r="AX111" s="149" t="n">
        <f aca="false">AW111/P111</f>
        <v>403283.01653699</v>
      </c>
      <c r="AY111" s="150" t="n">
        <f aca="false">AW111/SUM(AQ111:AV111)</f>
        <v>3.85802956245509</v>
      </c>
      <c r="AZ111" s="152" t="n">
        <f aca="false">SUM(AQ111:AV111)/((1400+2000+3000+2000+1600+2000)*24*30)</f>
        <v>0.227202287037037</v>
      </c>
      <c r="BA111" s="152" t="n">
        <f aca="false">AQ111/(1400*24*30)</f>
        <v>0.28953</v>
      </c>
      <c r="BB111" s="152" t="n">
        <f aca="false">AR111/(2000*24*30)</f>
        <v>0.34401675</v>
      </c>
      <c r="BC111" s="152" t="n">
        <f aca="false">(AS111+AT111)/(5000*24*30)</f>
        <v>0.231630277777778</v>
      </c>
      <c r="BD111" s="152" t="n">
        <f aca="false">AU111/(1600*24*30)</f>
        <v>0.290862847222222</v>
      </c>
      <c r="BE111" s="148" t="n">
        <f aca="false">1000*SUM(AQ111:AV111)/O111</f>
        <v>1657.72664710611</v>
      </c>
      <c r="BF111" s="151"/>
      <c r="BG111" s="143"/>
      <c r="BH111" s="143" t="n">
        <f aca="false">'UT3b (1278)'!I31+'UT3 (1279)'!I87</f>
        <v>127635</v>
      </c>
      <c r="BI111" s="143" t="n">
        <f aca="false">'UT4 (1271)'!I43</f>
        <v>80829</v>
      </c>
      <c r="BJ111" s="162" t="n">
        <f aca="false">SUM(BH111:BI111)/SUM(AQ111:AU111)</f>
        <v>0.106567242077154</v>
      </c>
    </row>
    <row r="112" customFormat="false" ht="18.75" hidden="false" customHeight="true" outlineLevel="0" collapsed="false">
      <c r="A112" s="18" t="n">
        <v>2023</v>
      </c>
      <c r="B112" s="18" t="n">
        <v>2</v>
      </c>
      <c r="C112" s="24" t="n">
        <f aca="false">SUM('UT1 (1273)'!C148:E148)</f>
        <v>2692995.86</v>
      </c>
      <c r="D112" s="24" t="n">
        <f aca="false">SUM('UT2 (12334)'!C88:E88)</f>
        <v>1393608.6</v>
      </c>
      <c r="E112" s="24" t="n">
        <f aca="false">SUM('UT3 (1279)'!C88:E88)</f>
        <v>2163616.21</v>
      </c>
      <c r="F112" s="24" t="n">
        <f aca="false">SUM('Osm.'!C88:E88)</f>
        <v>36382.1</v>
      </c>
      <c r="G112" s="24" t="n">
        <f aca="false">SUM('UT4 (1271)'!C44:E44)</f>
        <v>626978.07</v>
      </c>
      <c r="H112" s="25" t="n">
        <f aca="false">SUM('UT3b (1278)'!C32:E32)</f>
        <v>54542.37</v>
      </c>
      <c r="I112" s="161" t="n">
        <v>940</v>
      </c>
      <c r="J112" s="143"/>
      <c r="K112" s="144" t="n">
        <f aca="false">(29+17)/I112</f>
        <v>0.048936170212766</v>
      </c>
      <c r="L112" s="25" t="n">
        <v>13206594</v>
      </c>
      <c r="M112" s="166" t="n">
        <v>463798</v>
      </c>
      <c r="N112" s="29" t="n">
        <v>606002</v>
      </c>
      <c r="O112" s="29" t="n">
        <v>936994</v>
      </c>
      <c r="P112" s="145" t="n">
        <f aca="false">'$'!C135</f>
        <v>18.848094</v>
      </c>
      <c r="Q112" s="35" t="n">
        <f aca="false">100*(SUM(C112:H112)/P112)/M112</f>
        <v>79.7112300028739</v>
      </c>
      <c r="R112" s="35" t="n">
        <f aca="false">100*(L112/P112)/M112</f>
        <v>151.075665593544</v>
      </c>
      <c r="S112" s="146" t="n">
        <f aca="false">SUM(Q112:R112)</f>
        <v>230.786895596418</v>
      </c>
      <c r="T112" s="35" t="n">
        <f aca="false">100*SUM(L112,C112:H112)/O112/P112</f>
        <v>114.236057652266</v>
      </c>
      <c r="U112" s="29" t="n">
        <f aca="false">O112/I112</f>
        <v>996.802127659574</v>
      </c>
      <c r="V112" s="29" t="n">
        <f aca="false">M112/I112</f>
        <v>493.402127659575</v>
      </c>
      <c r="W112" s="147"/>
      <c r="X112" s="143" t="n">
        <f aca="false">'UT1 (1273)'!F148</f>
        <v>89278.2</v>
      </c>
      <c r="Y112" s="143" t="n">
        <f aca="false">'UT2 (12334)'!F88</f>
        <v>0</v>
      </c>
      <c r="Z112" s="143" t="n">
        <f aca="false">'UT3 (1279)'!F88</f>
        <v>15486</v>
      </c>
      <c r="AA112" s="143" t="n">
        <f aca="false">'UT4 (1271)'!F44</f>
        <v>1563.82</v>
      </c>
      <c r="AB112" s="148" t="n">
        <f aca="false">'UT1 (1273)'!C148+'UT2 (12334)'!C88+'UT3 (1279)'!C88+'UT4 (1271)'!C44</f>
        <v>1912663.02</v>
      </c>
      <c r="AC112" s="149" t="n">
        <f aca="false">AB112/P112</f>
        <v>101477.795049197</v>
      </c>
      <c r="AD112" s="150" t="n">
        <f aca="false">AB112/SUM(X112:AA112)</f>
        <v>17.9883253727475</v>
      </c>
      <c r="AE112" s="148" t="n">
        <f aca="false">1000*SUM(X112:AA112)/O112</f>
        <v>113.477802419226</v>
      </c>
      <c r="AF112" s="151" t="n">
        <f aca="false">'UT1 (1273)'!G148</f>
        <v>14555</v>
      </c>
      <c r="AG112" s="143" t="n">
        <f aca="false">'UT2 (12334)'!G88</f>
        <v>1525</v>
      </c>
      <c r="AH112" s="143" t="n">
        <f aca="false">'UT3 (1279)'!G88</f>
        <v>2153</v>
      </c>
      <c r="AI112" s="143" t="n">
        <f aca="false">'UT3b (1278)'!G32</f>
        <v>0</v>
      </c>
      <c r="AJ112" s="143" t="n">
        <f aca="false">'UT4 (1271)'!G44</f>
        <v>1519</v>
      </c>
      <c r="AK112" s="148" t="n">
        <f aca="false">'UT1 (1273)'!D148+'UT2 (12334)'!D88+'UT3 (1279)'!D88+'UT3b (1278)'!D32+'UT4 (1271)'!D44</f>
        <v>206621.62</v>
      </c>
      <c r="AL112" s="149" t="n">
        <f aca="false">AK112/P112</f>
        <v>10962.4676107834</v>
      </c>
      <c r="AM112" s="150" t="n">
        <f aca="false">AK112/SUM(AF112:AJ112)</f>
        <v>10.4607948562171</v>
      </c>
      <c r="AN112" s="150" t="n">
        <f aca="false">AL112/SUM($AF$144:$AJ$144)</f>
        <v>0.68115245500083</v>
      </c>
      <c r="AO112" s="152" t="n">
        <f aca="false">'UT1 (1273)'!H148/SUM(AF112:AJ112)</f>
        <v>0.553766707168894</v>
      </c>
      <c r="AP112" s="148" t="n">
        <f aca="false">1000*SUM(AF112:AJ112)/O112</f>
        <v>21.0801776745636</v>
      </c>
      <c r="AQ112" s="151" t="n">
        <f aca="false">'UT1 (1273)'!I148</f>
        <v>245356.02</v>
      </c>
      <c r="AR112" s="143" t="n">
        <f aca="false">'UT2 (12334)'!H88</f>
        <v>370891.08</v>
      </c>
      <c r="AS112" s="143" t="n">
        <f aca="false">'UT3 (1279)'!H88</f>
        <v>601491</v>
      </c>
      <c r="AT112" s="143" t="n">
        <f aca="false">'UT3b (1278)'!H32</f>
        <v>70224</v>
      </c>
      <c r="AU112" s="143" t="n">
        <f aca="false">'UT4 (1271)'!H44</f>
        <v>283172</v>
      </c>
      <c r="AV112" s="143" t="n">
        <f aca="false">'Osm.'!F88</f>
        <v>6410.88</v>
      </c>
      <c r="AW112" s="148" t="n">
        <f aca="false">'UT1 (1273)'!E148+'UT2 (12334)'!E88+'UT3 (1279)'!E88+'UT3b (1278)'!E32+'UT4 (1271)'!E44+'Osm.'!E88</f>
        <v>4840785.95</v>
      </c>
      <c r="AX112" s="149" t="n">
        <f aca="false">AW112/P112</f>
        <v>256831.589974031</v>
      </c>
      <c r="AY112" s="150" t="n">
        <f aca="false">AW112/SUM(AQ112:AV112)</f>
        <v>3.06855653015992</v>
      </c>
      <c r="AZ112" s="152" t="n">
        <f aca="false">SUM(AQ112:AV112)/((1400+2000+3000+2000+1600+2000)*24*30)</f>
        <v>0.182586224537037</v>
      </c>
      <c r="BA112" s="152" t="n">
        <f aca="false">AQ112/(1400*24*30)</f>
        <v>0.24340875</v>
      </c>
      <c r="BB112" s="152" t="n">
        <f aca="false">AR112/(2000*24*30)</f>
        <v>0.25756325</v>
      </c>
      <c r="BC112" s="152" t="n">
        <f aca="false">(AS112+AT112)/(5000*24*30)</f>
        <v>0.1865875</v>
      </c>
      <c r="BD112" s="152" t="n">
        <f aca="false">AU112/(1600*24*30)</f>
        <v>0.245809027777778</v>
      </c>
      <c r="BE112" s="148" t="n">
        <f aca="false">1000*SUM(AQ112:AV112)/O112</f>
        <v>1683.62335297771</v>
      </c>
      <c r="BF112" s="151"/>
      <c r="BG112" s="143"/>
      <c r="BH112" s="143" t="n">
        <f aca="false">'UT3b (1278)'!I32+'UT3 (1279)'!I88</f>
        <v>218776</v>
      </c>
      <c r="BI112" s="143" t="n">
        <f aca="false">'UT4 (1271)'!I44</f>
        <v>121396</v>
      </c>
      <c r="BJ112" s="162" t="n">
        <f aca="false">SUM(BH112:BI112)/SUM(AQ112:AU112)</f>
        <v>0.216513663601344</v>
      </c>
    </row>
    <row r="113" customFormat="false" ht="18.75" hidden="false" customHeight="true" outlineLevel="0" collapsed="false">
      <c r="A113" s="18" t="n">
        <v>2023</v>
      </c>
      <c r="B113" s="18" t="n">
        <v>3</v>
      </c>
      <c r="C113" s="24" t="n">
        <f aca="false">SUM('UT1 (1273)'!C149:E149)</f>
        <v>2716867.86</v>
      </c>
      <c r="D113" s="24" t="n">
        <f aca="false">SUM('UT2 (12334)'!C89:E89)</f>
        <v>1463782.31</v>
      </c>
      <c r="E113" s="24" t="n">
        <f aca="false">SUM('UT3 (1279)'!C89:E89)</f>
        <v>2276032.1</v>
      </c>
      <c r="F113" s="24" t="n">
        <f aca="false">SUM('Osm.'!C89:E89)</f>
        <v>31693.5</v>
      </c>
      <c r="G113" s="24" t="n">
        <f aca="false">SUM('UT4 (1271)'!C45:E45)</f>
        <v>663477.81</v>
      </c>
      <c r="H113" s="25" t="n">
        <f aca="false">SUM('UT3b (1278)'!C33:E33)</f>
        <v>36267.76</v>
      </c>
      <c r="I113" s="161" t="n">
        <v>998</v>
      </c>
      <c r="J113" s="143"/>
      <c r="K113" s="144" t="n">
        <f aca="false">(59+74)/I113</f>
        <v>0.133266533066132</v>
      </c>
      <c r="L113" s="25" t="n">
        <v>17125906</v>
      </c>
      <c r="M113" s="166" t="n">
        <v>649920</v>
      </c>
      <c r="N113" s="29" t="n">
        <v>916777</v>
      </c>
      <c r="O113" s="29" t="n">
        <v>1380224</v>
      </c>
      <c r="P113" s="145" t="n">
        <f aca="false">'$'!C136</f>
        <v>18.992986</v>
      </c>
      <c r="Q113" s="35" t="n">
        <f aca="false">100*(SUM(C113:H113)/P113)/M113</f>
        <v>58.2320728679345</v>
      </c>
      <c r="R113" s="35" t="n">
        <f aca="false">100*(L113/P113)/M113</f>
        <v>138.739589796824</v>
      </c>
      <c r="S113" s="146" t="n">
        <f aca="false">SUM(Q113:R113)</f>
        <v>196.971662664758</v>
      </c>
      <c r="T113" s="35" t="n">
        <f aca="false">100*SUM(L113,C113:H113)/O113/P113</f>
        <v>92.7500340517769</v>
      </c>
      <c r="U113" s="29" t="n">
        <f aca="false">O113/I113</f>
        <v>1382.98997995992</v>
      </c>
      <c r="V113" s="29" t="n">
        <f aca="false">M113/I113</f>
        <v>651.22244488978</v>
      </c>
      <c r="W113" s="147"/>
      <c r="X113" s="143" t="n">
        <f aca="false">'UT1 (1273)'!F149</f>
        <v>112520.19</v>
      </c>
      <c r="Y113" s="143" t="n">
        <f aca="false">'UT2 (12334)'!F89</f>
        <v>0</v>
      </c>
      <c r="Z113" s="143" t="n">
        <f aca="false">'UT3 (1279)'!F89</f>
        <v>21406.08</v>
      </c>
      <c r="AA113" s="143" t="n">
        <f aca="false">'UT4 (1271)'!F45</f>
        <v>1844.26</v>
      </c>
      <c r="AB113" s="148" t="n">
        <f aca="false">'UT1 (1273)'!C149+'UT2 (12334)'!C89+'UT3 (1279)'!C89+'UT4 (1271)'!C45</f>
        <v>1941805.91</v>
      </c>
      <c r="AC113" s="149" t="n">
        <f aca="false">AB113/P113</f>
        <v>102238.053037053</v>
      </c>
      <c r="AD113" s="150" t="n">
        <f aca="false">AB113/SUM(X113:AA113)</f>
        <v>14.3021162987284</v>
      </c>
      <c r="AE113" s="148" t="n">
        <f aca="false">1000*SUM(X113:AA113)/O113</f>
        <v>98.3684749721784</v>
      </c>
      <c r="AF113" s="151" t="n">
        <f aca="false">'UT1 (1273)'!G149</f>
        <v>20387</v>
      </c>
      <c r="AG113" s="143" t="n">
        <f aca="false">'UT2 (12334)'!G89</f>
        <v>1804</v>
      </c>
      <c r="AH113" s="143" t="n">
        <f aca="false">'UT3 (1279)'!G89</f>
        <v>3128</v>
      </c>
      <c r="AI113" s="143" t="n">
        <f aca="false">'UT3b (1278)'!G33</f>
        <v>0</v>
      </c>
      <c r="AJ113" s="143" t="n">
        <f aca="false">'UT4 (1271)'!G45</f>
        <v>1375</v>
      </c>
      <c r="AK113" s="148" t="n">
        <f aca="false">'UT1 (1273)'!D149+'UT2 (12334)'!D89+'UT3 (1279)'!D89+'UT3b (1278)'!D33+'UT4 (1271)'!D45</f>
        <v>256135.16</v>
      </c>
      <c r="AL113" s="149" t="n">
        <f aca="false">AK113/P113</f>
        <v>13485.7762755156</v>
      </c>
      <c r="AM113" s="150" t="n">
        <f aca="false">AK113/SUM(AF113:AJ113)</f>
        <v>9.59523338577958</v>
      </c>
      <c r="AN113" s="150" t="n">
        <f aca="false">AL113/SUM($AF$144:$AJ$144)</f>
        <v>0.837938130701852</v>
      </c>
      <c r="AO113" s="152" t="n">
        <f aca="false">'UT1 (1273)'!H149/SUM(AF113:AJ113)</f>
        <v>0.522439499512999</v>
      </c>
      <c r="AP113" s="148" t="n">
        <f aca="false">1000*SUM(AF113:AJ113)/O113</f>
        <v>19.3403389594732</v>
      </c>
      <c r="AQ113" s="151" t="n">
        <f aca="false">'UT1 (1273)'!I149</f>
        <v>327463.29</v>
      </c>
      <c r="AR113" s="143" t="n">
        <f aca="false">'UT2 (12334)'!H89</f>
        <v>519351.84</v>
      </c>
      <c r="AS113" s="143" t="n">
        <f aca="false">'UT3 (1279)'!H89</f>
        <v>810833.56</v>
      </c>
      <c r="AT113" s="143" t="n">
        <f aca="false">'UT3b (1278)'!H33</f>
        <v>109167</v>
      </c>
      <c r="AU113" s="143" t="n">
        <f aca="false">'UT4 (1271)'!H45</f>
        <v>366750</v>
      </c>
      <c r="AV113" s="143" t="n">
        <f aca="false">'Osm.'!F89</f>
        <v>6235.2</v>
      </c>
      <c r="AW113" s="148" t="n">
        <f aca="false">'UT1 (1273)'!E149+'UT2 (12334)'!E89+'UT3 (1279)'!E89+'UT3b (1278)'!E33+'UT4 (1271)'!E45+'Osm.'!E89</f>
        <v>4981967.21</v>
      </c>
      <c r="AX113" s="149" t="n">
        <f aca="false">AW113/P113</f>
        <v>262305.632721469</v>
      </c>
      <c r="AY113" s="150" t="n">
        <f aca="false">AW113/SUM(AQ113:AV113)</f>
        <v>2.32823868486194</v>
      </c>
      <c r="AZ113" s="152" t="n">
        <f aca="false">SUM(AQ113:AV113)/((1400+2000+3000+2000+1600+2000)*24*30)</f>
        <v>0.247662140046296</v>
      </c>
      <c r="BA113" s="152" t="n">
        <f aca="false">AQ113/(1400*24*30)</f>
        <v>0.324864375</v>
      </c>
      <c r="BB113" s="152" t="n">
        <f aca="false">AR113/(2000*24*30)</f>
        <v>0.360661</v>
      </c>
      <c r="BC113" s="152" t="n">
        <f aca="false">(AS113+AT113)/(5000*24*30)</f>
        <v>0.255555711111111</v>
      </c>
      <c r="BD113" s="152" t="n">
        <f aca="false">AU113/(1600*24*30)</f>
        <v>0.318359375</v>
      </c>
      <c r="BE113" s="148" t="n">
        <f aca="false">1000*SUM(AQ113:AV113)/O113</f>
        <v>1550.32870751414</v>
      </c>
      <c r="BF113" s="151"/>
      <c r="BG113" s="143"/>
      <c r="BH113" s="143" t="n">
        <f aca="false">'UT3b (1278)'!I33+'UT3 (1279)'!I89</f>
        <v>252728</v>
      </c>
      <c r="BI113" s="143" t="n">
        <f aca="false">'UT4 (1271)'!I45</f>
        <v>140848</v>
      </c>
      <c r="BJ113" s="162" t="n">
        <f aca="false">SUM(BH113:BI113)/SUM(AQ113:AU113)</f>
        <v>0.184468658192568</v>
      </c>
    </row>
    <row r="114" customFormat="false" ht="18.75" hidden="false" customHeight="true" outlineLevel="0" collapsed="false">
      <c r="A114" s="18" t="n">
        <v>2023</v>
      </c>
      <c r="B114" s="18" t="n">
        <v>4</v>
      </c>
      <c r="C114" s="24" t="n">
        <f aca="false">SUM('UT1 (1273)'!C150:E150)</f>
        <v>1899275.17</v>
      </c>
      <c r="D114" s="24" t="n">
        <f aca="false">SUM('UT2 (12334)'!C90:E90)</f>
        <v>1055684.19</v>
      </c>
      <c r="E114" s="24" t="n">
        <f aca="false">SUM('UT3 (1279)'!C90:E90)</f>
        <v>1558730</v>
      </c>
      <c r="F114" s="24" t="n">
        <f aca="false">SUM('Osm.'!C90:E90)</f>
        <v>26784.21</v>
      </c>
      <c r="G114" s="24" t="n">
        <f aca="false">SUM('UT4 (1271)'!C46:E46)</f>
        <v>532094.96</v>
      </c>
      <c r="H114" s="25" t="n">
        <f aca="false">SUM('UT3b (1278)'!C34:E34)</f>
        <v>73159.89</v>
      </c>
      <c r="I114" s="161" t="n">
        <v>991</v>
      </c>
      <c r="J114" s="143"/>
      <c r="K114" s="144" t="n">
        <f aca="false">(63+46)/I114</f>
        <v>0.109989909182644</v>
      </c>
      <c r="L114" s="25" t="n">
        <v>16133638</v>
      </c>
      <c r="M114" s="166" t="n">
        <v>432295</v>
      </c>
      <c r="N114" s="29" t="n">
        <v>942665</v>
      </c>
      <c r="O114" s="29" t="n">
        <v>676130.0641</v>
      </c>
      <c r="P114" s="145" t="n">
        <f aca="false">'$'!C137</f>
        <v>19.335863</v>
      </c>
      <c r="Q114" s="35" t="n">
        <f aca="false">100*(SUM(C114:H114)/P114)/M114</f>
        <v>61.5606346736084</v>
      </c>
      <c r="R114" s="35" t="n">
        <f aca="false">100*(L114/P114)/M114</f>
        <v>193.0138774938</v>
      </c>
      <c r="S114" s="146" t="n">
        <f aca="false">SUM(Q114:R114)</f>
        <v>254.574512167409</v>
      </c>
      <c r="T114" s="35" t="n">
        <f aca="false">100*SUM(L114,C114:H114)/O114/P114</f>
        <v>162.766447730585</v>
      </c>
      <c r="U114" s="29" t="n">
        <f aca="false">O114/I114</f>
        <v>682.270498587286</v>
      </c>
      <c r="V114" s="29" t="n">
        <f aca="false">M114/I114</f>
        <v>436.220988900101</v>
      </c>
      <c r="W114" s="147"/>
      <c r="X114" s="143" t="n">
        <f aca="false">'UT1 (1273)'!F150</f>
        <v>100056.65</v>
      </c>
      <c r="Y114" s="143" t="n">
        <f aca="false">'UT2 (12334)'!F90</f>
        <v>0</v>
      </c>
      <c r="Z114" s="143" t="n">
        <f aca="false">'UT3 (1279)'!F90</f>
        <v>17861.57</v>
      </c>
      <c r="AA114" s="143" t="n">
        <f aca="false">'UT4 (1271)'!F46</f>
        <v>1600.58</v>
      </c>
      <c r="AB114" s="148" t="n">
        <f aca="false">'UT1 (1273)'!C150+'UT2 (12334)'!C90+'UT3 (1279)'!C90+'UT4 (1271)'!C46</f>
        <v>1368809.67</v>
      </c>
      <c r="AC114" s="149" t="n">
        <f aca="false">AB114/P114</f>
        <v>70791.2375051478</v>
      </c>
      <c r="AD114" s="150" t="n">
        <f aca="false">AB114/SUM(X114:AA114)</f>
        <v>11.452672466591</v>
      </c>
      <c r="AE114" s="148" t="n">
        <f aca="false">1000*SUM(X114:AA114)/O114</f>
        <v>176.76894778979</v>
      </c>
      <c r="AF114" s="151" t="n">
        <f aca="false">'UT1 (1273)'!G150</f>
        <v>16746</v>
      </c>
      <c r="AG114" s="143" t="n">
        <f aca="false">'UT2 (12334)'!G90</f>
        <v>1527</v>
      </c>
      <c r="AH114" s="143" t="n">
        <f aca="false">'UT3 (1279)'!G90</f>
        <v>2732</v>
      </c>
      <c r="AI114" s="143" t="n">
        <f aca="false">'UT3b (1278)'!G34</f>
        <v>0</v>
      </c>
      <c r="AJ114" s="143" t="n">
        <f aca="false">'UT4 (1271)'!G46</f>
        <v>1580</v>
      </c>
      <c r="AK114" s="148" t="n">
        <f aca="false">'UT1 (1273)'!D150+'UT2 (12334)'!D90+'UT3 (1279)'!D90+'UT3b (1278)'!D34+'UT4 (1271)'!D46</f>
        <v>244981.67</v>
      </c>
      <c r="AL114" s="149" t="n">
        <f aca="false">AK114/P114</f>
        <v>12669.8079108235</v>
      </c>
      <c r="AM114" s="150" t="n">
        <f aca="false">AK114/SUM(AF114:AJ114)</f>
        <v>10.8470963028559</v>
      </c>
      <c r="AN114" s="150" t="n">
        <f aca="false">AL114/SUM($AF$144:$AJ$144)</f>
        <v>0.78723797134482</v>
      </c>
      <c r="AO114" s="152" t="n">
        <f aca="false">'UT1 (1273)'!H150/SUM(AF114:AJ114)</f>
        <v>0.624795218065087</v>
      </c>
      <c r="AP114" s="148" t="n">
        <f aca="false">1000*SUM(AF114:AJ114)/O114</f>
        <v>33.4033364276783</v>
      </c>
      <c r="AQ114" s="151" t="n">
        <f aca="false">'UT1 (1273)'!I150</f>
        <v>318268</v>
      </c>
      <c r="AR114" s="143" t="n">
        <f aca="false">'UT2 (12334)'!H90</f>
        <v>402897.6</v>
      </c>
      <c r="AS114" s="143" t="n">
        <f aca="false">'UT3 (1279)'!H90</f>
        <v>673098</v>
      </c>
      <c r="AT114" s="143" t="n">
        <f aca="false">'UT3b (1278)'!H34</f>
        <v>93736</v>
      </c>
      <c r="AU114" s="143" t="n">
        <f aca="false">'UT4 (1271)'!H46</f>
        <v>364201</v>
      </c>
      <c r="AV114" s="143" t="n">
        <f aca="false">'Osm.'!F90</f>
        <v>5206.32</v>
      </c>
      <c r="AW114" s="148" t="n">
        <f aca="false">'UT1 (1273)'!E150+'UT2 (12334)'!E90+'UT3 (1279)'!E90+'UT3b (1278)'!E34+'UT4 (1271)'!E46+'Osm.'!E90</f>
        <v>3522939.65</v>
      </c>
      <c r="AX114" s="149" t="n">
        <f aca="false">AW114/P114</f>
        <v>182197.176821123</v>
      </c>
      <c r="AY114" s="150" t="n">
        <f aca="false">AW114/SUM(AQ114:AV114)</f>
        <v>1.89669781676058</v>
      </c>
      <c r="AZ114" s="152" t="n">
        <f aca="false">SUM(AQ114:AV114)/((1400+2000+3000+2000+1600+2000)*24*30)</f>
        <v>0.214977652777778</v>
      </c>
      <c r="BA114" s="152" t="n">
        <f aca="false">AQ114/(1400*24*30)</f>
        <v>0.315742063492063</v>
      </c>
      <c r="BB114" s="152" t="n">
        <f aca="false">AR114/(2000*24*30)</f>
        <v>0.27979</v>
      </c>
      <c r="BC114" s="152" t="n">
        <f aca="false">(AS114+AT114)/(5000*24*30)</f>
        <v>0.213009444444444</v>
      </c>
      <c r="BD114" s="152" t="n">
        <f aca="false">AU114/(1600*24*30)</f>
        <v>0.316146701388889</v>
      </c>
      <c r="BE114" s="148" t="n">
        <f aca="false">1000*SUM(AQ114:AV114)/O114</f>
        <v>2747.11482098108</v>
      </c>
      <c r="BF114" s="151" t="n">
        <f aca="false">'UT1 (1273)'!J150</f>
        <v>83619</v>
      </c>
      <c r="BG114" s="143" t="n">
        <f aca="false">'UT2 (12334)'!I90</f>
        <v>0</v>
      </c>
      <c r="BH114" s="143" t="n">
        <f aca="false">'UT3b (1278)'!I34+'UT3 (1279)'!I90</f>
        <v>320833</v>
      </c>
      <c r="BI114" s="143" t="n">
        <f aca="false">'UT4 (1271)'!I46</f>
        <v>177817</v>
      </c>
      <c r="BJ114" s="162" t="n">
        <f aca="false">SUM(BF114:BI114)/SUM(AQ114:AU114)</f>
        <v>0.31436605732662</v>
      </c>
    </row>
    <row r="115" customFormat="false" ht="18.75" hidden="false" customHeight="true" outlineLevel="0" collapsed="false">
      <c r="A115" s="18" t="n">
        <v>2023</v>
      </c>
      <c r="B115" s="18" t="n">
        <v>5</v>
      </c>
      <c r="C115" s="24" t="n">
        <f aca="false">SUM('UT1 (1273)'!C151:E151)</f>
        <v>2040090.36</v>
      </c>
      <c r="D115" s="24" t="n">
        <f aca="false">SUM('UT2 (12334)'!C91:E91)</f>
        <v>1194182.27</v>
      </c>
      <c r="E115" s="24" t="n">
        <f aca="false">SUM('UT3 (1279)'!C91:E91)</f>
        <v>1803870.32</v>
      </c>
      <c r="F115" s="24" t="n">
        <f aca="false">SUM('Osm.'!C91:E91)</f>
        <v>28613.09</v>
      </c>
      <c r="G115" s="24" t="n">
        <f aca="false">SUM('UT4 (1271)'!C47:E47)</f>
        <v>580306.49</v>
      </c>
      <c r="H115" s="25" t="n">
        <f aca="false">SUM('UT3b (1278)'!C35:E35)</f>
        <v>149809.24</v>
      </c>
      <c r="I115" s="161" t="n">
        <v>999</v>
      </c>
      <c r="J115" s="143"/>
      <c r="K115" s="144" t="n">
        <f aca="false">(61+87)/I115</f>
        <v>0.148148148148148</v>
      </c>
      <c r="L115" s="25" t="n">
        <v>18398217</v>
      </c>
      <c r="M115" s="166" t="n">
        <v>712254.58</v>
      </c>
      <c r="N115" s="29"/>
      <c r="O115" s="29" t="n">
        <v>1085502.37</v>
      </c>
      <c r="P115" s="145" t="n">
        <f aca="false">'$'!C138</f>
        <v>19.735976</v>
      </c>
      <c r="Q115" s="35" t="n">
        <f aca="false">100*(SUM(C115:H115)/P115)/M115</f>
        <v>41.2382127389511</v>
      </c>
      <c r="R115" s="35" t="n">
        <f aca="false">100*(L115/P115)/M115</f>
        <v>130.882589225082</v>
      </c>
      <c r="S115" s="146" t="n">
        <f aca="false">SUM(Q115:R115)</f>
        <v>172.120801964034</v>
      </c>
      <c r="T115" s="35" t="n">
        <f aca="false">100*SUM(L115,C115:H115)/O115/P115</f>
        <v>112.937413035916</v>
      </c>
      <c r="U115" s="29" t="n">
        <f aca="false">O115/I115</f>
        <v>1086.58895895896</v>
      </c>
      <c r="V115" s="29" t="n">
        <f aca="false">M115/I115</f>
        <v>712.967547547548</v>
      </c>
      <c r="W115" s="147"/>
      <c r="X115" s="143" t="n">
        <f aca="false">'UT1 (1273)'!F151</f>
        <v>105355.02</v>
      </c>
      <c r="Y115" s="143" t="n">
        <f aca="false">'UT2 (12334)'!F91</f>
        <v>0</v>
      </c>
      <c r="Z115" s="143" t="n">
        <f aca="false">'UT3 (1279)'!F91</f>
        <v>14426.16</v>
      </c>
      <c r="AA115" s="143" t="n">
        <f aca="false">'UT4 (1271)'!F47</f>
        <v>1766.71</v>
      </c>
      <c r="AB115" s="148" t="n">
        <f aca="false">'UT1 (1273)'!C151+'UT2 (12334)'!C91+'UT3 (1279)'!C91+'UT4 (1271)'!C47</f>
        <v>1391813.57</v>
      </c>
      <c r="AC115" s="149" t="n">
        <f aca="false">AB115/P115</f>
        <v>70521.6488913444</v>
      </c>
      <c r="AD115" s="150" t="n">
        <f aca="false">AB115/SUM(X115:AA115)</f>
        <v>11.4507423370328</v>
      </c>
      <c r="AE115" s="148" t="n">
        <f aca="false">1000*SUM(X115:AA115)/O115</f>
        <v>111.973859624093</v>
      </c>
      <c r="AF115" s="151" t="n">
        <f aca="false">'UT1 (1273)'!G151</f>
        <v>21797</v>
      </c>
      <c r="AG115" s="143" t="n">
        <f aca="false">'UT2 (12334)'!G91</f>
        <v>1086</v>
      </c>
      <c r="AH115" s="143" t="n">
        <f aca="false">'UT3 (1279)'!G91</f>
        <v>2092</v>
      </c>
      <c r="AI115" s="143" t="n">
        <f aca="false">'UT3b (1278)'!G35</f>
        <v>0</v>
      </c>
      <c r="AJ115" s="143" t="n">
        <f aca="false">'UT4 (1271)'!G47</f>
        <v>1612</v>
      </c>
      <c r="AK115" s="148" t="n">
        <f aca="false">'UT1 (1273)'!D151+'UT2 (12334)'!D91+'UT3 (1279)'!D91+'UT3b (1278)'!D35+'UT4 (1271)'!D47</f>
        <v>262102.91</v>
      </c>
      <c r="AL115" s="149" t="n">
        <f aca="false">AK115/P115</f>
        <v>13280.4635554887</v>
      </c>
      <c r="AM115" s="150" t="n">
        <f aca="false">AK115/SUM(AF115:AJ115)</f>
        <v>9.85831082860044</v>
      </c>
      <c r="AN115" s="150" t="n">
        <f aca="false">AL115/SUM($AF$144:$AJ$144)</f>
        <v>0.825181033645378</v>
      </c>
      <c r="AO115" s="152" t="n">
        <f aca="false">'UT1 (1273)'!H151/SUM(AF115:AJ115)</f>
        <v>0.602587730845902</v>
      </c>
      <c r="AP115" s="148" t="n">
        <f aca="false">1000*SUM(AF115:AJ115)/O115</f>
        <v>24.4928069572064</v>
      </c>
      <c r="AQ115" s="151" t="n">
        <f aca="false">'UT1 (1273)'!I151</f>
        <v>408414</v>
      </c>
      <c r="AR115" s="143" t="n">
        <f aca="false">'UT2 (12334)'!H91</f>
        <v>546810</v>
      </c>
      <c r="AS115" s="143" t="n">
        <f aca="false">'UT3 (1279)'!H91</f>
        <v>817261</v>
      </c>
      <c r="AT115" s="143" t="n">
        <f aca="false">'UT3b (1278)'!H35</f>
        <v>50109</v>
      </c>
      <c r="AU115" s="143" t="n">
        <f aca="false">'UT4 (1271)'!H47</f>
        <v>429870</v>
      </c>
      <c r="AV115" s="143" t="n">
        <f aca="false">'Osm.'!F91</f>
        <v>5286.96</v>
      </c>
      <c r="AW115" s="148" t="n">
        <f aca="false">'UT1 (1273)'!E151+'UT2 (12334)'!E91+'UT3 (1279)'!E91+'UT3b (1278)'!E35+'UT4 (1271)'!E47+'Osm.'!E91</f>
        <v>4134474.83</v>
      </c>
      <c r="AX115" s="149" t="n">
        <f aca="false">AW115/P115</f>
        <v>209489.251000305</v>
      </c>
      <c r="AY115" s="150" t="n">
        <f aca="false">AW115/SUM(AQ115:AV115)</f>
        <v>1.83123599690552</v>
      </c>
      <c r="AZ115" s="152" t="n">
        <f aca="false">SUM(AQ115:AV115)/((1400+2000+3000+2000+1600+2000)*24*30)</f>
        <v>0.261313768518518</v>
      </c>
      <c r="BA115" s="152" t="n">
        <f aca="false">AQ115/(1400*24*30)</f>
        <v>0.405172619047619</v>
      </c>
      <c r="BB115" s="152" t="n">
        <f aca="false">AR115/(2000*24*30)</f>
        <v>0.379729166666667</v>
      </c>
      <c r="BC115" s="152" t="n">
        <f aca="false">(AS115+AT115)/(5000*24*30)</f>
        <v>0.240936111111111</v>
      </c>
      <c r="BD115" s="152" t="n">
        <f aca="false">AU115/(1600*24*30)</f>
        <v>0.373151041666667</v>
      </c>
      <c r="BE115" s="148" t="n">
        <f aca="false">1000*SUM(AQ115:AV115)/O115</f>
        <v>2079.91343215584</v>
      </c>
      <c r="BF115" s="151" t="n">
        <f aca="false">'UT1 (1273)'!J151</f>
        <v>168618</v>
      </c>
      <c r="BG115" s="143" t="n">
        <f aca="false">'UT2 (12334)'!I91</f>
        <v>0</v>
      </c>
      <c r="BH115" s="143" t="n">
        <f aca="false">'UT3b (1278)'!I35+'UT3 (1279)'!I91</f>
        <v>432381</v>
      </c>
      <c r="BI115" s="143" t="n">
        <f aca="false">'UT4 (1271)'!I47</f>
        <v>228470</v>
      </c>
      <c r="BJ115" s="162" t="n">
        <f aca="false">SUM(BF115:BI115)/SUM(AQ115:AU115)</f>
        <v>0.36824961464423</v>
      </c>
    </row>
    <row r="116" customFormat="false" ht="18.75" hidden="false" customHeight="true" outlineLevel="0" collapsed="false">
      <c r="A116" s="18" t="n">
        <v>2023</v>
      </c>
      <c r="B116" s="18" t="n">
        <v>6</v>
      </c>
      <c r="C116" s="24" t="n">
        <f aca="false">SUM('UT1 (1273)'!C152:E152)</f>
        <v>1398078.39</v>
      </c>
      <c r="D116" s="24" t="n">
        <f aca="false">SUM('UT2 (12334)'!C92:E92)</f>
        <v>1022907.65</v>
      </c>
      <c r="E116" s="24" t="n">
        <f aca="false">SUM('UT3 (1279)'!C92:E92)</f>
        <v>1540518.01</v>
      </c>
      <c r="F116" s="24" t="n">
        <f aca="false">SUM('Osm.'!C92:E92)</f>
        <v>27009.36</v>
      </c>
      <c r="G116" s="24" t="n">
        <f aca="false">SUM('UT4 (1271)'!C48:E48)</f>
        <v>451297.17</v>
      </c>
      <c r="H116" s="25" t="n">
        <f aca="false">SUM('UT3b (1278)'!C36:E36)</f>
        <v>155239.51</v>
      </c>
      <c r="I116" s="161" t="n">
        <v>934</v>
      </c>
      <c r="J116" s="143"/>
      <c r="K116" s="144" t="n">
        <f aca="false">(23+61)/I116</f>
        <v>0.0899357601713062</v>
      </c>
      <c r="L116" s="25" t="n">
        <v>15182244</v>
      </c>
      <c r="M116" s="166" t="n">
        <v>568674</v>
      </c>
      <c r="N116" s="29"/>
      <c r="O116" s="29" t="n">
        <v>964810.62</v>
      </c>
      <c r="P116" s="145" t="n">
        <f aca="false">'$'!C139</f>
        <v>23.541627</v>
      </c>
      <c r="Q116" s="35" t="n">
        <f aca="false">100*(SUM(C116:H116)/P116)/M116</f>
        <v>34.3234080173215</v>
      </c>
      <c r="R116" s="35" t="n">
        <f aca="false">100*(L116/P116)/M116</f>
        <v>113.406022834135</v>
      </c>
      <c r="S116" s="146" t="n">
        <f aca="false">SUM(Q116:R116)</f>
        <v>147.729430851456</v>
      </c>
      <c r="T116" s="35" t="n">
        <f aca="false">100*SUM(L116,C116:H116)/O116/P116</f>
        <v>87.0739652098988</v>
      </c>
      <c r="U116" s="29" t="n">
        <f aca="false">O116/I116</f>
        <v>1032.98781584582</v>
      </c>
      <c r="V116" s="29" t="n">
        <f aca="false">M116/I116</f>
        <v>608.858672376874</v>
      </c>
      <c r="W116" s="147"/>
      <c r="X116" s="143" t="n">
        <f aca="false">'UT1 (1273)'!F152</f>
        <v>84313.12</v>
      </c>
      <c r="Y116" s="143" t="n">
        <f aca="false">'UT2 (12334)'!F92</f>
        <v>0</v>
      </c>
      <c r="Z116" s="143" t="n">
        <f aca="false">'UT3 (1279)'!F92</f>
        <v>10909.78</v>
      </c>
      <c r="AA116" s="143" t="n">
        <f aca="false">'UT4 (1271)'!F48</f>
        <v>1392.92</v>
      </c>
      <c r="AB116" s="148" t="n">
        <f aca="false">'UT1 (1273)'!C152+'UT2 (12334)'!C92+'UT3 (1279)'!C92+'UT4 (1271)'!C48</f>
        <v>1116545.42</v>
      </c>
      <c r="AC116" s="149" t="n">
        <f aca="false">AB116/P116</f>
        <v>47428.5579327206</v>
      </c>
      <c r="AD116" s="150" t="n">
        <f aca="false">AB116/SUM(X116:AA116)</f>
        <v>11.5565486066361</v>
      </c>
      <c r="AE116" s="148" t="n">
        <f aca="false">1000*SUM(X116:AA116)/O116</f>
        <v>100.139673006502</v>
      </c>
      <c r="AF116" s="151" t="n">
        <f aca="false">'UT1 (1273)'!G152</f>
        <v>18411</v>
      </c>
      <c r="AG116" s="143" t="n">
        <f aca="false">'UT2 (12334)'!G92</f>
        <v>1112</v>
      </c>
      <c r="AH116" s="143" t="n">
        <f aca="false">'UT3 (1279)'!G92</f>
        <v>1820</v>
      </c>
      <c r="AI116" s="143" t="n">
        <f aca="false">'UT3b (1278)'!G36</f>
        <v>0</v>
      </c>
      <c r="AJ116" s="143" t="n">
        <f aca="false">'UT4 (1271)'!G48</f>
        <v>1798</v>
      </c>
      <c r="AK116" s="148" t="n">
        <f aca="false">'UT1 (1273)'!D152+'UT2 (12334)'!D92+'UT3 (1279)'!D92+'UT3b (1278)'!D36+'UT4 (1271)'!D48</f>
        <v>212206.47</v>
      </c>
      <c r="AL116" s="149" t="n">
        <f aca="false">AK116/P116</f>
        <v>9014.0953299447</v>
      </c>
      <c r="AM116" s="150" t="n">
        <f aca="false">AK116/SUM(AF116:AJ116)</f>
        <v>9.17015124670498</v>
      </c>
      <c r="AN116" s="150" t="n">
        <f aca="false">AL116/SUM($AF$144:$AJ$144)</f>
        <v>0.560090426863719</v>
      </c>
      <c r="AO116" s="152" t="n">
        <f aca="false">'UT1 (1273)'!H152/SUM(AF116:AJ116)</f>
        <v>0.636014001123547</v>
      </c>
      <c r="AP116" s="148" t="n">
        <f aca="false">1000*SUM(AF116:AJ116)/O116</f>
        <v>23.9850179095251</v>
      </c>
      <c r="AQ116" s="151" t="n">
        <f aca="false">'UT1 (1273)'!I152</f>
        <v>262775</v>
      </c>
      <c r="AR116" s="143" t="n">
        <f aca="false">'UT2 (12334)'!H92</f>
        <v>401267.16</v>
      </c>
      <c r="AS116" s="143" t="n">
        <f aca="false">'UT3 (1279)'!H92</f>
        <v>740204</v>
      </c>
      <c r="AT116" s="143" t="n">
        <f aca="false">'UT3b (1278)'!H36</f>
        <v>33548</v>
      </c>
      <c r="AU116" s="143" t="n">
        <f aca="false">'UT4 (1271)'!H48</f>
        <v>385933</v>
      </c>
      <c r="AV116" s="143" t="n">
        <f aca="false">'Osm.'!F92</f>
        <v>5433.12</v>
      </c>
      <c r="AW116" s="148" t="n">
        <f aca="false">'UT1 (1273)'!E152+'UT2 (12334)'!E92+'UT3 (1279)'!E92+'UT3b (1278)'!E36+'UT4 (1271)'!E48+'Osm.'!E92</f>
        <v>3256338.14</v>
      </c>
      <c r="AX116" s="149" t="n">
        <f aca="false">AW116/P116</f>
        <v>138322.561138192</v>
      </c>
      <c r="AY116" s="150" t="n">
        <f aca="false">AW116/SUM(AQ116:AV116)</f>
        <v>1.78023663404718</v>
      </c>
      <c r="AZ116" s="152" t="n">
        <f aca="false">SUM(AQ116:AV116)/((1400+2000+3000+2000+1600+2000)*24*30)</f>
        <v>0.211708365740741</v>
      </c>
      <c r="BA116" s="152" t="n">
        <f aca="false">AQ116/(1400*24*30)</f>
        <v>0.260689484126984</v>
      </c>
      <c r="BB116" s="152" t="n">
        <f aca="false">AR116/(2000*24*30)</f>
        <v>0.27865775</v>
      </c>
      <c r="BC116" s="152" t="n">
        <f aca="false">(AS116+AT116)/(5000*24*30)</f>
        <v>0.214931111111111</v>
      </c>
      <c r="BD116" s="152" t="n">
        <f aca="false">AU116/(1600*24*30)</f>
        <v>0.335011284722222</v>
      </c>
      <c r="BE116" s="148" t="n">
        <f aca="false">1000*SUM(AQ116:AV116)/O116</f>
        <v>1895.87494383095</v>
      </c>
      <c r="BF116" s="151" t="n">
        <f aca="false">'UT1 (1273)'!J152</f>
        <v>166258</v>
      </c>
      <c r="BG116" s="143" t="n">
        <f aca="false">'UT2 (12334)'!I92</f>
        <v>0</v>
      </c>
      <c r="BH116" s="143" t="n">
        <f aca="false">'UT3b (1278)'!I36+'UT3 (1279)'!I92</f>
        <v>416901</v>
      </c>
      <c r="BI116" s="143" t="n">
        <f aca="false">'UT4 (1271)'!I48</f>
        <v>227728</v>
      </c>
      <c r="BJ116" s="162" t="n">
        <f aca="false">SUM(BF116:BI116)/SUM(AQ116:AU116)</f>
        <v>0.44463175072745</v>
      </c>
    </row>
    <row r="117" customFormat="false" ht="18.75" hidden="false" customHeight="true" outlineLevel="0" collapsed="false">
      <c r="A117" s="18" t="n">
        <v>2023</v>
      </c>
      <c r="B117" s="18" t="n">
        <v>7</v>
      </c>
      <c r="C117" s="24" t="n">
        <f aca="false">SUM('UT1 (1273)'!C153:E153)</f>
        <v>1560844.45</v>
      </c>
      <c r="D117" s="24" t="n">
        <f aca="false">SUM('UT2 (12334)'!C93:E93)</f>
        <v>1239180.84</v>
      </c>
      <c r="E117" s="24" t="n">
        <f aca="false">SUM('UT3 (1279)'!C93:E93)</f>
        <v>1697412.33</v>
      </c>
      <c r="F117" s="24" t="n">
        <f aca="false">SUM('Osm.'!C93:E93)</f>
        <v>33199.36</v>
      </c>
      <c r="G117" s="24" t="n">
        <f aca="false">SUM('UT4 (1271)'!C49:E49)</f>
        <v>628650</v>
      </c>
      <c r="H117" s="25" t="n">
        <f aca="false">SUM('UT3b (1278)'!C37:E37)</f>
        <v>187783.3</v>
      </c>
      <c r="I117" s="161" t="n">
        <v>898</v>
      </c>
      <c r="J117" s="143"/>
      <c r="K117" s="144" t="n">
        <f aca="false">(26+44)/I117</f>
        <v>0.0779510022271715</v>
      </c>
      <c r="L117" s="25" t="n">
        <v>20729074</v>
      </c>
      <c r="M117" s="166" t="n">
        <v>576059.44</v>
      </c>
      <c r="N117" s="29"/>
      <c r="O117" s="29" t="n">
        <v>972094.77</v>
      </c>
      <c r="P117" s="145" t="n">
        <f aca="false">'$'!C140</f>
        <v>26.43329</v>
      </c>
      <c r="Q117" s="35" t="n">
        <f aca="false">100*(SUM(C117:H117)/P117)/M117</f>
        <v>35.1153801084194</v>
      </c>
      <c r="R117" s="35" t="n">
        <f aca="false">100*(L117/P117)/M117</f>
        <v>136.132363086418</v>
      </c>
      <c r="S117" s="146" t="n">
        <f aca="false">SUM(Q117:R117)</f>
        <v>171.247743194837</v>
      </c>
      <c r="T117" s="35" t="n">
        <f aca="false">100*SUM(L117,C117:H117)/O117/P117</f>
        <v>101.480721932165</v>
      </c>
      <c r="U117" s="29" t="n">
        <f aca="false">O117/I117</f>
        <v>1082.51087973274</v>
      </c>
      <c r="V117" s="29" t="n">
        <f aca="false">M117/I117</f>
        <v>641.491581291759</v>
      </c>
      <c r="W117" s="147"/>
      <c r="X117" s="143" t="n">
        <f aca="false">'UT1 (1273)'!F153</f>
        <v>86007.56</v>
      </c>
      <c r="Y117" s="143" t="n">
        <f aca="false">'UT2 (12334)'!F93</f>
        <v>0</v>
      </c>
      <c r="Z117" s="143" t="n">
        <f aca="false">'UT3 (1279)'!F93</f>
        <v>8678.51</v>
      </c>
      <c r="AA117" s="143" t="n">
        <f aca="false">'UT4 (1271)'!F49</f>
        <v>1632.87</v>
      </c>
      <c r="AB117" s="148" t="n">
        <f aca="false">'UT1 (1273)'!C153+'UT2 (12334)'!C93+'UT3 (1279)'!C93+'UT4 (1271)'!C49</f>
        <v>1124296.23</v>
      </c>
      <c r="AC117" s="149" t="n">
        <f aca="false">AB117/P117</f>
        <v>42533.3445061133</v>
      </c>
      <c r="AD117" s="150" t="n">
        <f aca="false">AB117/SUM(X117:AA117)</f>
        <v>11.6726391507216</v>
      </c>
      <c r="AE117" s="148" t="n">
        <f aca="false">1000*SUM(X117:AA117)/O117</f>
        <v>99.0838989906303</v>
      </c>
      <c r="AF117" s="151" t="n">
        <f aca="false">'UT1 (1273)'!G153</f>
        <v>18035</v>
      </c>
      <c r="AG117" s="143" t="n">
        <f aca="false">'UT2 (12334)'!G93</f>
        <v>1036</v>
      </c>
      <c r="AH117" s="143" t="n">
        <f aca="false">'UT3 (1279)'!G93</f>
        <v>1708</v>
      </c>
      <c r="AI117" s="143" t="n">
        <f aca="false">'UT3b (1278)'!G37</f>
        <v>0</v>
      </c>
      <c r="AJ117" s="143" t="n">
        <f aca="false">'UT4 (1271)'!G49</f>
        <v>1649</v>
      </c>
      <c r="AK117" s="148" t="n">
        <f aca="false">'UT1 (1273)'!D153+'UT2 (12334)'!D93+'UT3 (1279)'!D93+'UT3b (1278)'!D37+'UT4 (1271)'!D49</f>
        <v>215058.29</v>
      </c>
      <c r="AL117" s="149" t="n">
        <f aca="false">AK117/P117</f>
        <v>8135.88811684054</v>
      </c>
      <c r="AM117" s="150" t="n">
        <f aca="false">AK117/SUM(AF117:AJ117)</f>
        <v>9.58883047975745</v>
      </c>
      <c r="AN117" s="150" t="n">
        <f aca="false">AL117/SUM($AF$144:$AJ$144)</f>
        <v>0.505523059328976</v>
      </c>
      <c r="AO117" s="152" t="n">
        <f aca="false">'UT1 (1273)'!H153/SUM(AF117:AJ117)</f>
        <v>0.66952024255395</v>
      </c>
      <c r="AP117" s="148" t="n">
        <f aca="false">1000*SUM(AF117:AJ117)/O117</f>
        <v>23.0718245711784</v>
      </c>
      <c r="AQ117" s="151" t="n">
        <f aca="false">'UT1 (1273)'!I153</f>
        <v>304662</v>
      </c>
      <c r="AR117" s="143" t="n">
        <f aca="false">'UT2 (12334)'!H93</f>
        <v>512168</v>
      </c>
      <c r="AS117" s="143" t="n">
        <f aca="false">'UT3 (1279)'!H93</f>
        <v>735861</v>
      </c>
      <c r="AT117" s="143" t="n">
        <f aca="false">'UT3b (1278)'!H37</f>
        <v>35918</v>
      </c>
      <c r="AU117" s="143" t="n">
        <f aca="false">'UT4 (1271)'!H49</f>
        <v>446418</v>
      </c>
      <c r="AV117" s="143" t="n">
        <f aca="false">'Osm.'!F93</f>
        <v>5745</v>
      </c>
      <c r="AW117" s="148" t="n">
        <f aca="false">'UT1 (1273)'!E153+'UT2 (12334)'!E93+'UT3 (1279)'!E93+'UT3b (1278)'!E37+'UT4 (1271)'!E49+'Osm.'!E93</f>
        <v>3998896.6</v>
      </c>
      <c r="AX117" s="149" t="n">
        <f aca="false">AW117/P117</f>
        <v>151282.591005509</v>
      </c>
      <c r="AY117" s="150" t="n">
        <f aca="false">AW117/SUM(AQ117:AV117)</f>
        <v>1.95950189438115</v>
      </c>
      <c r="AZ117" s="152" t="n">
        <f aca="false">SUM(AQ117:AV117)/((1400+2000+3000+2000+1600+2000)*24*30)</f>
        <v>0.236200462962963</v>
      </c>
      <c r="BA117" s="152" t="n">
        <f aca="false">AQ117/(1400*24*30)</f>
        <v>0.302244047619048</v>
      </c>
      <c r="BB117" s="152" t="n">
        <f aca="false">AR117/(2000*24*30)</f>
        <v>0.355672222222222</v>
      </c>
      <c r="BC117" s="152" t="n">
        <f aca="false">(AS117+AT117)/(5000*24*30)</f>
        <v>0.214383055555556</v>
      </c>
      <c r="BD117" s="152" t="n">
        <f aca="false">AU117/(1600*24*30)</f>
        <v>0.387515625</v>
      </c>
      <c r="BE117" s="148" t="n">
        <f aca="false">1000*SUM(AQ117:AV117)/O117</f>
        <v>2099.35498367098</v>
      </c>
      <c r="BF117" s="151" t="n">
        <f aca="false">'UT1 (1273)'!J153</f>
        <v>178996</v>
      </c>
      <c r="BG117" s="143" t="n">
        <f aca="false">'UT2 (12334)'!I93</f>
        <v>91613</v>
      </c>
      <c r="BH117" s="143" t="n">
        <f aca="false">'UT3b (1278)'!I37+'UT3 (1279)'!I93</f>
        <v>439842</v>
      </c>
      <c r="BI117" s="143" t="n">
        <f aca="false">'UT4 (1271)'!I49</f>
        <v>249167</v>
      </c>
      <c r="BJ117" s="162" t="n">
        <f aca="false">SUM(BF117:BI117)/SUM(AQ117:AU117)</f>
        <v>0.471550500312772</v>
      </c>
    </row>
    <row r="118" customFormat="false" ht="18.75" hidden="false" customHeight="true" outlineLevel="0" collapsed="false">
      <c r="A118" s="18" t="n">
        <v>2023</v>
      </c>
      <c r="B118" s="18" t="n">
        <v>8</v>
      </c>
      <c r="C118" s="24" t="n">
        <f aca="false">SUM('UT1 (1273)'!C154:E154)</f>
        <v>1918264.34</v>
      </c>
      <c r="D118" s="24" t="n">
        <f aca="false">SUM('UT2 (12334)'!C94:E94)</f>
        <v>1215177.65</v>
      </c>
      <c r="E118" s="24" t="n">
        <f aca="false">SUM('UT3 (1279)'!C94:E94)</f>
        <v>2065874.42</v>
      </c>
      <c r="F118" s="24" t="n">
        <f aca="false">SUM('Osm.'!C94:E94)</f>
        <v>37386.6</v>
      </c>
      <c r="G118" s="24" t="n">
        <f aca="false">SUM('UT4 (1271)'!C50:E50)</f>
        <v>868432.84</v>
      </c>
      <c r="H118" s="25" t="n">
        <f aca="false">SUM('UT3b (1278)'!C38:E38)</f>
        <v>131585.48</v>
      </c>
      <c r="I118" s="161" t="n">
        <v>900</v>
      </c>
      <c r="J118" s="143"/>
      <c r="K118" s="144" t="n">
        <f aca="false">(46+32)/I118</f>
        <v>0.0866666666666667</v>
      </c>
      <c r="L118" s="25" t="n">
        <v>20636570</v>
      </c>
      <c r="M118" s="166" t="n">
        <v>672006.03</v>
      </c>
      <c r="N118" s="29"/>
      <c r="O118" s="29" t="n">
        <v>1169052.92</v>
      </c>
      <c r="P118" s="145" t="n">
        <f aca="false">'$'!C141</f>
        <v>26.916173</v>
      </c>
      <c r="Q118" s="35" t="n">
        <f aca="false">100*(SUM(C118:H118)/P118)/M118</f>
        <v>34.4802065075271</v>
      </c>
      <c r="R118" s="35" t="n">
        <f aca="false">100*(L118/P118)/M118</f>
        <v>114.090907314443</v>
      </c>
      <c r="S118" s="146" t="n">
        <f aca="false">SUM(Q118:R118)</f>
        <v>148.57111382197</v>
      </c>
      <c r="T118" s="35" t="n">
        <f aca="false">100*SUM(L118,C118:H118)/O118/P118</f>
        <v>85.4030494805832</v>
      </c>
      <c r="U118" s="29" t="n">
        <f aca="false">O118/I118</f>
        <v>1298.94768888889</v>
      </c>
      <c r="V118" s="29" t="n">
        <f aca="false">M118/I118</f>
        <v>746.673366666667</v>
      </c>
      <c r="W118" s="147"/>
      <c r="X118" s="143" t="n">
        <f aca="false">'UT1 (1273)'!F154</f>
        <v>95332.09</v>
      </c>
      <c r="Y118" s="143" t="n">
        <f aca="false">'UT2 (12334)'!F94</f>
        <v>0</v>
      </c>
      <c r="Z118" s="143" t="n">
        <f aca="false">'UT3 (1279)'!F94</f>
        <v>9593.24</v>
      </c>
      <c r="AA118" s="143" t="n">
        <f aca="false">'UT4 (1271)'!F50</f>
        <v>1582.16</v>
      </c>
      <c r="AB118" s="148" t="n">
        <f aca="false">'UT1 (1273)'!C154+'UT2 (12334)'!C94+'UT3 (1279)'!C94+'UT4 (1271)'!C50</f>
        <v>1247180.5</v>
      </c>
      <c r="AC118" s="149" t="n">
        <f aca="false">AB118/P118</f>
        <v>46335.729080059</v>
      </c>
      <c r="AD118" s="150" t="n">
        <f aca="false">AB118/SUM(X118:AA118)</f>
        <v>11.7097914897816</v>
      </c>
      <c r="AE118" s="148" t="n">
        <f aca="false">1000*SUM(X118:AA118)/O118</f>
        <v>91.1057901467797</v>
      </c>
      <c r="AF118" s="151" t="n">
        <f aca="false">'UT1 (1273)'!G154</f>
        <v>21474</v>
      </c>
      <c r="AG118" s="143" t="n">
        <f aca="false">'UT2 (12334)'!G94</f>
        <v>1078</v>
      </c>
      <c r="AH118" s="143" t="n">
        <f aca="false">'UT3 (1279)'!G94</f>
        <v>1933</v>
      </c>
      <c r="AI118" s="143" t="n">
        <f aca="false">'UT3b (1278)'!G38</f>
        <v>0</v>
      </c>
      <c r="AJ118" s="143" t="n">
        <f aca="false">'UT4 (1271)'!G50</f>
        <v>1991</v>
      </c>
      <c r="AK118" s="148" t="n">
        <f aca="false">'UT1 (1273)'!D154+'UT2 (12334)'!D94+'UT3 (1279)'!D94+'UT3b (1278)'!D38+'UT4 (1271)'!D50</f>
        <v>219036.56</v>
      </c>
      <c r="AL118" s="149" t="n">
        <f aca="false">AK118/P118</f>
        <v>8137.73042698158</v>
      </c>
      <c r="AM118" s="150" t="n">
        <f aca="false">AK118/SUM(AF118:AJ118)</f>
        <v>8.27302311527421</v>
      </c>
      <c r="AN118" s="150" t="n">
        <f aca="false">AL118/SUM($AF$144:$AJ$144)</f>
        <v>0.505637531190604</v>
      </c>
      <c r="AO118" s="152" t="n">
        <f aca="false">'UT1 (1273)'!H154/SUM(AF118:AJ118)</f>
        <v>0.54407765523493</v>
      </c>
      <c r="AP118" s="148" t="n">
        <f aca="false">1000*SUM(AF118:AJ118)/O118</f>
        <v>22.6473922155722</v>
      </c>
      <c r="AQ118" s="151" t="n">
        <f aca="false">'UT1 (1273)'!I154</f>
        <v>356960.35</v>
      </c>
      <c r="AR118" s="143" t="n">
        <f aca="false">'UT2 (12334)'!H94</f>
        <v>660295</v>
      </c>
      <c r="AS118" s="143" t="n">
        <f aca="false">'UT3 (1279)'!H94</f>
        <v>795286.46</v>
      </c>
      <c r="AT118" s="143" t="n">
        <f aca="false">'UT3b (1278)'!H38</f>
        <v>57483</v>
      </c>
      <c r="AU118" s="143" t="n">
        <f aca="false">'UT4 (1271)'!H50</f>
        <v>472223</v>
      </c>
      <c r="AV118" s="143" t="n">
        <f aca="false">'Osm.'!F94</f>
        <v>5972.4</v>
      </c>
      <c r="AW118" s="148" t="n">
        <f aca="false">'UT1 (1273)'!E154+'UT2 (12334)'!E94+'UT3 (1279)'!E94+'UT3b (1278)'!E38+'UT4 (1271)'!E50+'Osm.'!E94</f>
        <v>4760740.3</v>
      </c>
      <c r="AX118" s="149" t="n">
        <f aca="false">AW118/P118</f>
        <v>176872.852615415</v>
      </c>
      <c r="AY118" s="150" t="n">
        <f aca="false">AW118/SUM(AQ118:AV118)</f>
        <v>2.02738238932029</v>
      </c>
      <c r="AZ118" s="152" t="n">
        <f aca="false">SUM(AQ118:AV118)/((1400+2000+3000+2000+1600+2000)*24*30)</f>
        <v>0.271784746527778</v>
      </c>
      <c r="BA118" s="152" t="n">
        <f aca="false">AQ118/(1400*24*30)</f>
        <v>0.354127331349206</v>
      </c>
      <c r="BB118" s="152" t="n">
        <f aca="false">AR118/(2000*24*30)</f>
        <v>0.458538194444444</v>
      </c>
      <c r="BC118" s="152" t="n">
        <f aca="false">(AS118+AT118)/(5000*24*30)</f>
        <v>0.236880405555556</v>
      </c>
      <c r="BD118" s="152" t="n">
        <f aca="false">AU118/(1600*24*30)</f>
        <v>0.409915798611111</v>
      </c>
      <c r="BE118" s="148" t="n">
        <f aca="false">1000*SUM(AQ118:AV118)/O118</f>
        <v>2008.65176402793</v>
      </c>
      <c r="BF118" s="151" t="n">
        <f aca="false">'UT1 (1273)'!J154</f>
        <v>156538</v>
      </c>
      <c r="BG118" s="143" t="n">
        <f aca="false">'UT2 (12334)'!I94</f>
        <v>272175</v>
      </c>
      <c r="BH118" s="143" t="n">
        <f aca="false">'UT3b (1278)'!I38+'UT3 (1279)'!I94</f>
        <v>362869</v>
      </c>
      <c r="BI118" s="143" t="n">
        <f aca="false">'UT4 (1271)'!I50</f>
        <v>203252</v>
      </c>
      <c r="BJ118" s="162" t="n">
        <f aca="false">SUM(BF118:BI118)/SUM(AQ118:AU118)</f>
        <v>0.424734733768414</v>
      </c>
    </row>
    <row r="119" customFormat="false" ht="18.75" hidden="false" customHeight="true" outlineLevel="0" collapsed="false">
      <c r="A119" s="18" t="n">
        <v>2023</v>
      </c>
      <c r="B119" s="18" t="n">
        <v>9</v>
      </c>
      <c r="C119" s="24" t="n">
        <f aca="false">SUM('UT1 (1273)'!C155:E155)</f>
        <v>1830479.83</v>
      </c>
      <c r="D119" s="24" t="n">
        <f aca="false">SUM('UT2 (12334)'!C95:E95)</f>
        <v>683242.97</v>
      </c>
      <c r="E119" s="24" t="n">
        <f aca="false">SUM('UT3 (1279)'!C95:E95)</f>
        <v>1569170.63</v>
      </c>
      <c r="F119" s="24" t="n">
        <f aca="false">SUM('Osm.'!C95:E95)</f>
        <v>31292.98</v>
      </c>
      <c r="G119" s="24" t="n">
        <f aca="false">SUM('UT4 (1271)'!C51:E51)</f>
        <v>950347.84</v>
      </c>
      <c r="H119" s="25" t="n">
        <f aca="false">SUM('UT3b (1278)'!C39:E39)</f>
        <v>162294.35</v>
      </c>
      <c r="I119" s="161" t="n">
        <v>912</v>
      </c>
      <c r="J119" s="143"/>
      <c r="K119" s="144" t="n">
        <f aca="false">(42+47)/I119</f>
        <v>0.0975877192982456</v>
      </c>
      <c r="L119" s="25" t="n">
        <v>19501483</v>
      </c>
      <c r="M119" s="166" t="n">
        <v>611803</v>
      </c>
      <c r="N119" s="29"/>
      <c r="O119" s="29" t="n">
        <v>934609.4</v>
      </c>
      <c r="P119" s="145" t="n">
        <f aca="false">'$'!C142</f>
        <v>26.984571</v>
      </c>
      <c r="Q119" s="35" t="n">
        <f aca="false">100*(SUM(C119:H119)/P119)/M119</f>
        <v>31.6600166197035</v>
      </c>
      <c r="R119" s="35" t="n">
        <f aca="false">100*(L119/P119)/M119</f>
        <v>118.124645581235</v>
      </c>
      <c r="S119" s="146" t="n">
        <f aca="false">SUM(Q119:R119)</f>
        <v>149.784662200939</v>
      </c>
      <c r="T119" s="35" t="n">
        <f aca="false">100*SUM(L119,C119:H119)/O119/P119</f>
        <v>98.0502717911044</v>
      </c>
      <c r="U119" s="29" t="n">
        <f aca="false">O119/I119</f>
        <v>1024.79100877193</v>
      </c>
      <c r="V119" s="29" t="n">
        <f aca="false">M119/I119</f>
        <v>670.836622807018</v>
      </c>
      <c r="W119" s="147"/>
      <c r="X119" s="143" t="n">
        <f aca="false">'UT1 (1273)'!F155</f>
        <v>89635.56</v>
      </c>
      <c r="Y119" s="143" t="n">
        <f aca="false">'UT2 (12334)'!F95</f>
        <v>0</v>
      </c>
      <c r="Z119" s="143" t="n">
        <f aca="false">'UT3 (1279)'!F95</f>
        <v>9676.28</v>
      </c>
      <c r="AA119" s="143" t="n">
        <f aca="false">'UT4 (1271)'!F51</f>
        <v>1349.83</v>
      </c>
      <c r="AB119" s="148" t="n">
        <f aca="false">'UT1 (1273)'!C155+'UT2 (12334)'!C95+'UT3 (1279)'!C95+'UT4 (1271)'!C51</f>
        <v>1179754.46</v>
      </c>
      <c r="AC119" s="149" t="n">
        <f aca="false">AB119/P119</f>
        <v>43719.5929481332</v>
      </c>
      <c r="AD119" s="150" t="n">
        <f aca="false">AB119/SUM(X119:AA119)</f>
        <v>11.7199968965347</v>
      </c>
      <c r="AE119" s="148" t="n">
        <f aca="false">1000*SUM(X119:AA119)/O119</f>
        <v>107.704534108046</v>
      </c>
      <c r="AF119" s="151" t="n">
        <f aca="false">'UT1 (1273)'!G155</f>
        <v>20474</v>
      </c>
      <c r="AG119" s="143" t="n">
        <f aca="false">'UT2 (12334)'!G95</f>
        <v>2755</v>
      </c>
      <c r="AH119" s="143" t="n">
        <f aca="false">'UT3 (1279)'!G95</f>
        <v>1437</v>
      </c>
      <c r="AI119" s="143" t="n">
        <f aca="false">'UT3b (1278)'!G39</f>
        <v>0</v>
      </c>
      <c r="AJ119" s="143" t="n">
        <f aca="false">'UT4 (1271)'!G51</f>
        <v>1597</v>
      </c>
      <c r="AK119" s="148" t="n">
        <f aca="false">'UT1 (1273)'!D155+'UT2 (12334)'!D95+'UT3 (1279)'!D95+'UT3b (1278)'!D39+'UT4 (1271)'!D51</f>
        <v>238034.49</v>
      </c>
      <c r="AL119" s="149" t="n">
        <f aca="false">AK119/P119</f>
        <v>8821.13300967431</v>
      </c>
      <c r="AM119" s="150" t="n">
        <f aca="false">AK119/SUM(AF119:AJ119)</f>
        <v>9.06349198492175</v>
      </c>
      <c r="AN119" s="150" t="n">
        <f aca="false">AL119/SUM($AF$144:$AJ$144)</f>
        <v>0.548100721366615</v>
      </c>
      <c r="AO119" s="152" t="n">
        <f aca="false">'UT1 (1273)'!H155/SUM(AF119:AJ119)</f>
        <v>0.641967787381487</v>
      </c>
      <c r="AP119" s="148" t="n">
        <f aca="false">1000*SUM(AF119:AJ119)/O119</f>
        <v>28.1005091538775</v>
      </c>
      <c r="AQ119" s="151" t="n">
        <f aca="false">'UT1 (1273)'!I155</f>
        <v>320304.07</v>
      </c>
      <c r="AR119" s="143" t="n">
        <f aca="false">'UT2 (12334)'!H95</f>
        <v>498343.98</v>
      </c>
      <c r="AS119" s="143" t="n">
        <f aca="false">'UT3 (1279)'!H95</f>
        <v>625071.16</v>
      </c>
      <c r="AT119" s="143" t="n">
        <f aca="false">'UT3b (1278)'!H39</f>
        <v>215986.55</v>
      </c>
      <c r="AU119" s="143" t="n">
        <f aca="false">'UT4 (1271)'!H51</f>
        <v>473979.11</v>
      </c>
      <c r="AV119" s="143" t="n">
        <f aca="false">'Osm.'!F95</f>
        <v>5831.28</v>
      </c>
      <c r="AW119" s="148" t="n">
        <f aca="false">'UT1 (1273)'!E155+'UT2 (12334)'!E95+'UT3 (1279)'!E95+'UT3b (1278)'!E39+'UT4 (1271)'!E51+'Osm.'!E95</f>
        <v>3799667.87</v>
      </c>
      <c r="AX119" s="149" t="n">
        <f aca="false">AW119/P119</f>
        <v>140808.904095603</v>
      </c>
      <c r="AY119" s="150" t="n">
        <f aca="false">AW119/SUM(AQ119:AV119)</f>
        <v>1.77594727200353</v>
      </c>
      <c r="AZ119" s="152" t="n">
        <f aca="false">SUM(AQ119:AV119)/((1400+2000+3000+2000+1600+2000)*24*30)</f>
        <v>0.247629184027778</v>
      </c>
      <c r="BA119" s="152" t="n">
        <f aca="false">AQ119/(1400*24*30)</f>
        <v>0.317761974206349</v>
      </c>
      <c r="BB119" s="152" t="n">
        <f aca="false">AR119/(2000*24*30)</f>
        <v>0.346072208333333</v>
      </c>
      <c r="BC119" s="152" t="n">
        <f aca="false">(AS119+AT119)/(5000*24*30)</f>
        <v>0.233627141666667</v>
      </c>
      <c r="BD119" s="152" t="n">
        <f aca="false">AU119/(1600*24*30)</f>
        <v>0.411440199652778</v>
      </c>
      <c r="BE119" s="148" t="n">
        <f aca="false">1000*SUM(AQ119:AV119)/O119</f>
        <v>2289.20889304131</v>
      </c>
      <c r="BF119" s="151" t="n">
        <f aca="false">'UT1 (1273)'!J155</f>
        <v>123625</v>
      </c>
      <c r="BG119" s="143" t="n">
        <f aca="false">'UT2 (12334)'!I95</f>
        <v>284461</v>
      </c>
      <c r="BH119" s="143" t="n">
        <f aca="false">'UT3b (1278)'!I39+'UT3 (1279)'!I95</f>
        <v>303702</v>
      </c>
      <c r="BI119" s="143" t="n">
        <f aca="false">'UT4 (1271)'!I51</f>
        <v>166289</v>
      </c>
      <c r="BJ119" s="162" t="n">
        <f aca="false">SUM(BF119:BI119)/SUM(AQ119:AU119)</f>
        <v>0.411530780550551</v>
      </c>
    </row>
    <row r="120" customFormat="false" ht="18.75" hidden="false" customHeight="true" outlineLevel="0" collapsed="false">
      <c r="A120" s="18" t="n">
        <v>2023</v>
      </c>
      <c r="B120" s="18" t="n">
        <v>10</v>
      </c>
      <c r="C120" s="24" t="n">
        <f aca="false">SUM('UT1 (1273)'!C156:E156)</f>
        <v>2281176.22</v>
      </c>
      <c r="D120" s="24" t="n">
        <f aca="false">SUM('UT2 (12334)'!C96:E96)</f>
        <v>832780.25</v>
      </c>
      <c r="E120" s="24" t="n">
        <f aca="false">SUM('UT3 (1279)'!C96:E96)</f>
        <v>1162845.32</v>
      </c>
      <c r="F120" s="24" t="n">
        <f aca="false">SUM('Osm.'!C96:E96)</f>
        <v>31714.35</v>
      </c>
      <c r="G120" s="24" t="n">
        <f aca="false">SUM('UT4 (1271)'!C52:E52)</f>
        <v>1221675.09</v>
      </c>
      <c r="H120" s="25" t="n">
        <f aca="false">SUM('UT3b (1278)'!C40:E40)</f>
        <v>631410.26</v>
      </c>
      <c r="I120" s="161" t="n">
        <v>921</v>
      </c>
      <c r="J120" s="143"/>
      <c r="K120" s="144" t="n">
        <f aca="false">(57+47)/I120</f>
        <v>0.112920738327904</v>
      </c>
      <c r="L120" s="25" t="n">
        <v>19501483</v>
      </c>
      <c r="M120" s="166" t="n">
        <v>614661</v>
      </c>
      <c r="N120" s="29"/>
      <c r="O120" s="29" t="n">
        <v>1079846.5</v>
      </c>
      <c r="P120" s="145" t="n">
        <f aca="false">'$'!C143</f>
        <v>27.86033</v>
      </c>
      <c r="Q120" s="35" t="n">
        <f aca="false">100*(SUM(C120:H120)/P120)/M120</f>
        <v>35.9808726266546</v>
      </c>
      <c r="R120" s="35" t="n">
        <f aca="false">100*(L120/P120)/M120</f>
        <v>113.879545276121</v>
      </c>
      <c r="S120" s="146" t="n">
        <f aca="false">SUM(Q120:R120)</f>
        <v>149.860417902776</v>
      </c>
      <c r="T120" s="35" t="n">
        <f aca="false">100*SUM(L120,C120:H120)/O120/P120</f>
        <v>85.3022668763922</v>
      </c>
      <c r="U120" s="29" t="n">
        <f aca="false">O120/I120</f>
        <v>1172.47176981542</v>
      </c>
      <c r="V120" s="29" t="n">
        <f aca="false">M120/I120</f>
        <v>667.384364820847</v>
      </c>
      <c r="W120" s="147"/>
      <c r="X120" s="143" t="n">
        <f aca="false">'UT1 (1273)'!F156</f>
        <v>103686.97</v>
      </c>
      <c r="Y120" s="143" t="n">
        <f aca="false">'UT2 (12334)'!F96</f>
        <v>0</v>
      </c>
      <c r="Z120" s="143" t="n">
        <f aca="false">'UT3 (1279)'!F96</f>
        <v>11173.3</v>
      </c>
      <c r="AA120" s="143" t="n">
        <f aca="false">'UT4 (1271)'!F52</f>
        <v>1355</v>
      </c>
      <c r="AB120" s="148" t="n">
        <f aca="false">'UT1 (1273)'!C156+'UT2 (12334)'!C96+'UT3 (1279)'!C96+'UT4 (1271)'!C52</f>
        <v>1674934.6</v>
      </c>
      <c r="AC120" s="149" t="n">
        <f aca="false">AB120/P120</f>
        <v>60118.9792080711</v>
      </c>
      <c r="AD120" s="150" t="n">
        <f aca="false">AB120/SUM(X120:AA120)</f>
        <v>14.4123452967928</v>
      </c>
      <c r="AE120" s="148" t="n">
        <f aca="false">1000*SUM(X120:AA120)/O120</f>
        <v>107.622027760427</v>
      </c>
      <c r="AF120" s="151" t="n">
        <f aca="false">'UT1 (1273)'!G156</f>
        <v>20832</v>
      </c>
      <c r="AG120" s="143" t="n">
        <f aca="false">'UT2 (12334)'!G96</f>
        <v>1316</v>
      </c>
      <c r="AH120" s="143" t="n">
        <f aca="false">'UT3 (1279)'!G96</f>
        <v>1969</v>
      </c>
      <c r="AI120" s="143" t="n">
        <f aca="false">'UT3b (1278)'!G40</f>
        <v>0</v>
      </c>
      <c r="AJ120" s="143" t="n">
        <f aca="false">'UT4 (1271)'!G52</f>
        <v>2404</v>
      </c>
      <c r="AK120" s="148" t="n">
        <f aca="false">'UT1 (1273)'!D156+'UT2 (12334)'!D96+'UT3 (1279)'!D96+'UT3b (1278)'!D40+'UT4 (1271)'!D52</f>
        <v>206478.39</v>
      </c>
      <c r="AL120" s="149" t="n">
        <f aca="false">AK120/P120</f>
        <v>7411.19685229859</v>
      </c>
      <c r="AM120" s="150" t="n">
        <f aca="false">AK120/SUM(AF120:AJ120)</f>
        <v>7.78546774254365</v>
      </c>
      <c r="AN120" s="150" t="n">
        <f aca="false">AL120/SUM($AF$144:$AJ$144)</f>
        <v>0.460494398676438</v>
      </c>
      <c r="AO120" s="152" t="n">
        <f aca="false">'UT1 (1273)'!H156/SUM(AF120:AJ120)</f>
        <v>0.433392406017873</v>
      </c>
      <c r="AP120" s="148" t="n">
        <f aca="false">1000*SUM(AF120:AJ120)/O120</f>
        <v>24.5599721812313</v>
      </c>
      <c r="AQ120" s="151" t="n">
        <f aca="false">'UT1 (1273)'!I156</f>
        <v>299500</v>
      </c>
      <c r="AR120" s="143" t="n">
        <f aca="false">'UT2 (12334)'!H96</f>
        <v>513765</v>
      </c>
      <c r="AS120" s="143" t="n">
        <f aca="false">'UT3 (1279)'!H96</f>
        <v>403591</v>
      </c>
      <c r="AT120" s="143" t="n">
        <f aca="false">'UT3b (1278)'!H40</f>
        <v>329223</v>
      </c>
      <c r="AU120" s="143" t="n">
        <f aca="false">'UT4 (1271)'!H52</f>
        <v>499113</v>
      </c>
      <c r="AV120" s="143" t="n">
        <f aca="false">'Osm.'!F96</f>
        <v>5538.96</v>
      </c>
      <c r="AW120" s="148" t="n">
        <f aca="false">'UT1 (1273)'!E156+'UT2 (12334)'!E96+'UT3 (1279)'!E96+'UT3b (1278)'!E40+'UT4 (1271)'!E52+'Osm.'!E96</f>
        <v>4271832.83</v>
      </c>
      <c r="AX120" s="149" t="n">
        <f aca="false">AW120/P120</f>
        <v>153330.302620249</v>
      </c>
      <c r="AY120" s="150" t="n">
        <f aca="false">AW120/SUM(AQ120:AV120)</f>
        <v>2.08307813814836</v>
      </c>
      <c r="AZ120" s="152" t="n">
        <f aca="false">SUM(AQ120:AV120)/((1400+2000+3000+2000+1600+2000)*24*30)</f>
        <v>0.23735312037037</v>
      </c>
      <c r="BA120" s="152" t="n">
        <f aca="false">AQ120/(1400*24*30)</f>
        <v>0.297123015873016</v>
      </c>
      <c r="BB120" s="152" t="n">
        <f aca="false">AR120/(2000*24*30)</f>
        <v>0.35678125</v>
      </c>
      <c r="BC120" s="152" t="n">
        <f aca="false">(AS120+AT120)/(5000*24*30)</f>
        <v>0.203559444444444</v>
      </c>
      <c r="BD120" s="152" t="n">
        <f aca="false">AU120/(1600*24*30)</f>
        <v>0.4332578125</v>
      </c>
      <c r="BE120" s="148" t="n">
        <f aca="false">1000*SUM(AQ120:AV120)/O120</f>
        <v>1899.09488061498</v>
      </c>
      <c r="BF120" s="151" t="n">
        <f aca="false">'UT1 (1273)'!J156</f>
        <v>105172</v>
      </c>
      <c r="BG120" s="143" t="n">
        <f aca="false">'UT2 (12334)'!I96</f>
        <v>272155</v>
      </c>
      <c r="BH120" s="143" t="n">
        <f aca="false">'UT3b (1278)'!I40+'UT3 (1279)'!I96</f>
        <v>252569</v>
      </c>
      <c r="BI120" s="143" t="n">
        <f aca="false">'UT4 (1271)'!I52</f>
        <v>137837</v>
      </c>
      <c r="BJ120" s="162" t="n">
        <f aca="false">SUM(BF120:BI120)/SUM(AQ120:AU120)</f>
        <v>0.37538431599576</v>
      </c>
    </row>
    <row r="121" customFormat="false" ht="18.75" hidden="false" customHeight="true" outlineLevel="0" collapsed="false">
      <c r="A121" s="18" t="n">
        <v>2023</v>
      </c>
      <c r="B121" s="18" t="n">
        <v>11</v>
      </c>
      <c r="C121" s="24" t="n">
        <f aca="false">SUM('UT1 (1273)'!C157:E157)</f>
        <v>2283557.98</v>
      </c>
      <c r="D121" s="24" t="n">
        <f aca="false">SUM('UT2 (12334)'!C97:E97)</f>
        <v>1064746.68</v>
      </c>
      <c r="E121" s="24" t="n">
        <f aca="false">SUM('UT3 (1279)'!C97:E97)</f>
        <v>957541.06</v>
      </c>
      <c r="F121" s="24" t="n">
        <f aca="false">SUM('Osm.'!C97:E97)</f>
        <v>26548.89</v>
      </c>
      <c r="G121" s="24" t="n">
        <f aca="false">SUM('UT4 (1271)'!C53:E53)</f>
        <v>1114395.69</v>
      </c>
      <c r="H121" s="25" t="n">
        <f aca="false">SUM('UT3b (1278)'!C41:E41)</f>
        <v>684673.84</v>
      </c>
      <c r="I121" s="161" t="n">
        <v>935</v>
      </c>
      <c r="J121" s="143"/>
      <c r="K121" s="144" t="n">
        <f aca="false">(53+33)/935</f>
        <v>0.0919786096256684</v>
      </c>
      <c r="L121" s="25" t="n">
        <v>20651567</v>
      </c>
      <c r="M121" s="166" t="n">
        <v>551085.07</v>
      </c>
      <c r="N121" s="29"/>
      <c r="O121" s="29" t="n">
        <v>962048.27</v>
      </c>
      <c r="P121" s="145" t="n">
        <f aca="false">'$'!C144</f>
        <v>28.646301</v>
      </c>
      <c r="Q121" s="35" t="n">
        <f aca="false">100*(SUM(C121:H121)/P121)/M121</f>
        <v>38.839801028422</v>
      </c>
      <c r="R121" s="35" t="n">
        <f aca="false">100*(L121/P121)/M121</f>
        <v>130.817490715215</v>
      </c>
      <c r="S121" s="146" t="n">
        <f aca="false">SUM(Q121:R121)</f>
        <v>169.657291743637</v>
      </c>
      <c r="T121" s="35" t="n">
        <f aca="false">100*SUM(L121,C121:H121)/O121/P121</f>
        <v>97.1838975361941</v>
      </c>
      <c r="U121" s="29" t="n">
        <f aca="false">O121/I121</f>
        <v>1028.92863101604</v>
      </c>
      <c r="V121" s="29" t="n">
        <f aca="false">M121/I121</f>
        <v>589.395796791444</v>
      </c>
      <c r="W121" s="147"/>
      <c r="X121" s="143" t="n">
        <f aca="false">'UT1 (1273)'!F157</f>
        <v>106511.37</v>
      </c>
      <c r="Y121" s="143" t="n">
        <f aca="false">'UT2 (12334)'!F97</f>
        <v>0</v>
      </c>
      <c r="Z121" s="143" t="n">
        <f aca="false">'UT3 (1279)'!F97</f>
        <v>13717.59</v>
      </c>
      <c r="AA121" s="143" t="n">
        <f aca="false">'UT4 (1271)'!F53</f>
        <v>1387.52</v>
      </c>
      <c r="AB121" s="148" t="n">
        <f aca="false">'UT1 (1273)'!C157+'UT2 (12334)'!C97+'UT3 (1279)'!C97+'UT4 (1271)'!C53</f>
        <v>1708590.83</v>
      </c>
      <c r="AC121" s="149" t="n">
        <f aca="false">AB121/P121</f>
        <v>59644.3788676241</v>
      </c>
      <c r="AD121" s="150" t="n">
        <f aca="false">AB121/SUM(X121:AA121)</f>
        <v>14.0490074207048</v>
      </c>
      <c r="AE121" s="148" t="n">
        <f aca="false">1000*SUM(X121:AA121)/O121</f>
        <v>126.414114335448</v>
      </c>
      <c r="AF121" s="151" t="n">
        <f aca="false">'UT1 (1273)'!G157</f>
        <v>18759</v>
      </c>
      <c r="AG121" s="143" t="n">
        <f aca="false">'UT2 (12334)'!G97</f>
        <v>1367</v>
      </c>
      <c r="AH121" s="143" t="n">
        <f aca="false">'UT3 (1279)'!G97</f>
        <v>1900</v>
      </c>
      <c r="AI121" s="143" t="n">
        <f aca="false">'UT3b (1278)'!G41</f>
        <v>0</v>
      </c>
      <c r="AJ121" s="143" t="n">
        <f aca="false">'UT4 (1271)'!G53</f>
        <v>2253</v>
      </c>
      <c r="AK121" s="148" t="n">
        <f aca="false">'UT1 (1273)'!D157+'UT2 (12334)'!D97+'UT3 (1279)'!D97+'UT3b (1278)'!D41+'UT4 (1271)'!D53</f>
        <v>239694.39</v>
      </c>
      <c r="AL121" s="149" t="n">
        <f aca="false">AK121/P121</f>
        <v>8367.3766466393</v>
      </c>
      <c r="AM121" s="150" t="n">
        <f aca="false">AK121/SUM(AF121:AJ121)</f>
        <v>9.87249845545533</v>
      </c>
      <c r="AN121" s="150" t="n">
        <f aca="false">AL121/SUM($AF$144:$AJ$144)</f>
        <v>0.519906589203386</v>
      </c>
      <c r="AO121" s="152" t="n">
        <f aca="false">'UT1 (1273)'!H157/SUM(AF121:AJ121)</f>
        <v>0.7266773755097</v>
      </c>
      <c r="AP121" s="148" t="n">
        <f aca="false">1000*SUM(AF121:AJ121)/O121</f>
        <v>25.2367794393518</v>
      </c>
      <c r="AQ121" s="151" t="n">
        <f aca="false">'UT1 (1273)'!I157</f>
        <v>266540</v>
      </c>
      <c r="AR121" s="143" t="n">
        <f aca="false">'UT2 (12334)'!H97</f>
        <v>528146</v>
      </c>
      <c r="AS121" s="143" t="n">
        <f aca="false">'UT3 (1279)'!H97</f>
        <v>318992</v>
      </c>
      <c r="AT121" s="143" t="n">
        <f aca="false">'UT3b (1278)'!H41</f>
        <v>324224</v>
      </c>
      <c r="AU121" s="143" t="n">
        <f aca="false">'UT4 (1271)'!H53</f>
        <v>458774</v>
      </c>
      <c r="AV121" s="143" t="n">
        <f aca="false">'Osm.'!F97</f>
        <v>5498.64</v>
      </c>
      <c r="AW121" s="148" t="n">
        <f aca="false">'UT1 (1273)'!E157+'UT2 (12334)'!E97+'UT3 (1279)'!E97+'UT3b (1278)'!E41+'UT4 (1271)'!E53+'Osm.'!E97</f>
        <v>4174876.73</v>
      </c>
      <c r="AX121" s="149" t="n">
        <f aca="false">AW121/P121</f>
        <v>145738.771997125</v>
      </c>
      <c r="AY121" s="150" t="n">
        <f aca="false">AW121/SUM(AQ121:AV121)</f>
        <v>2.19479149927054</v>
      </c>
      <c r="AZ121" s="152" t="n">
        <f aca="false">SUM(AQ121:AV121)/((1400+2000+3000+2000+1600+2000)*24*30)</f>
        <v>0.220159101851852</v>
      </c>
      <c r="BA121" s="152" t="n">
        <f aca="false">AQ121/(1400*24*30)</f>
        <v>0.264424603174603</v>
      </c>
      <c r="BB121" s="152" t="n">
        <f aca="false">AR121/(2000*24*30)</f>
        <v>0.366768055555556</v>
      </c>
      <c r="BC121" s="152" t="n">
        <f aca="false">(AS121+AT121)/(5000*24*30)</f>
        <v>0.178671111111111</v>
      </c>
      <c r="BD121" s="152" t="n">
        <f aca="false">AU121/(1600*24*30)</f>
        <v>0.398241319444444</v>
      </c>
      <c r="BE121" s="148" t="n">
        <f aca="false">1000*SUM(AQ121:AV121)/O121</f>
        <v>1977.21330552364</v>
      </c>
      <c r="BF121" s="151" t="n">
        <f aca="false">'UT1 (1273)'!J157</f>
        <v>69403</v>
      </c>
      <c r="BG121" s="143" t="n">
        <f aca="false">'UT2 (12334)'!I97</f>
        <v>180421</v>
      </c>
      <c r="BH121" s="143" t="n">
        <f aca="false">'UT3b (1278)'!I41+'UT3 (1279)'!I97</f>
        <v>163693</v>
      </c>
      <c r="BI121" s="143" t="n">
        <f aca="false">'UT4 (1271)'!I53</f>
        <v>92047</v>
      </c>
      <c r="BJ121" s="162" t="n">
        <f aca="false">SUM(BF121:BI121)/SUM(AQ121:AU121)</f>
        <v>0.2665526426232</v>
      </c>
    </row>
    <row r="122" customFormat="false" ht="18.75" hidden="false" customHeight="true" outlineLevel="0" collapsed="false">
      <c r="A122" s="18" t="n">
        <v>2023</v>
      </c>
      <c r="B122" s="18" t="n">
        <v>12</v>
      </c>
      <c r="C122" s="24" t="n">
        <f aca="false">SUM('UT1 (1273)'!C158:E158)</f>
        <v>2410803.85</v>
      </c>
      <c r="D122" s="24" t="n">
        <f aca="false">SUM('UT2 (12334)'!C98:E98)</f>
        <v>1334905.87</v>
      </c>
      <c r="E122" s="24" t="n">
        <f aca="false">SUM('UT3 (1279)'!C98:E98)</f>
        <v>1742706.33</v>
      </c>
      <c r="F122" s="24" t="n">
        <f aca="false">SUM('Osm.'!C98:E98)</f>
        <v>26248.42</v>
      </c>
      <c r="G122" s="24" t="n">
        <f aca="false">SUM('UT4 (1271)'!C54:E54)</f>
        <v>1291759.92</v>
      </c>
      <c r="H122" s="25" t="n">
        <f aca="false">SUM('UT3b (1278)'!C42:E42)</f>
        <v>0</v>
      </c>
      <c r="I122" s="161" t="n">
        <v>919</v>
      </c>
      <c r="J122" s="143"/>
      <c r="K122" s="144" t="n">
        <f aca="false">(19+63)/I122</f>
        <v>0.0892274211099021</v>
      </c>
      <c r="L122" s="25" t="n">
        <v>21332079</v>
      </c>
      <c r="M122" s="166" t="n">
        <v>472284.35</v>
      </c>
      <c r="N122" s="29"/>
      <c r="O122" s="29" t="n">
        <v>1039329.45</v>
      </c>
      <c r="P122" s="145" t="n">
        <f aca="false">'$'!C145</f>
        <v>29.088107</v>
      </c>
      <c r="Q122" s="35" t="n">
        <f aca="false">100*(SUM(C122:H122)/P122)/M122</f>
        <v>49.5450203012377</v>
      </c>
      <c r="R122" s="35" t="n">
        <f aca="false">100*(L122/P122)/M122</f>
        <v>155.279516316291</v>
      </c>
      <c r="S122" s="146" t="n">
        <f aca="false">SUM(Q122:R122)</f>
        <v>204.824536617529</v>
      </c>
      <c r="T122" s="35" t="n">
        <f aca="false">100*SUM(L122,C122:H122)/O122/P122</f>
        <v>93.0748408413336</v>
      </c>
      <c r="U122" s="29" t="n">
        <f aca="false">O122/I122</f>
        <v>1130.93520130577</v>
      </c>
      <c r="V122" s="29" t="n">
        <f aca="false">M122/I122</f>
        <v>513.911153427639</v>
      </c>
      <c r="W122" s="147"/>
      <c r="X122" s="143" t="n">
        <f aca="false">'UT1 (1273)'!F158</f>
        <v>109706.08</v>
      </c>
      <c r="Y122" s="143" t="n">
        <f aca="false">'UT2 (12334)'!F98</f>
        <v>0</v>
      </c>
      <c r="Z122" s="143" t="n">
        <f aca="false">'UT3 (1279)'!F98</f>
        <v>15052.89</v>
      </c>
      <c r="AA122" s="143" t="n">
        <f aca="false">'UT4 (1271)'!F54</f>
        <v>1352.99</v>
      </c>
      <c r="AB122" s="148" t="n">
        <f aca="false">'UT1 (1273)'!C158+'UT2 (12334)'!C98+'UT3 (1279)'!C98+'UT4 (1271)'!C54</f>
        <v>1777113.53</v>
      </c>
      <c r="AC122" s="149" t="n">
        <f aca="false">AB122/P122</f>
        <v>61094.1622980141</v>
      </c>
      <c r="AD122" s="150" t="n">
        <f aca="false">AB122/SUM(X122:AA122)</f>
        <v>14.0915542824011</v>
      </c>
      <c r="AE122" s="148" t="n">
        <f aca="false">1000*SUM(X122:AA122)/O122</f>
        <v>121.339734960844</v>
      </c>
      <c r="AF122" s="151" t="n">
        <f aca="false">'UT1 (1273)'!G158</f>
        <v>19869</v>
      </c>
      <c r="AG122" s="143" t="n">
        <f aca="false">'UT2 (12334)'!G98</f>
        <v>1731</v>
      </c>
      <c r="AH122" s="143" t="n">
        <f aca="false">'UT3 (1279)'!G98</f>
        <v>2059</v>
      </c>
      <c r="AI122" s="143" t="n">
        <f aca="false">'UT3b (1278)'!G42</f>
        <v>0</v>
      </c>
      <c r="AJ122" s="143" t="n">
        <f aca="false">'UT4 (1271)'!G54</f>
        <v>1444</v>
      </c>
      <c r="AK122" s="148" t="n">
        <f aca="false">'UT1 (1273)'!D158+'UT2 (12334)'!D98+'UT3 (1279)'!D98+'UT3b (1278)'!D42+'UT4 (1271)'!D54</f>
        <v>276556</v>
      </c>
      <c r="AL122" s="149" t="n">
        <f aca="false">AK122/P122</f>
        <v>9507.52828295083</v>
      </c>
      <c r="AM122" s="150" t="n">
        <f aca="false">AK122/SUM(AF122:AJ122)</f>
        <v>11.0168505756284</v>
      </c>
      <c r="AN122" s="150" t="n">
        <f aca="false">AL122/SUM($AF$144:$AJ$144)</f>
        <v>0.590749862243745</v>
      </c>
      <c r="AO122" s="152" t="n">
        <f aca="false">'UT1 (1273)'!H158/SUM(AF122:AJ122)</f>
        <v>0.770107158506951</v>
      </c>
      <c r="AP122" s="148" t="n">
        <f aca="false">1000*SUM(AF122:AJ122)/O122</f>
        <v>24.1530729260101</v>
      </c>
      <c r="AQ122" s="151" t="n">
        <f aca="false">'UT1 (1273)'!I158</f>
        <v>263074</v>
      </c>
      <c r="AR122" s="143" t="n">
        <f aca="false">'UT2 (12334)'!H98</f>
        <v>561294</v>
      </c>
      <c r="AS122" s="143" t="n">
        <f aca="false">'UT3 (1279)'!H98</f>
        <v>607579</v>
      </c>
      <c r="AT122" s="143" t="n">
        <f aca="false">'UT3b (1278)'!H42</f>
        <v>0</v>
      </c>
      <c r="AU122" s="143" t="n">
        <f aca="false">'UT4 (1271)'!H54</f>
        <v>475922</v>
      </c>
      <c r="AV122" s="143" t="n">
        <f aca="false">'Osm.'!F98</f>
        <v>6002.64</v>
      </c>
      <c r="AW122" s="148" t="n">
        <f aca="false">'UT1 (1273)'!E158+'UT2 (12334)'!E98+'UT3 (1279)'!E98+'UT3b (1278)'!E42+'UT4 (1271)'!E54+'Osm.'!E98</f>
        <v>4745130.07</v>
      </c>
      <c r="AX122" s="149" t="n">
        <f aca="false">AW122/P122</f>
        <v>163129.559101251</v>
      </c>
      <c r="AY122" s="150" t="n">
        <f aca="false">AW122/SUM(AQ122:AV122)</f>
        <v>2.47933558908893</v>
      </c>
      <c r="AZ122" s="152" t="n">
        <f aca="false">SUM(AQ122:AV122)/((1400+2000+3000+2000+1600+2000)*24*30)</f>
        <v>0.221512921296296</v>
      </c>
      <c r="BA122" s="152" t="n">
        <f aca="false">AQ122/(1400*24*30)</f>
        <v>0.260986111111111</v>
      </c>
      <c r="BB122" s="152" t="n">
        <f aca="false">AR122/(2000*24*30)</f>
        <v>0.3897875</v>
      </c>
      <c r="BC122" s="152" t="n">
        <f aca="false">(AS122+AT122)/(5000*24*30)</f>
        <v>0.168771944444444</v>
      </c>
      <c r="BD122" s="152" t="n">
        <f aca="false">AU122/(1600*24*30)</f>
        <v>0.413126736111111</v>
      </c>
      <c r="BE122" s="148" t="n">
        <f aca="false">1000*SUM(AQ122:AV122)/O122</f>
        <v>1841.44848392394</v>
      </c>
      <c r="BF122" s="151" t="n">
        <f aca="false">'UT1 (1273)'!J158</f>
        <v>53650</v>
      </c>
      <c r="BG122" s="143" t="n">
        <f aca="false">'UT2 (12334)'!I98</f>
        <v>141258</v>
      </c>
      <c r="BH122" s="143" t="n">
        <f aca="false">'UT3b (1278)'!I42+'UT3 (1279)'!I98</f>
        <v>125590</v>
      </c>
      <c r="BI122" s="143" t="n">
        <f aca="false">'UT4 (1271)'!I54</f>
        <v>72050</v>
      </c>
      <c r="BJ122" s="162" t="n">
        <f aca="false">SUM(BF122:BI122)/SUM(AQ122:AU122)</f>
        <v>0.205752072076227</v>
      </c>
    </row>
    <row r="123" customFormat="false" ht="18.75" hidden="false" customHeight="true" outlineLevel="0" collapsed="false">
      <c r="A123" s="58" t="n">
        <v>2024</v>
      </c>
      <c r="B123" s="58" t="n">
        <v>1</v>
      </c>
      <c r="C123" s="59" t="n">
        <f aca="false">SUM('UT1 (1273)'!C159:E159)</f>
        <v>2500755.2</v>
      </c>
      <c r="D123" s="59" t="n">
        <f aca="false">SUM('UT2 (12334)'!C99:E99)</f>
        <v>1128593.16</v>
      </c>
      <c r="E123" s="59" t="n">
        <f aca="false">SUM('UT3 (1279)'!C99:E99)</f>
        <v>1333151.39</v>
      </c>
      <c r="F123" s="59" t="n">
        <f aca="false">SUM('Osm.'!C99:E99)</f>
        <v>31434.71</v>
      </c>
      <c r="G123" s="59" t="n">
        <f aca="false">SUM('UT4 (1271)'!C55:E55)</f>
        <v>1300661.69</v>
      </c>
      <c r="H123" s="60" t="n">
        <f aca="false">SUM('UT3b (1278)'!C43:E43)</f>
        <v>0</v>
      </c>
      <c r="I123" s="161" t="n">
        <v>885</v>
      </c>
      <c r="J123" s="161" t="n">
        <v>57</v>
      </c>
      <c r="K123" s="167" t="n">
        <f aca="false">J123/I123</f>
        <v>0.0644067796610169</v>
      </c>
      <c r="L123" s="60" t="n">
        <v>29877225</v>
      </c>
      <c r="M123" s="166" t="n">
        <v>531471.34</v>
      </c>
      <c r="N123" s="63"/>
      <c r="O123" s="63" t="n">
        <v>1233842.76</v>
      </c>
      <c r="P123" s="168" t="n">
        <f aca="false">'$'!C146</f>
        <v>30.065751</v>
      </c>
      <c r="Q123" s="70" t="n">
        <f aca="false">100*(SUM(C123:H123)/P123)/M123</f>
        <v>39.3927196770021</v>
      </c>
      <c r="R123" s="70" t="n">
        <f aca="false">100*(L123/P123)/M123</f>
        <v>186.977070665879</v>
      </c>
      <c r="S123" s="146" t="n">
        <f aca="false">SUM(Q123:R123)</f>
        <v>226.369790342881</v>
      </c>
      <c r="T123" s="70" t="n">
        <f aca="false">100*SUM(L123,C123:H123)/O123/P123</f>
        <v>97.5076077028243</v>
      </c>
      <c r="U123" s="63" t="n">
        <f aca="false">O123/I123</f>
        <v>1394.17261016949</v>
      </c>
      <c r="V123" s="29" t="n">
        <f aca="false">M123/I123</f>
        <v>600.532587570621</v>
      </c>
      <c r="W123" s="147"/>
      <c r="X123" s="161" t="n">
        <f aca="false">'UT1 (1273)'!F159</f>
        <v>118063.66</v>
      </c>
      <c r="Y123" s="161" t="n">
        <f aca="false">'UT2 (12334)'!F99</f>
        <v>0</v>
      </c>
      <c r="Z123" s="161" t="n">
        <f aca="false">'UT3 (1279)'!F99</f>
        <v>13327.21</v>
      </c>
      <c r="AA123" s="161" t="n">
        <f aca="false">'UT4 (1271)'!F55</f>
        <v>2342.26</v>
      </c>
      <c r="AB123" s="148" t="n">
        <f aca="false">'UT1 (1273)'!C159+'UT2 (12334)'!C99+'UT3 (1279)'!C99+'UT4 (1271)'!C55</f>
        <v>1879781.76</v>
      </c>
      <c r="AC123" s="149" t="n">
        <f aca="false">AB123/P123</f>
        <v>62522.3617397749</v>
      </c>
      <c r="AD123" s="150" t="n">
        <f aca="false">AB123/SUM(X123:AA123)</f>
        <v>14.0562159877661</v>
      </c>
      <c r="AE123" s="169" t="n">
        <f aca="false">1000*SUM(X123:AA123)/O123</f>
        <v>108.387498257882</v>
      </c>
      <c r="AF123" s="142" t="n">
        <f aca="false">'UT1 (1273)'!G159</f>
        <v>17481</v>
      </c>
      <c r="AG123" s="161" t="n">
        <f aca="false">'UT2 (12334)'!G99</f>
        <v>1170</v>
      </c>
      <c r="AH123" s="161" t="n">
        <f aca="false">'UT3 (1279)'!G99</f>
        <v>1804</v>
      </c>
      <c r="AI123" s="161" t="n">
        <f aca="false">'UT3b (1278)'!G43</f>
        <v>0</v>
      </c>
      <c r="AJ123" s="161" t="n">
        <f aca="false">'UT4 (1271)'!G55</f>
        <v>846</v>
      </c>
      <c r="AK123" s="148" t="n">
        <f aca="false">'UT1 (1273)'!D159+'UT2 (12334)'!D99+'UT3 (1279)'!D99+'UT3b (1278)'!D43+'UT4 (1271)'!D55</f>
        <v>281502.34</v>
      </c>
      <c r="AL123" s="149" t="n">
        <f aca="false">AK123/P123</f>
        <v>9362.89068581723</v>
      </c>
      <c r="AM123" s="150" t="n">
        <f aca="false">AK123/SUM(AF123:AJ123)</f>
        <v>13.2154518567203</v>
      </c>
      <c r="AN123" s="150" t="n">
        <f aca="false">AL123/SUM($AF$144:$AJ$144)</f>
        <v>0.581762811346914</v>
      </c>
      <c r="AO123" s="170" t="n">
        <f aca="false">'UT1 (1273)'!H159/SUM(AF123:AJ123)</f>
        <v>0.652175954180555</v>
      </c>
      <c r="AP123" s="169" t="n">
        <f aca="false">1000*SUM(AF123:AJ123)/O123</f>
        <v>17.2639502297683</v>
      </c>
      <c r="AQ123" s="142" t="n">
        <f aca="false">'UT1 (1273)'!I159</f>
        <v>257095</v>
      </c>
      <c r="AR123" s="161" t="n">
        <f aca="false">'UT2 (12334)'!H99</f>
        <v>515086</v>
      </c>
      <c r="AS123" s="161" t="n">
        <f aca="false">'UT3 (1279)'!H99</f>
        <v>499097</v>
      </c>
      <c r="AT123" s="161" t="n">
        <f aca="false">'UT3b (1278)'!H43</f>
        <v>0</v>
      </c>
      <c r="AU123" s="161" t="n">
        <f aca="false">'UT4 (1271)'!H55</f>
        <v>505553</v>
      </c>
      <c r="AV123" s="161" t="n">
        <f aca="false">'Osm.'!F99</f>
        <v>6355.44</v>
      </c>
      <c r="AW123" s="148" t="n">
        <f aca="false">'UT1 (1273)'!E159+'UT2 (12334)'!E99+'UT3 (1279)'!E99+'UT3b (1278)'!E43+'UT4 (1271)'!E55+'Osm.'!E99</f>
        <v>4123569.44</v>
      </c>
      <c r="AX123" s="149" t="n">
        <f aca="false">AW123/P123</f>
        <v>137151.719243601</v>
      </c>
      <c r="AY123" s="150" t="n">
        <f aca="false">AW123/SUM(AQ123:AV123)</f>
        <v>2.31247240754029</v>
      </c>
      <c r="AZ123" s="170" t="n">
        <f aca="false">SUM(AQ123:AV123)/((1400+2000+3000+2000+1600+2000)*24*30)</f>
        <v>0.206387319444444</v>
      </c>
      <c r="BA123" s="170" t="n">
        <f aca="false">AQ123/(1400*24*30)</f>
        <v>0.255054563492063</v>
      </c>
      <c r="BB123" s="170" t="n">
        <f aca="false">AR123/(2000*24*30)</f>
        <v>0.357698611111111</v>
      </c>
      <c r="BC123" s="170" t="n">
        <f aca="false">(AS123+AT123)/(5000*24*30)</f>
        <v>0.138638055555556</v>
      </c>
      <c r="BD123" s="170" t="n">
        <f aca="false">AU123/(1600*24*30)</f>
        <v>0.438848090277778</v>
      </c>
      <c r="BE123" s="169" t="n">
        <f aca="false">1000*SUM(AQ123:AV123)/O123</f>
        <v>1445.22989298896</v>
      </c>
      <c r="BF123" s="142" t="n">
        <f aca="false">'UT1 (1273)'!J159</f>
        <v>56561</v>
      </c>
      <c r="BG123" s="161" t="n">
        <f aca="false">'UT2 (12334)'!I99</f>
        <v>143810</v>
      </c>
      <c r="BH123" s="161" t="n">
        <f aca="false">'UT3b (1278)'!I43+'UT3 (1279)'!I99</f>
        <v>124612</v>
      </c>
      <c r="BI123" s="161" t="n">
        <f aca="false">'UT4 (1271)'!I55</f>
        <v>71054</v>
      </c>
      <c r="BJ123" s="171" t="n">
        <f aca="false">SUM(BF123:BI123)/SUM(AQ123:AU123)</f>
        <v>0.222889515097384</v>
      </c>
    </row>
    <row r="124" customFormat="false" ht="18.75" hidden="false" customHeight="true" outlineLevel="0" collapsed="false">
      <c r="A124" s="18" t="n">
        <v>2024</v>
      </c>
      <c r="B124" s="18" t="n">
        <v>2</v>
      </c>
      <c r="C124" s="24" t="n">
        <f aca="false">SUM('UT1 (1273)'!C160:E160)</f>
        <v>1998528.91</v>
      </c>
      <c r="D124" s="24" t="n">
        <f aca="false">SUM('UT2 (12334)'!C100:E100)</f>
        <v>832545.94</v>
      </c>
      <c r="E124" s="24" t="n">
        <f aca="false">SUM('UT3 (1279)'!C100:E100)</f>
        <v>1275518.87</v>
      </c>
      <c r="F124" s="24" t="n">
        <f aca="false">SUM('Osm.'!C100:E100)</f>
        <v>30940.42</v>
      </c>
      <c r="G124" s="24" t="n">
        <f aca="false">SUM('UT4 (1271)'!C56:E56)</f>
        <v>740160.9</v>
      </c>
      <c r="H124" s="25" t="n">
        <f aca="false">SUM('UT3b (1278)'!C44:E44)</f>
        <v>0</v>
      </c>
      <c r="I124" s="161" t="n">
        <v>896</v>
      </c>
      <c r="J124" s="143" t="n">
        <v>73</v>
      </c>
      <c r="K124" s="167" t="n">
        <f aca="false">J124/I124</f>
        <v>0.0814732142857143</v>
      </c>
      <c r="L124" s="25" t="n">
        <v>25520956</v>
      </c>
      <c r="M124" s="166" t="n">
        <v>605148.01</v>
      </c>
      <c r="N124" s="29"/>
      <c r="O124" s="29" t="n">
        <v>792875.57</v>
      </c>
      <c r="P124" s="145" t="n">
        <f aca="false">'$'!C147</f>
        <v>30.78419</v>
      </c>
      <c r="Q124" s="35" t="n">
        <f aca="false">100*(SUM(C124:H124)/P124)/M124</f>
        <v>26.1833555920817</v>
      </c>
      <c r="R124" s="35" t="n">
        <f aca="false">100*(L124/P124)/M124</f>
        <v>136.9959090345</v>
      </c>
      <c r="S124" s="146" t="n">
        <f aca="false">SUM(Q124:R124)</f>
        <v>163.179264626582</v>
      </c>
      <c r="T124" s="35" t="n">
        <f aca="false">100*SUM(L124,C124:H124)/O124/P124</f>
        <v>124.543637108203</v>
      </c>
      <c r="U124" s="29" t="n">
        <f aca="false">O124/I124</f>
        <v>884.905770089286</v>
      </c>
      <c r="V124" s="29" t="n">
        <f aca="false">M124/I124</f>
        <v>675.388404017857</v>
      </c>
      <c r="W124" s="147"/>
      <c r="X124" s="143" t="n">
        <f aca="false">'UT1 (1273)'!F160</f>
        <v>94734.78</v>
      </c>
      <c r="Y124" s="143" t="n">
        <f aca="false">'UT2 (12334)'!F100</f>
        <v>0</v>
      </c>
      <c r="Z124" s="143" t="n">
        <f aca="false">'UT3 (1279)'!F100</f>
        <v>13781.35</v>
      </c>
      <c r="AA124" s="143" t="n">
        <f aca="false">'UT4 (1271)'!F56</f>
        <v>1305.3</v>
      </c>
      <c r="AB124" s="148" t="n">
        <f aca="false">'UT1 (1273)'!C160+'UT2 (12334)'!C100+'UT3 (1279)'!C100+'UT4 (1271)'!C56</f>
        <v>1546087.45</v>
      </c>
      <c r="AC124" s="149" t="n">
        <f aca="false">AB124/P124</f>
        <v>50223.4247514715</v>
      </c>
      <c r="AD124" s="150" t="n">
        <f aca="false">AB124/SUM(X124:AA124)</f>
        <v>14.0781944835357</v>
      </c>
      <c r="AE124" s="148" t="n">
        <f aca="false">1000*SUM(X124:AA124)/O124</f>
        <v>138.510296136379</v>
      </c>
      <c r="AF124" s="151" t="n">
        <f aca="false">'UT1 (1273)'!G160</f>
        <v>14336</v>
      </c>
      <c r="AG124" s="143" t="n">
        <f aca="false">'UT2 (12334)'!G100</f>
        <v>1456</v>
      </c>
      <c r="AH124" s="143" t="n">
        <f aca="false">'UT3 (1279)'!G100</f>
        <v>1478</v>
      </c>
      <c r="AI124" s="143" t="n">
        <f aca="false">'UT3b (1278)'!G44</f>
        <v>0</v>
      </c>
      <c r="AJ124" s="143" t="n">
        <f aca="false">'UT4 (1271)'!G56</f>
        <v>588</v>
      </c>
      <c r="AK124" s="148" t="n">
        <f aca="false">'UT1 (1273)'!D160+'UT2 (12334)'!D100+'UT3 (1279)'!D100+'UT3b (1278)'!D44+'UT4 (1271)'!D56</f>
        <v>259707.93</v>
      </c>
      <c r="AL124" s="149" t="n">
        <f aca="false">AK124/P124</f>
        <v>8436.40615523748</v>
      </c>
      <c r="AM124" s="150" t="n">
        <f aca="false">AK124/SUM(AF124:AJ124)</f>
        <v>14.5429460185911</v>
      </c>
      <c r="AN124" s="150" t="n">
        <f aca="false">AL124/SUM($AF$144:$AJ$144)</f>
        <v>0.524195734760624</v>
      </c>
      <c r="AO124" s="152" t="n">
        <f aca="false">'UT1 (1273)'!H160/SUM(AF124:AJ124)</f>
        <v>0.661048269683055</v>
      </c>
      <c r="AP124" s="148" t="n">
        <f aca="false">1000*SUM(AF124:AJ124)/O124</f>
        <v>22.5230801347556</v>
      </c>
      <c r="AQ124" s="151" t="n">
        <f aca="false">'UT1 (1273)'!I160</f>
        <v>234310</v>
      </c>
      <c r="AR124" s="143" t="n">
        <f aca="false">'UT2 (12334)'!H100</f>
        <v>479622</v>
      </c>
      <c r="AS124" s="143" t="n">
        <f aca="false">'UT3 (1279)'!H100</f>
        <v>534629</v>
      </c>
      <c r="AT124" s="143" t="n">
        <f aca="false">'UT3b (1278)'!H44</f>
        <v>0</v>
      </c>
      <c r="AU124" s="143" t="n">
        <f aca="false">'UT4 (1271)'!H56</f>
        <v>338291</v>
      </c>
      <c r="AV124" s="143" t="n">
        <f aca="false">'Osm.'!F100</f>
        <v>5488.56</v>
      </c>
      <c r="AW124" s="148" t="n">
        <f aca="false">'UT1 (1273)'!E160+'UT2 (12334)'!E100+'UT3 (1279)'!E100+'UT3b (1278)'!E44+'UT4 (1271)'!E56+'Osm.'!E100</f>
        <v>3061960.96</v>
      </c>
      <c r="AX124" s="149" t="n">
        <f aca="false">AW124/P124</f>
        <v>99465.3736219793</v>
      </c>
      <c r="AY124" s="150" t="n">
        <f aca="false">AW124/SUM(AQ124:AV124)</f>
        <v>1.92293095894009</v>
      </c>
      <c r="AZ124" s="152" t="n">
        <f aca="false">SUM(AQ124:AV124)/((1400+2000+3000+2000+1600+2000)*24*30)</f>
        <v>0.184298675925926</v>
      </c>
      <c r="BA124" s="152" t="n">
        <f aca="false">AQ124/(1400*24*30)</f>
        <v>0.232450396825397</v>
      </c>
      <c r="BB124" s="152" t="n">
        <f aca="false">AR124/(2000*24*30)</f>
        <v>0.333070833333333</v>
      </c>
      <c r="BC124" s="152" t="n">
        <f aca="false">(AS124+AT124)/(5000*24*30)</f>
        <v>0.148508055555556</v>
      </c>
      <c r="BD124" s="152" t="n">
        <f aca="false">AU124/(1600*24*30)</f>
        <v>0.293655381944444</v>
      </c>
      <c r="BE124" s="148" t="n">
        <f aca="false">1000*SUM(AQ124:AV124)/O124</f>
        <v>2008.31078702551</v>
      </c>
      <c r="BF124" s="151" t="n">
        <f aca="false">'UT1 (1273)'!J160</f>
        <v>90793</v>
      </c>
      <c r="BG124" s="143" t="n">
        <f aca="false">'UT2 (12334)'!I100</f>
        <v>231490</v>
      </c>
      <c r="BH124" s="143" t="n">
        <f aca="false">'UT3b (1278)'!I44+'UT3 (1279)'!I100</f>
        <v>202616</v>
      </c>
      <c r="BI124" s="143" t="n">
        <f aca="false">'UT4 (1271)'!I56</f>
        <v>109267</v>
      </c>
      <c r="BJ124" s="162" t="n">
        <f aca="false">SUM(BF124:BI124)/SUM(AQ124:AU124)</f>
        <v>0.399637773402939</v>
      </c>
    </row>
    <row r="125" customFormat="false" ht="18.75" hidden="false" customHeight="true" outlineLevel="0" collapsed="false">
      <c r="A125" s="18" t="n">
        <v>2024</v>
      </c>
      <c r="B125" s="18" t="n">
        <v>3</v>
      </c>
      <c r="C125" s="24" t="n">
        <f aca="false">SUM('UT1 (1273)'!C161:E161)</f>
        <v>2413843.37</v>
      </c>
      <c r="D125" s="24" t="n">
        <f aca="false">SUM('UT2 (12334)'!C101:E101)</f>
        <v>431381.99</v>
      </c>
      <c r="E125" s="24" t="n">
        <f aca="false">SUM('UT3 (1279)'!C101:E101)</f>
        <v>1164873.37</v>
      </c>
      <c r="F125" s="24" t="n">
        <f aca="false">SUM('Osm.'!C101:E101)</f>
        <v>38134.78</v>
      </c>
      <c r="G125" s="24" t="n">
        <f aca="false">SUM('UT4 (1271)'!C57:E57)</f>
        <v>751013.41</v>
      </c>
      <c r="H125" s="25" t="n">
        <f aca="false">SUM('UT3b (1278)'!C45:E45)</f>
        <v>0</v>
      </c>
      <c r="I125" s="161" t="n">
        <v>889</v>
      </c>
      <c r="J125" s="143" t="n">
        <v>54</v>
      </c>
      <c r="K125" s="167" t="n">
        <f aca="false">J125/I125</f>
        <v>0.0607424071991001</v>
      </c>
      <c r="L125" s="25" t="n">
        <v>29583692</v>
      </c>
      <c r="M125" s="166" t="n">
        <v>686784.47</v>
      </c>
      <c r="N125" s="29"/>
      <c r="O125" s="29" t="n">
        <v>799090.11</v>
      </c>
      <c r="P125" s="145" t="n">
        <f aca="false">'$'!C148</f>
        <v>32.02692</v>
      </c>
      <c r="Q125" s="35" t="n">
        <f aca="false">100*(SUM(C125:H125)/P125)/M125</f>
        <v>21.8191312038743</v>
      </c>
      <c r="R125" s="35" t="n">
        <f aca="false">100*(L125/P125)/M125</f>
        <v>134.498280251645</v>
      </c>
      <c r="S125" s="146" t="n">
        <f aca="false">SUM(Q125:R125)</f>
        <v>156.31741145552</v>
      </c>
      <c r="T125" s="35" t="n">
        <f aca="false">100*SUM(L125,C125:H125)/O125/P125</f>
        <v>134.348265902391</v>
      </c>
      <c r="U125" s="29" t="n">
        <f aca="false">O125/I125</f>
        <v>898.864015748032</v>
      </c>
      <c r="V125" s="29" t="n">
        <f aca="false">M125/I125</f>
        <v>772.535961754781</v>
      </c>
      <c r="W125" s="147"/>
      <c r="X125" s="143" t="n">
        <f aca="false">'UT1 (1273)'!F161</f>
        <v>115013.19</v>
      </c>
      <c r="Y125" s="143" t="n">
        <f aca="false">'UT2 (12334)'!F101</f>
        <v>0</v>
      </c>
      <c r="Z125" s="143" t="n">
        <f aca="false">'UT3 (1279)'!F101</f>
        <v>10806.86</v>
      </c>
      <c r="AA125" s="143" t="n">
        <f aca="false">'UT4 (1271)'!F57</f>
        <v>1226.32</v>
      </c>
      <c r="AB125" s="148" t="n">
        <f aca="false">'UT1 (1273)'!C161+'UT2 (12334)'!C101+'UT3 (1279)'!C101+'UT4 (1271)'!C57</f>
        <v>1790310.41</v>
      </c>
      <c r="AC125" s="149" t="n">
        <f aca="false">AB125/P125</f>
        <v>55900.1742908778</v>
      </c>
      <c r="AD125" s="150" t="n">
        <f aca="false">AB125/SUM(X125:AA125)</f>
        <v>14.0917871954941</v>
      </c>
      <c r="AE125" s="148" t="n">
        <f aca="false">1000*SUM(X125:AA125)/O125</f>
        <v>158.988790388108</v>
      </c>
      <c r="AF125" s="151" t="n">
        <f aca="false">'UT1 (1273)'!G161</f>
        <v>17005</v>
      </c>
      <c r="AG125" s="143" t="n">
        <f aca="false">'UT2 (12334)'!G101</f>
        <v>1315</v>
      </c>
      <c r="AH125" s="143" t="n">
        <f aca="false">'UT3 (1279)'!G101</f>
        <v>1454</v>
      </c>
      <c r="AI125" s="143" t="n">
        <f aca="false">'UT3b (1278)'!G45</f>
        <v>0</v>
      </c>
      <c r="AJ125" s="143" t="n">
        <f aca="false">'UT4 (1271)'!G57</f>
        <v>536</v>
      </c>
      <c r="AK125" s="148" t="n">
        <f aca="false">'UT1 (1273)'!D161+'UT2 (12334)'!D101+'UT3 (1279)'!D101+'UT3b (1278)'!D45+'UT4 (1271)'!D57</f>
        <v>294671.16</v>
      </c>
      <c r="AL125" s="149" t="n">
        <f aca="false">AK125/P125</f>
        <v>9200.73363283138</v>
      </c>
      <c r="AM125" s="150" t="n">
        <f aca="false">AK125/SUM(AF125:AJ125)</f>
        <v>14.5086735598227</v>
      </c>
      <c r="AN125" s="150" t="n">
        <f aca="false">AL125/SUM($AF$144:$AJ$144)</f>
        <v>0.571687189811817</v>
      </c>
      <c r="AO125" s="152" t="n">
        <f aca="false">'UT1 (1273)'!H161/SUM(AF125:AJ125)</f>
        <v>0.742836041358936</v>
      </c>
      <c r="AP125" s="148" t="n">
        <f aca="false">1000*SUM(AF125:AJ125)/O125</f>
        <v>25.4164076689674</v>
      </c>
      <c r="AQ125" s="151" t="n">
        <f aca="false">'UT1 (1273)'!I161</f>
        <v>286377</v>
      </c>
      <c r="AR125" s="143" t="n">
        <f aca="false">'UT2 (12334)'!H101</f>
        <v>429151</v>
      </c>
      <c r="AS125" s="143" t="n">
        <f aca="false">'UT3 (1279)'!H101</f>
        <v>575865</v>
      </c>
      <c r="AT125" s="143" t="n">
        <f aca="false">'UT3b (1278)'!H45</f>
        <v>0</v>
      </c>
      <c r="AU125" s="143" t="n">
        <f aca="false">'UT4 (1271)'!H57</f>
        <v>371935</v>
      </c>
      <c r="AV125" s="143" t="n">
        <f aca="false">'Osm.'!F101</f>
        <v>5881.68</v>
      </c>
      <c r="AW125" s="148" t="n">
        <f aca="false">'UT1 (1273)'!E161+'UT2 (12334)'!E101+'UT3 (1279)'!E101+'UT3b (1278)'!E45+'UT4 (1271)'!E57+'Osm.'!E101</f>
        <v>2704023.6</v>
      </c>
      <c r="AX125" s="149" t="n">
        <f aca="false">AW125/P125</f>
        <v>84429.7110056165</v>
      </c>
      <c r="AY125" s="150" t="n">
        <f aca="false">AW125/SUM(AQ125:AV125)</f>
        <v>1.61994243886724</v>
      </c>
      <c r="AZ125" s="152" t="n">
        <f aca="false">SUM(AQ125:AV125)/((1400+2000+3000+2000+1600+2000)*24*30)</f>
        <v>0.193195564814815</v>
      </c>
      <c r="BA125" s="152" t="n">
        <f aca="false">AQ125/(1400*24*30)</f>
        <v>0.284104166666667</v>
      </c>
      <c r="BB125" s="152" t="n">
        <f aca="false">AR125/(2000*24*30)</f>
        <v>0.298021527777778</v>
      </c>
      <c r="BC125" s="152" t="n">
        <f aca="false">(AS125+AT125)/(5000*24*30)</f>
        <v>0.1599625</v>
      </c>
      <c r="BD125" s="152" t="n">
        <f aca="false">AU125/(1600*24*30)</f>
        <v>0.322860243055556</v>
      </c>
      <c r="BE125" s="148" t="n">
        <f aca="false">1000*SUM(AQ125:AV125)/O125</f>
        <v>2088.88792279008</v>
      </c>
      <c r="BF125" s="151" t="n">
        <f aca="false">'UT1 (1273)'!J161</f>
        <v>131981</v>
      </c>
      <c r="BG125" s="143" t="n">
        <f aca="false">'UT2 (12334)'!I101</f>
        <v>323836</v>
      </c>
      <c r="BH125" s="143" t="n">
        <f aca="false">'UT3b (1278)'!I45+'UT3 (1279)'!I101</f>
        <v>300555</v>
      </c>
      <c r="BI125" s="143" t="n">
        <f aca="false">'UT4 (1271)'!I57</f>
        <v>165940</v>
      </c>
      <c r="BJ125" s="162" t="n">
        <f aca="false">SUM(BF125:BI125)/SUM(AQ125:AU125)</f>
        <v>0.554497970334173</v>
      </c>
    </row>
    <row r="126" customFormat="false" ht="18.75" hidden="false" customHeight="true" outlineLevel="0" collapsed="false">
      <c r="A126" s="18" t="n">
        <v>2024</v>
      </c>
      <c r="B126" s="18" t="n">
        <v>4</v>
      </c>
      <c r="C126" s="24" t="n">
        <f aca="false">SUM('UT1 (1273)'!C162:E162)</f>
        <v>1418996.19</v>
      </c>
      <c r="D126" s="24" t="n">
        <f aca="false">SUM('UT2 (12334)'!C102:E102)</f>
        <v>79191</v>
      </c>
      <c r="E126" s="24" t="n">
        <f aca="false">SUM('UT3 (1279)'!C102:E102)</f>
        <v>540017.06</v>
      </c>
      <c r="F126" s="24" t="n">
        <f aca="false">SUM('Osm.'!C102:E102)</f>
        <v>34461.27</v>
      </c>
      <c r="G126" s="24" t="n">
        <f aca="false">SUM('UT4 (1271)'!C58:E58)</f>
        <v>344915.06</v>
      </c>
      <c r="H126" s="25" t="n">
        <f aca="false">SUM('UT3b (1278)'!C46:E46)</f>
        <v>0</v>
      </c>
      <c r="I126" s="161" t="n">
        <v>879</v>
      </c>
      <c r="J126" s="143" t="n">
        <v>57</v>
      </c>
      <c r="K126" s="167" t="n">
        <f aca="false">J126/I126</f>
        <v>0.0648464163822526</v>
      </c>
      <c r="L126" s="25" t="n">
        <v>33838824</v>
      </c>
      <c r="M126" s="166" t="n">
        <v>427876.25</v>
      </c>
      <c r="N126" s="29"/>
      <c r="O126" s="29" t="n">
        <v>685795.73</v>
      </c>
      <c r="P126" s="145" t="n">
        <f aca="false">'$'!C149</f>
        <v>32.366499</v>
      </c>
      <c r="Q126" s="35" t="n">
        <f aca="false">100*(SUM(C126:H126)/P126)/M126</f>
        <v>17.4568971039039</v>
      </c>
      <c r="R126" s="35" t="n">
        <f aca="false">100*(L126/P126)/M126</f>
        <v>244.343817770539</v>
      </c>
      <c r="S126" s="146" t="n">
        <f aca="false">SUM(Q126:R126)</f>
        <v>261.800714874443</v>
      </c>
      <c r="T126" s="35" t="n">
        <f aca="false">100*SUM(L126,C126:H126)/O126/P126</f>
        <v>163.340632243067</v>
      </c>
      <c r="U126" s="29" t="n">
        <f aca="false">O126/I126</f>
        <v>780.19992036405</v>
      </c>
      <c r="V126" s="29" t="n">
        <f aca="false">M126/I126</f>
        <v>486.776166097839</v>
      </c>
      <c r="W126" s="147"/>
      <c r="X126" s="143" t="n">
        <f aca="false">'UT1 (1273)'!F162</f>
        <v>72613.89</v>
      </c>
      <c r="Y126" s="143" t="n">
        <f aca="false">'UT2 (12334)'!F102</f>
        <v>0</v>
      </c>
      <c r="Z126" s="143" t="n">
        <f aca="false">'UT3 (1279)'!F102</f>
        <v>6675.7</v>
      </c>
      <c r="AA126" s="143" t="n">
        <f aca="false">'UT4 (1271)'!F58</f>
        <v>1012.09</v>
      </c>
      <c r="AB126" s="148" t="n">
        <f aca="false">'UT1 (1273)'!C162+'UT2 (12334)'!C102+'UT3 (1279)'!C102+'UT4 (1271)'!C58</f>
        <v>1131113.17</v>
      </c>
      <c r="AC126" s="149" t="n">
        <f aca="false">AB126/P126</f>
        <v>34947.0348955567</v>
      </c>
      <c r="AD126" s="150" t="n">
        <f aca="false">AB126/SUM(X126:AA126)</f>
        <v>14.0857970841955</v>
      </c>
      <c r="AE126" s="148" t="n">
        <f aca="false">1000*SUM(X126:AA126)/O126</f>
        <v>117.092709224072</v>
      </c>
      <c r="AF126" s="151" t="n">
        <f aca="false">'UT1 (1273)'!G162</f>
        <v>12699</v>
      </c>
      <c r="AG126" s="143" t="n">
        <f aca="false">'UT2 (12334)'!G102</f>
        <v>1115</v>
      </c>
      <c r="AH126" s="143" t="n">
        <f aca="false">'UT3 (1279)'!G102</f>
        <v>1143</v>
      </c>
      <c r="AI126" s="143" t="n">
        <f aca="false">'UT3b (1278)'!G46</f>
        <v>0</v>
      </c>
      <c r="AJ126" s="143" t="n">
        <f aca="false">'UT4 (1271)'!G58</f>
        <v>519</v>
      </c>
      <c r="AK126" s="148" t="n">
        <f aca="false">'UT1 (1273)'!D162+'UT2 (12334)'!D102+'UT3 (1279)'!D102+'UT3b (1278)'!D46+'UT4 (1271)'!D58</f>
        <v>216569.21</v>
      </c>
      <c r="AL126" s="149" t="n">
        <f aca="false">AK126/P126</f>
        <v>6691.153405254</v>
      </c>
      <c r="AM126" s="150" t="n">
        <f aca="false">AK126/SUM(AF126:AJ126)</f>
        <v>13.9938750323081</v>
      </c>
      <c r="AN126" s="150" t="n">
        <f aca="false">AL126/SUM($AF$144:$AJ$144)</f>
        <v>0.415754529964831</v>
      </c>
      <c r="AO126" s="152" t="n">
        <f aca="false">'UT1 (1273)'!H162/SUM(AF126:AJ126)</f>
        <v>0.64894029464978</v>
      </c>
      <c r="AP126" s="148" t="n">
        <f aca="false">1000*SUM(AF126:AJ126)/O126</f>
        <v>22.5664863792605</v>
      </c>
      <c r="AQ126" s="151" t="n">
        <f aca="false">'UT1 (1273)'!I162</f>
        <v>208982</v>
      </c>
      <c r="AR126" s="143" t="n">
        <f aca="false">'UT2 (12334)'!H102</f>
        <v>366622</v>
      </c>
      <c r="AS126" s="143" t="n">
        <f aca="false">'UT3 (1279)'!H102</f>
        <v>479298</v>
      </c>
      <c r="AT126" s="143" t="n">
        <f aca="false">'UT3b (1278)'!H46</f>
        <v>0</v>
      </c>
      <c r="AU126" s="143" t="n">
        <f aca="false">'UT4 (1271)'!H58</f>
        <v>271999</v>
      </c>
      <c r="AV126" s="143" t="n">
        <f aca="false">'Osm.'!F102</f>
        <v>5276.88</v>
      </c>
      <c r="AW126" s="148" t="n">
        <f aca="false">'UT1 (1273)'!E162+'UT2 (12334)'!E102+'UT3 (1279)'!E102+'UT3b (1278)'!E46+'UT4 (1271)'!E58+'Osm.'!E102</f>
        <v>1059192.96</v>
      </c>
      <c r="AX126" s="149" t="n">
        <f aca="false">AW126/P126</f>
        <v>32724.9777617283</v>
      </c>
      <c r="AY126" s="150" t="n">
        <f aca="false">AW126/SUM(AQ126:AV126)</f>
        <v>0.795083731610977</v>
      </c>
      <c r="AZ126" s="152" t="n">
        <f aca="false">SUM(AQ126:AV126)/((1400+2000+3000+2000+1600+2000)*24*30)</f>
        <v>0.15418725462963</v>
      </c>
      <c r="BA126" s="152" t="n">
        <f aca="false">AQ126/(1400*24*30)</f>
        <v>0.207323412698413</v>
      </c>
      <c r="BB126" s="152" t="n">
        <f aca="false">AR126/(2000*24*30)</f>
        <v>0.254598611111111</v>
      </c>
      <c r="BC126" s="152" t="n">
        <f aca="false">(AS126+AT126)/(5000*24*30)</f>
        <v>0.133138333333333</v>
      </c>
      <c r="BD126" s="152" t="n">
        <f aca="false">AU126/(1600*24*30)</f>
        <v>0.236110243055556</v>
      </c>
      <c r="BE126" s="148" t="n">
        <f aca="false">1000*SUM(AQ126:AV126)/O126</f>
        <v>1942.52868853529</v>
      </c>
      <c r="BF126" s="151" t="n">
        <f aca="false">'UT1 (1273)'!J162</f>
        <v>147353</v>
      </c>
      <c r="BG126" s="143" t="n">
        <f aca="false">'UT2 (12334)'!I102</f>
        <v>376039</v>
      </c>
      <c r="BH126" s="143" t="n">
        <f aca="false">'UT3b (1278)'!I46+'UT3 (1279)'!I102</f>
        <v>366451</v>
      </c>
      <c r="BI126" s="143" t="n">
        <f aca="false">'UT4 (1271)'!I58</f>
        <v>181255</v>
      </c>
      <c r="BJ126" s="162" t="n">
        <f aca="false">SUM(BF126:BI126)/SUM(AQ126:AU126)</f>
        <v>0.807217720086126</v>
      </c>
    </row>
    <row r="127" customFormat="false" ht="18.75" hidden="false" customHeight="true" outlineLevel="0" collapsed="false">
      <c r="A127" s="18" t="n">
        <v>2024</v>
      </c>
      <c r="B127" s="18" t="n">
        <v>5</v>
      </c>
      <c r="C127" s="24" t="n">
        <f aca="false">SUM('UT1 (1273)'!C163:E163)</f>
        <v>2199211</v>
      </c>
      <c r="D127" s="24" t="n">
        <f aca="false">SUM('UT2 (12334)'!C103:E103)</f>
        <v>266512.52</v>
      </c>
      <c r="E127" s="24" t="n">
        <f aca="false">SUM('UT3 (1279)'!C103:E103)</f>
        <v>1572275.89</v>
      </c>
      <c r="F127" s="24" t="n">
        <f aca="false">SUM('Osm.'!C103:E103)</f>
        <v>34203.81</v>
      </c>
      <c r="G127" s="24" t="n">
        <f aca="false">SUM('UT4 (1271)'!C59:E59)</f>
        <v>339257.56</v>
      </c>
      <c r="H127" s="25" t="n">
        <f aca="false">SUM('UT3b (1278)'!C47:E47)</f>
        <v>0</v>
      </c>
      <c r="I127" s="161" t="n">
        <v>851</v>
      </c>
      <c r="J127" s="143" t="n">
        <v>82</v>
      </c>
      <c r="K127" s="167" t="n">
        <f aca="false">J127/I127</f>
        <v>0.0963572267920094</v>
      </c>
      <c r="L127" s="25" t="n">
        <v>30806978</v>
      </c>
      <c r="M127" s="166" t="n">
        <v>656672.14</v>
      </c>
      <c r="N127" s="29"/>
      <c r="O127" s="29" t="n">
        <v>960640.33</v>
      </c>
      <c r="P127" s="145" t="n">
        <f aca="false">'$'!C150</f>
        <v>32.26418</v>
      </c>
      <c r="Q127" s="35" t="n">
        <f aca="false">100*(SUM(C127:H127)/P127)/M127</f>
        <v>20.8215568620525</v>
      </c>
      <c r="R127" s="35" t="n">
        <f aca="false">100*(L127/P127)/M127</f>
        <v>145.405178956391</v>
      </c>
      <c r="S127" s="146" t="n">
        <f aca="false">SUM(Q127:R127)</f>
        <v>166.226735818444</v>
      </c>
      <c r="T127" s="35" t="n">
        <f aca="false">100*SUM(L127,C127:H127)/O127/P127</f>
        <v>113.628860798622</v>
      </c>
      <c r="U127" s="29" t="n">
        <f aca="false">O127/I127</f>
        <v>1128.83705052879</v>
      </c>
      <c r="V127" s="29" t="n">
        <f aca="false">M127/I127</f>
        <v>771.647638072855</v>
      </c>
      <c r="W127" s="147"/>
      <c r="X127" s="143" t="n">
        <f aca="false">'UT1 (1273)'!F163</f>
        <v>101379.87</v>
      </c>
      <c r="Y127" s="143" t="n">
        <f aca="false">'UT2 (12334)'!F103</f>
        <v>0</v>
      </c>
      <c r="Z127" s="143" t="n">
        <f aca="false">'UT3 (1279)'!F103</f>
        <v>10533.88</v>
      </c>
      <c r="AA127" s="143" t="n">
        <f aca="false">'UT4 (1271)'!F59</f>
        <v>838.36</v>
      </c>
      <c r="AB127" s="148" t="n">
        <f aca="false">'UT1 (1273)'!C163+'UT2 (12334)'!C103+'UT3 (1279)'!C103+'UT4 (1271)'!C59</f>
        <v>1590568.54</v>
      </c>
      <c r="AC127" s="149" t="n">
        <f aca="false">AB127/P127</f>
        <v>49298.2787723103</v>
      </c>
      <c r="AD127" s="150" t="n">
        <f aca="false">AB127/SUM(X127:AA127)</f>
        <v>14.1067740550487</v>
      </c>
      <c r="AE127" s="148" t="n">
        <f aca="false">1000*SUM(X127:AA127)/O127</f>
        <v>117.371826352533</v>
      </c>
      <c r="AF127" s="151" t="n">
        <f aca="false">'UT1 (1273)'!G163</f>
        <v>16026</v>
      </c>
      <c r="AG127" s="143" t="n">
        <f aca="false">'UT2 (12334)'!G103</f>
        <v>1058</v>
      </c>
      <c r="AH127" s="143" t="n">
        <f aca="false">'UT3 (1279)'!G103</f>
        <v>1945</v>
      </c>
      <c r="AI127" s="143" t="n">
        <f aca="false">'UT3b (1278)'!G47</f>
        <v>0</v>
      </c>
      <c r="AJ127" s="143" t="n">
        <f aca="false">'UT4 (1271)'!G59</f>
        <v>500</v>
      </c>
      <c r="AK127" s="148" t="n">
        <f aca="false">'UT1 (1273)'!D163+'UT2 (12334)'!D103+'UT3 (1279)'!D103+'UT3b (1278)'!D47+'UT4 (1271)'!D59</f>
        <v>269295.73</v>
      </c>
      <c r="AL127" s="149" t="n">
        <f aca="false">AK127/P127</f>
        <v>8346.58528436179</v>
      </c>
      <c r="AM127" s="150" t="n">
        <f aca="false">AK127/SUM(AF127:AJ127)</f>
        <v>13.7895299298479</v>
      </c>
      <c r="AN127" s="150" t="n">
        <f aca="false">AL127/SUM($AF$144:$AJ$144)</f>
        <v>0.518614718799664</v>
      </c>
      <c r="AO127" s="152" t="n">
        <f aca="false">'UT1 (1273)'!H163/SUM(AF127:AJ127)</f>
        <v>0.675815453940294</v>
      </c>
      <c r="AP127" s="148" t="n">
        <f aca="false">1000*SUM(AF127:AJ127)/O127</f>
        <v>20.3291485794689</v>
      </c>
      <c r="AQ127" s="151" t="n">
        <f aca="false">'UT1 (1273)'!I163</f>
        <v>305876</v>
      </c>
      <c r="AR127" s="143" t="n">
        <f aca="false">'UT2 (12334)'!H103</f>
        <v>471956</v>
      </c>
      <c r="AS127" s="143" t="n">
        <f aca="false">'UT3 (1279)'!H103</f>
        <v>703649</v>
      </c>
      <c r="AT127" s="143" t="n">
        <f aca="false">'UT3b (1278)'!H47</f>
        <v>0</v>
      </c>
      <c r="AU127" s="143" t="n">
        <f aca="false">'UT4 (1271)'!H59</f>
        <v>276089</v>
      </c>
      <c r="AV127" s="143" t="n">
        <f aca="false">'Osm.'!F103</f>
        <v>5090.4</v>
      </c>
      <c r="AW127" s="148" t="n">
        <f aca="false">'UT1 (1273)'!E163+'UT2 (12334)'!E103+'UT3 (1279)'!E103+'UT3b (1278)'!E47+'UT4 (1271)'!E59+'Osm.'!E103</f>
        <v>2540641.69</v>
      </c>
      <c r="AX127" s="149" t="n">
        <f aca="false">AW127/P127</f>
        <v>78744.9639197401</v>
      </c>
      <c r="AY127" s="150" t="n">
        <f aca="false">AW127/SUM(AQ127:AV127)</f>
        <v>1.44136765652646</v>
      </c>
      <c r="AZ127" s="152" t="n">
        <f aca="false">SUM(AQ127:AV127)/((1400+2000+3000+2000+1600+2000)*24*30)</f>
        <v>0.20401162037037</v>
      </c>
      <c r="BA127" s="152" t="n">
        <f aca="false">AQ127/(1400*24*30)</f>
        <v>0.303448412698413</v>
      </c>
      <c r="BB127" s="152" t="n">
        <f aca="false">AR127/(2000*24*30)</f>
        <v>0.327747222222222</v>
      </c>
      <c r="BC127" s="152" t="n">
        <f aca="false">(AS127+AT127)/(5000*24*30)</f>
        <v>0.195458055555556</v>
      </c>
      <c r="BD127" s="152" t="n">
        <f aca="false">AU127/(1600*24*30)</f>
        <v>0.239660590277778</v>
      </c>
      <c r="BE127" s="148" t="n">
        <f aca="false">1000*SUM(AQ127:AV127)/O127</f>
        <v>1834.8806987939</v>
      </c>
      <c r="BF127" s="151" t="n">
        <f aca="false">'UT1 (1273)'!J163</f>
        <v>157609</v>
      </c>
      <c r="BG127" s="143" t="n">
        <f aca="false">'UT2 (12334)'!I103</f>
        <v>416365</v>
      </c>
      <c r="BH127" s="143" t="n">
        <f aca="false">'UT3b (1278)'!I47+'UT3 (1279)'!I103</f>
        <v>314473</v>
      </c>
      <c r="BI127" s="143" t="n">
        <f aca="false">'UT4 (1271)'!I59</f>
        <v>198363</v>
      </c>
      <c r="BJ127" s="162" t="n">
        <f aca="false">SUM(BF127:BI127)/SUM(AQ127:AU127)</f>
        <v>0.618359439453336</v>
      </c>
    </row>
    <row r="128" customFormat="false" ht="18.75" hidden="false" customHeight="true" outlineLevel="0" collapsed="false">
      <c r="A128" s="18" t="n">
        <v>2024</v>
      </c>
      <c r="B128" s="18" t="n">
        <v>6</v>
      </c>
      <c r="C128" s="24" t="n">
        <f aca="false">SUM('UT1 (1273)'!C164:E164)</f>
        <v>1406269.23</v>
      </c>
      <c r="D128" s="24" t="n">
        <f aca="false">SUM('UT2 (12334)'!C104:E104)</f>
        <v>87332.28</v>
      </c>
      <c r="E128" s="24" t="n">
        <f aca="false">SUM('UT3 (1279)'!C104:E104)</f>
        <v>1121361.87</v>
      </c>
      <c r="F128" s="24" t="n">
        <f aca="false">SUM('Osm.'!C104:E104)</f>
        <v>38738.01</v>
      </c>
      <c r="G128" s="24" t="n">
        <f aca="false">SUM('UT4 (1271)'!C60:E60)</f>
        <v>45810.85</v>
      </c>
      <c r="H128" s="25" t="n">
        <f aca="false">SUM('UT3b (1278)'!C48:E48)</f>
        <v>0</v>
      </c>
      <c r="I128" s="161" t="n">
        <v>783</v>
      </c>
      <c r="J128" s="143" t="n">
        <v>17</v>
      </c>
      <c r="K128" s="167" t="n">
        <f aca="false">J128/I128</f>
        <v>0.0217113665389527</v>
      </c>
      <c r="L128" s="25" t="n">
        <v>28087549</v>
      </c>
      <c r="M128" s="166" t="n">
        <v>434167.19</v>
      </c>
      <c r="N128" s="29"/>
      <c r="O128" s="29" t="n">
        <v>671484.47</v>
      </c>
      <c r="P128" s="145" t="n">
        <f aca="false">'$'!C151</f>
        <v>32.591018</v>
      </c>
      <c r="Q128" s="35" t="n">
        <f aca="false">100*(SUM(C128:H128)/P128)/M128</f>
        <v>19.0778914811326</v>
      </c>
      <c r="R128" s="35" t="n">
        <f aca="false">100*(L128/P128)/M128</f>
        <v>198.499271036087</v>
      </c>
      <c r="S128" s="146" t="n">
        <f aca="false">SUM(Q128:R128)</f>
        <v>217.57716251722</v>
      </c>
      <c r="T128" s="35" t="n">
        <f aca="false">100*SUM(L128,C128:H128)/O128/P128</f>
        <v>140.68064040003</v>
      </c>
      <c r="U128" s="29" t="n">
        <f aca="false">O128/I128</f>
        <v>857.57914431673</v>
      </c>
      <c r="V128" s="29" t="n">
        <f aca="false">M128/I128</f>
        <v>554.491941251596</v>
      </c>
      <c r="W128" s="147"/>
      <c r="X128" s="143" t="n">
        <f aca="false">'UT1 (1273)'!F164</f>
        <v>74801.51</v>
      </c>
      <c r="Y128" s="143" t="n">
        <f aca="false">'UT2 (12334)'!F104</f>
        <v>0</v>
      </c>
      <c r="Z128" s="143" t="n">
        <f aca="false">'UT3 (1279)'!F104</f>
        <v>8312.48</v>
      </c>
      <c r="AA128" s="143" t="n">
        <f aca="false">'UT4 (1271)'!F60</f>
        <v>476.03</v>
      </c>
      <c r="AB128" s="148" t="n">
        <f aca="false">'UT1 (1273)'!C164+'UT2 (12334)'!C104+'UT3 (1279)'!C104+'UT4 (1271)'!C60</f>
        <v>1192009.58</v>
      </c>
      <c r="AC128" s="149" t="n">
        <f aca="false">AB128/P128</f>
        <v>36574.7881824373</v>
      </c>
      <c r="AD128" s="150" t="n">
        <f aca="false">AB128/SUM(X128:AA128)</f>
        <v>14.2601901518866</v>
      </c>
      <c r="AE128" s="148" t="n">
        <f aca="false">1000*SUM(X128:AA128)/O128</f>
        <v>124.485410660354</v>
      </c>
      <c r="AF128" s="151" t="n">
        <f aca="false">'UT1 (1273)'!G164</f>
        <v>12689</v>
      </c>
      <c r="AG128" s="143" t="n">
        <f aca="false">'UT2 (12334)'!G104</f>
        <v>741</v>
      </c>
      <c r="AH128" s="143" t="n">
        <f aca="false">'UT3 (1279)'!G104</f>
        <v>1875</v>
      </c>
      <c r="AI128" s="143" t="n">
        <f aca="false">'UT3b (1278)'!G48</f>
        <v>0</v>
      </c>
      <c r="AJ128" s="143" t="n">
        <f aca="false">'UT4 (1271)'!G60</f>
        <v>358</v>
      </c>
      <c r="AK128" s="148" t="n">
        <f aca="false">'UT1 (1273)'!D164+'UT2 (12334)'!D104+'UT3 (1279)'!D104+'UT3b (1278)'!D48+'UT4 (1271)'!D60</f>
        <v>217496.63</v>
      </c>
      <c r="AL128" s="149" t="n">
        <f aca="false">AK128/P128</f>
        <v>6673.51446340216</v>
      </c>
      <c r="AM128" s="150" t="n">
        <f aca="false">AK128/SUM(AF128:AJ128)</f>
        <v>13.8860135350827</v>
      </c>
      <c r="AN128" s="150" t="n">
        <f aca="false">AL128/SUM($AF$144:$AJ$144)</f>
        <v>0.414658535069104</v>
      </c>
      <c r="AO128" s="152" t="n">
        <f aca="false">'UT1 (1273)'!H164/SUM(AF128:AJ128)</f>
        <v>0.662133690863819</v>
      </c>
      <c r="AP128" s="148" t="n">
        <f aca="false">1000*SUM(AF128:AJ128)/O128</f>
        <v>23.3259303822767</v>
      </c>
      <c r="AQ128" s="151" t="n">
        <f aca="false">'UT1 (1273)'!I164</f>
        <v>220896</v>
      </c>
      <c r="AR128" s="143" t="n">
        <f aca="false">'UT2 (12334)'!H104</f>
        <v>378632</v>
      </c>
      <c r="AS128" s="143" t="n">
        <f aca="false">'UT3 (1279)'!H104</f>
        <v>642100</v>
      </c>
      <c r="AT128" s="143" t="n">
        <f aca="false">'UT3b (1278)'!H48</f>
        <v>0</v>
      </c>
      <c r="AU128" s="143" t="n">
        <f aca="false">'UT4 (1271)'!H60</f>
        <v>193809</v>
      </c>
      <c r="AV128" s="143" t="n">
        <f aca="false">'Osm.'!F104</f>
        <v>5765.76</v>
      </c>
      <c r="AW128" s="148" t="n">
        <f aca="false">'UT1 (1273)'!E164+'UT2 (12334)'!E104+'UT3 (1279)'!E104+'UT3b (1278)'!E48+'UT4 (1271)'!E60+'Osm.'!E104</f>
        <v>1279461.23</v>
      </c>
      <c r="AX128" s="149" t="n">
        <f aca="false">AW128/P128</f>
        <v>39258.0934415734</v>
      </c>
      <c r="AY128" s="150" t="n">
        <f aca="false">AW128/SUM(AQ128:AV128)</f>
        <v>0.88777323046481</v>
      </c>
      <c r="AZ128" s="152" t="n">
        <f aca="false">SUM(AQ128:AV128)/((1400+2000+3000+2000+1600+2000)*24*30)</f>
        <v>0.166805875</v>
      </c>
      <c r="BA128" s="152" t="n">
        <f aca="false">AQ128/(1400*24*30)</f>
        <v>0.219142857142857</v>
      </c>
      <c r="BB128" s="152" t="n">
        <f aca="false">AR128/(2000*24*30)</f>
        <v>0.262938888888889</v>
      </c>
      <c r="BC128" s="152" t="n">
        <f aca="false">(AS128+AT128)/(5000*24*30)</f>
        <v>0.178361111111111</v>
      </c>
      <c r="BD128" s="152" t="n">
        <f aca="false">AU128/(1600*24*30)</f>
        <v>0.168236979166667</v>
      </c>
      <c r="BE128" s="148" t="n">
        <f aca="false">1000*SUM(AQ128:AV128)/O128</f>
        <v>2146.2935099601</v>
      </c>
      <c r="BF128" s="151" t="n">
        <f aca="false">'UT1 (1273)'!J164</f>
        <v>178539</v>
      </c>
      <c r="BG128" s="143" t="n">
        <f aca="false">'UT2 (12334)'!I104</f>
        <v>427379</v>
      </c>
      <c r="BH128" s="143" t="n">
        <f aca="false">'UT3b (1278)'!I48+'UT3 (1279)'!I104</f>
        <v>393453</v>
      </c>
      <c r="BI128" s="143" t="n">
        <f aca="false">'UT4 (1271)'!I60</f>
        <v>212913</v>
      </c>
      <c r="BJ128" s="162" t="n">
        <f aca="false">SUM(BF128:BI128)/SUM(AQ128:AU128)</f>
        <v>0.844540025093404</v>
      </c>
    </row>
    <row r="129" customFormat="false" ht="18.75" hidden="false" customHeight="true" outlineLevel="0" collapsed="false">
      <c r="A129" s="18" t="n">
        <v>2024</v>
      </c>
      <c r="B129" s="18" t="n">
        <v>7</v>
      </c>
      <c r="C129" s="24" t="n">
        <f aca="false">SUM('UT1 (1273)'!C165:E165)</f>
        <v>2177563</v>
      </c>
      <c r="D129" s="24" t="n">
        <f aca="false">SUM('UT2 (12334)'!C105:E105)</f>
        <v>80235.86</v>
      </c>
      <c r="E129" s="24" t="n">
        <f aca="false">SUM('UT3 (1279)'!C105:E105)</f>
        <v>1828642</v>
      </c>
      <c r="F129" s="24" t="n">
        <f aca="false">SUM('Osm.'!C105:E105)</f>
        <v>57247.69</v>
      </c>
      <c r="G129" s="24" t="n">
        <f aca="false">SUM('UT4 (1271)'!C61:E61)</f>
        <v>131472</v>
      </c>
      <c r="H129" s="25" t="n">
        <f aca="false">SUM('UT3b (1278)'!C49:E49)</f>
        <v>0</v>
      </c>
      <c r="I129" s="161" t="n">
        <v>796</v>
      </c>
      <c r="J129" s="143" t="n">
        <v>43</v>
      </c>
      <c r="K129" s="167" t="n">
        <f aca="false">J129/I129</f>
        <v>0.0540201005025126</v>
      </c>
      <c r="L129" s="25" t="n">
        <v>29462079</v>
      </c>
      <c r="M129" s="166" t="n">
        <v>476765</v>
      </c>
      <c r="N129" s="29"/>
      <c r="O129" s="29" t="n">
        <v>859561</v>
      </c>
      <c r="P129" s="145" t="n">
        <f aca="false">'$'!C152</f>
        <v>32.911131</v>
      </c>
      <c r="Q129" s="35" t="n">
        <f aca="false">100*(SUM(C129:H129)/P129)/M129</f>
        <v>27.2461570744664</v>
      </c>
      <c r="R129" s="35" t="n">
        <f aca="false">100*(L129/P129)/M129</f>
        <v>187.765681027894</v>
      </c>
      <c r="S129" s="146" t="n">
        <f aca="false">SUM(Q129:R129)</f>
        <v>215.011838102361</v>
      </c>
      <c r="T129" s="35" t="n">
        <f aca="false">100*SUM(L129,C129:H129)/O129/P129</f>
        <v>119.258690183561</v>
      </c>
      <c r="U129" s="29" t="n">
        <f aca="false">O129/I129</f>
        <v>1079.85050251256</v>
      </c>
      <c r="V129" s="29" t="n">
        <f aca="false">M129/I129</f>
        <v>598.951005025126</v>
      </c>
      <c r="W129" s="147"/>
      <c r="X129" s="143" t="n">
        <f aca="false">'UT1 (1273)'!F165</f>
        <v>96922.51</v>
      </c>
      <c r="Y129" s="143" t="n">
        <f aca="false">'UT2 (12334)'!F105</f>
        <v>0</v>
      </c>
      <c r="Z129" s="143" t="n">
        <f aca="false">'UT3 (1279)'!F105</f>
        <v>9529</v>
      </c>
      <c r="AA129" s="143" t="n">
        <f aca="false">'UT4 (1271)'!F61</f>
        <v>320.88</v>
      </c>
      <c r="AB129" s="148" t="n">
        <f aca="false">'UT1 (1273)'!C165+'UT2 (12334)'!C105+'UT3 (1279)'!C105+'UT4 (1271)'!C61</f>
        <v>1516737</v>
      </c>
      <c r="AC129" s="149" t="n">
        <f aca="false">AB129/P129</f>
        <v>46085.8364302339</v>
      </c>
      <c r="AD129" s="150" t="n">
        <f aca="false">AB129/SUM(X129:AA129)</f>
        <v>14.2053296737106</v>
      </c>
      <c r="AE129" s="148" t="n">
        <f aca="false">1000*SUM(X129:AA129)/O129</f>
        <v>124.217350484724</v>
      </c>
      <c r="AF129" s="151" t="n">
        <f aca="false">'UT1 (1273)'!G165</f>
        <v>18053</v>
      </c>
      <c r="AG129" s="143" t="n">
        <f aca="false">'UT2 (12334)'!G105</f>
        <v>1130</v>
      </c>
      <c r="AH129" s="143" t="n">
        <f aca="false">'UT3 (1279)'!G105</f>
        <v>1737</v>
      </c>
      <c r="AI129" s="143" t="n">
        <f aca="false">'UT3b (1278)'!G49</f>
        <v>0</v>
      </c>
      <c r="AJ129" s="143" t="n">
        <f aca="false">'UT4 (1271)'!G61</f>
        <v>610</v>
      </c>
      <c r="AK129" s="148" t="n">
        <f aca="false">'UT1 (1273)'!D165+'UT2 (12334)'!D105+'UT3 (1279)'!D105+'UT3b (1278)'!D49+'UT4 (1271)'!D61</f>
        <v>285345.86</v>
      </c>
      <c r="AL129" s="149" t="n">
        <f aca="false">AK129/P129</f>
        <v>8670.19307236813</v>
      </c>
      <c r="AM129" s="150" t="n">
        <f aca="false">AK129/SUM(AF129:AJ129)</f>
        <v>13.2534073385973</v>
      </c>
      <c r="AN129" s="150" t="n">
        <f aca="false">AL129/SUM($AF$144:$AJ$144)</f>
        <v>0.538722074833362</v>
      </c>
      <c r="AO129" s="152" t="n">
        <f aca="false">'UT1 (1273)'!H165/SUM(AF129:AJ129)</f>
        <v>0.628332559219693</v>
      </c>
      <c r="AP129" s="148" t="n">
        <f aca="false">1000*SUM(AF129:AJ129)/O129</f>
        <v>25.0476696825473</v>
      </c>
      <c r="AQ129" s="151" t="n">
        <f aca="false">'UT1 (1273)'!I165</f>
        <v>309747</v>
      </c>
      <c r="AR129" s="143" t="n">
        <f aca="false">'UT2 (12334)'!H105</f>
        <v>407323</v>
      </c>
      <c r="AS129" s="143" t="n">
        <f aca="false">'UT3 (1279)'!H105</f>
        <v>800866</v>
      </c>
      <c r="AT129" s="143" t="n">
        <f aca="false">'UT3b (1278)'!H49</f>
        <v>0</v>
      </c>
      <c r="AU129" s="143" t="n">
        <f aca="false">'UT4 (1271)'!H61</f>
        <v>234830</v>
      </c>
      <c r="AV129" s="143" t="n">
        <f aca="false">'Osm.'!F105</f>
        <v>6138.72</v>
      </c>
      <c r="AW129" s="148" t="n">
        <f aca="false">'UT1 (1273)'!E165+'UT2 (12334)'!E105+'UT3 (1279)'!E105+'UT3b (1278)'!E49+'UT4 (1271)'!E61+'Osm.'!E105</f>
        <v>2446870.69</v>
      </c>
      <c r="AX129" s="149" t="n">
        <f aca="false">AW129/P129</f>
        <v>74347.8153333594</v>
      </c>
      <c r="AY129" s="150" t="n">
        <f aca="false">AW129/SUM(AQ129:AV129)</f>
        <v>1.39113316496189</v>
      </c>
      <c r="AZ129" s="152" t="n">
        <f aca="false">SUM(AQ129:AV129)/((1400+2000+3000+2000+1600+2000)*24*30)</f>
        <v>0.203576935185185</v>
      </c>
      <c r="BA129" s="152" t="n">
        <f aca="false">AQ129/(1400*24*30)</f>
        <v>0.30728869047619</v>
      </c>
      <c r="BB129" s="152" t="n">
        <f aca="false">AR129/(2000*24*30)</f>
        <v>0.282863194444444</v>
      </c>
      <c r="BC129" s="152" t="n">
        <f aca="false">(AS129+AT129)/(5000*24*30)</f>
        <v>0.222462777777778</v>
      </c>
      <c r="BD129" s="152" t="n">
        <f aca="false">AU129/(1600*24*30)</f>
        <v>0.203845486111111</v>
      </c>
      <c r="BE129" s="148" t="n">
        <f aca="false">1000*SUM(AQ129:AV129)/O129</f>
        <v>2046.2826023982</v>
      </c>
      <c r="BF129" s="151" t="n">
        <f aca="false">'UT1 (1273)'!J165</f>
        <v>168106</v>
      </c>
      <c r="BG129" s="143" t="n">
        <f aca="false">'UT2 (12334)'!I105</f>
        <v>431440</v>
      </c>
      <c r="BH129" s="143" t="n">
        <f aca="false">'UT3b (1278)'!I49+'UT3 (1279)'!I105</f>
        <v>382036</v>
      </c>
      <c r="BI129" s="143" t="n">
        <f aca="false">'UT4 (1271)'!I61</f>
        <v>211643</v>
      </c>
      <c r="BJ129" s="162" t="n">
        <f aca="false">SUM(BF129:BI129)/SUM(AQ129:AU129)</f>
        <v>0.680766856499955</v>
      </c>
    </row>
    <row r="130" customFormat="false" ht="18.75" hidden="false" customHeight="true" outlineLevel="0" collapsed="false">
      <c r="A130" s="18" t="n">
        <v>2024</v>
      </c>
      <c r="B130" s="18" t="n">
        <v>8</v>
      </c>
      <c r="C130" s="24" t="n">
        <f aca="false">SUM('UT1 (1273)'!C166:E166)</f>
        <v>1916778.63</v>
      </c>
      <c r="D130" s="24" t="n">
        <f aca="false">SUM('UT2 (12334)'!C106:E106)</f>
        <v>379818.49</v>
      </c>
      <c r="E130" s="24" t="n">
        <f aca="false">SUM('UT3 (1279)'!C106:E106)</f>
        <v>1853025.32</v>
      </c>
      <c r="F130" s="24" t="n">
        <f aca="false">SUM('Osm.'!C106:E106)</f>
        <v>54246.73</v>
      </c>
      <c r="G130" s="24" t="n">
        <f aca="false">SUM('UT4 (1271)'!C62:E62)</f>
        <v>319938.39</v>
      </c>
      <c r="H130" s="25" t="n">
        <f aca="false">SUM('UT3b (1278)'!C50:E50)</f>
        <v>0</v>
      </c>
      <c r="I130" s="161" t="n">
        <v>811</v>
      </c>
      <c r="J130" s="143" t="n">
        <v>30</v>
      </c>
      <c r="K130" s="167" t="n">
        <f aca="false">J130/I130</f>
        <v>0.0369913686806412</v>
      </c>
      <c r="L130" s="25" t="n">
        <v>29714241</v>
      </c>
      <c r="M130" s="166" t="n">
        <v>572721</v>
      </c>
      <c r="N130" s="29"/>
      <c r="O130" s="29" t="n">
        <v>784130</v>
      </c>
      <c r="P130" s="145" t="n">
        <f aca="false">'$'!C153</f>
        <v>33.678</v>
      </c>
      <c r="Q130" s="35" t="n">
        <f aca="false">100*(SUM(C130:H130)/P130)/M130</f>
        <v>23.4538812380323</v>
      </c>
      <c r="R130" s="35" t="n">
        <f aca="false">100*(L130/P130)/M130</f>
        <v>154.054802342713</v>
      </c>
      <c r="S130" s="146" t="n">
        <f aca="false">SUM(Q130:R130)</f>
        <v>177.508683580745</v>
      </c>
      <c r="T130" s="35" t="n">
        <f aca="false">100*SUM(L130,C130:H130)/O130/P130</f>
        <v>129.650632891291</v>
      </c>
      <c r="U130" s="29" t="n">
        <f aca="false">O130/I130</f>
        <v>966.868064118372</v>
      </c>
      <c r="V130" s="29" t="n">
        <f aca="false">M130/I130</f>
        <v>706.191122071517</v>
      </c>
      <c r="W130" s="147"/>
      <c r="X130" s="143" t="n">
        <f aca="false">'UT1 (1273)'!F166</f>
        <v>82743.93</v>
      </c>
      <c r="Y130" s="143" t="n">
        <f aca="false">'UT2 (12334)'!F106</f>
        <v>0</v>
      </c>
      <c r="Z130" s="143" t="n">
        <f aca="false">'UT3 (1279)'!F106</f>
        <v>11049.73</v>
      </c>
      <c r="AA130" s="143" t="n">
        <f aca="false">'UT4 (1271)'!F62</f>
        <v>267.19</v>
      </c>
      <c r="AB130" s="148" t="n">
        <f aca="false">'UT1 (1273)'!C166+'UT2 (12334)'!C106+'UT3 (1279)'!C106+'UT4 (1271)'!C62</f>
        <v>1334742.65</v>
      </c>
      <c r="AC130" s="149" t="n">
        <f aca="false">AB130/P130</f>
        <v>39632.4796603124</v>
      </c>
      <c r="AD130" s="150" t="n">
        <f aca="false">AB130/SUM(X130:AA130)</f>
        <v>14.1902040009207</v>
      </c>
      <c r="AE130" s="148" t="n">
        <f aca="false">1000*SUM(X130:AA130)/O130</f>
        <v>119.955683368829</v>
      </c>
      <c r="AF130" s="151" t="n">
        <f aca="false">'UT1 (1273)'!G166</f>
        <v>19003</v>
      </c>
      <c r="AG130" s="143" t="n">
        <f aca="false">'UT2 (12334)'!G106</f>
        <v>903</v>
      </c>
      <c r="AH130" s="143" t="n">
        <f aca="false">'UT3 (1279)'!G106</f>
        <v>2092</v>
      </c>
      <c r="AI130" s="143" t="n">
        <f aca="false">'UT3b (1278)'!G50</f>
        <v>0</v>
      </c>
      <c r="AJ130" s="143" t="n">
        <f aca="false">'UT4 (1271)'!G62</f>
        <v>581</v>
      </c>
      <c r="AK130" s="148" t="n">
        <f aca="false">'UT1 (1273)'!D166+'UT2 (12334)'!D106+'UT3 (1279)'!D106+'UT3b (1278)'!D50+'UT4 (1271)'!D62</f>
        <v>287288.85</v>
      </c>
      <c r="AL130" s="149" t="n">
        <f aca="false">AK130/P130</f>
        <v>8530.4605380367</v>
      </c>
      <c r="AM130" s="150" t="n">
        <f aca="false">AK130/SUM(AF130:AJ130)</f>
        <v>12.7237189423801</v>
      </c>
      <c r="AN130" s="150" t="n">
        <f aca="false">AL130/SUM($AF$144:$AJ$144)</f>
        <v>0.530039799803449</v>
      </c>
      <c r="AO130" s="152" t="n">
        <f aca="false">'UT1 (1273)'!H166/SUM(AF130:AJ130)</f>
        <v>0.623809734709243</v>
      </c>
      <c r="AP130" s="148" t="n">
        <f aca="false">1000*SUM(AF130:AJ130)/O130</f>
        <v>28.7949702217745</v>
      </c>
      <c r="AQ130" s="151" t="n">
        <f aca="false">'UT1 (1273)'!I166</f>
        <v>295107</v>
      </c>
      <c r="AR130" s="143" t="n">
        <f aca="false">'UT2 (12334)'!H106</f>
        <v>461519</v>
      </c>
      <c r="AS130" s="143" t="n">
        <f aca="false">'UT3 (1279)'!H106</f>
        <v>822616</v>
      </c>
      <c r="AT130" s="143" t="n">
        <f aca="false">'UT3b (1278)'!H50</f>
        <v>0</v>
      </c>
      <c r="AU130" s="143" t="n">
        <f aca="false">'UT4 (1271)'!H62</f>
        <v>273211</v>
      </c>
      <c r="AV130" s="143" t="n">
        <f aca="false">'Osm.'!F106</f>
        <v>6058</v>
      </c>
      <c r="AW130" s="148" t="n">
        <f aca="false">'UT1 (1273)'!E166+'UT2 (12334)'!E106+'UT3 (1279)'!E106+'UT3b (1278)'!E50+'UT4 (1271)'!E62+'Osm.'!E106</f>
        <v>2882841.55</v>
      </c>
      <c r="AX130" s="149" t="n">
        <f aca="false">AW130/P130</f>
        <v>85600.1410416296</v>
      </c>
      <c r="AY130" s="150" t="n">
        <f aca="false">AW130/SUM(AQ130:AV130)</f>
        <v>1.55115657103993</v>
      </c>
      <c r="AZ130" s="152" t="n">
        <f aca="false">SUM(AQ130:AV130)/((1400+2000+3000+2000+1600+2000)*24*30)</f>
        <v>0.215105439814815</v>
      </c>
      <c r="BA130" s="152" t="n">
        <f aca="false">AQ130/(1400*24*30)</f>
        <v>0.292764880952381</v>
      </c>
      <c r="BB130" s="152" t="n">
        <f aca="false">AR130/(2000*24*30)</f>
        <v>0.320499305555556</v>
      </c>
      <c r="BC130" s="152" t="n">
        <f aca="false">(AS130+AT130)/(5000*24*30)</f>
        <v>0.228504444444444</v>
      </c>
      <c r="BD130" s="152" t="n">
        <f aca="false">AU130/(1600*24*30)</f>
        <v>0.237162326388889</v>
      </c>
      <c r="BE130" s="148" t="n">
        <f aca="false">1000*SUM(AQ130:AV130)/O130</f>
        <v>2370.15673421499</v>
      </c>
      <c r="BF130" s="151" t="n">
        <f aca="false">'UT1 (1273)'!J166</f>
        <v>154217</v>
      </c>
      <c r="BG130" s="143" t="n">
        <f aca="false">'UT2 (12334)'!I106</f>
        <v>376305</v>
      </c>
      <c r="BH130" s="143" t="n">
        <f aca="false">'UT3b (1278)'!I50+'UT3 (1279)'!I106</f>
        <v>359643</v>
      </c>
      <c r="BI130" s="143" t="n">
        <f aca="false">'UT4 (1271)'!I62</f>
        <v>195608</v>
      </c>
      <c r="BJ130" s="162" t="n">
        <f aca="false">SUM(BF130:BI130)/SUM(AQ130:AU130)</f>
        <v>0.586127151404111</v>
      </c>
    </row>
    <row r="131" customFormat="false" ht="18.75" hidden="false" customHeight="true" outlineLevel="0" collapsed="false">
      <c r="A131" s="18" t="n">
        <v>2024</v>
      </c>
      <c r="B131" s="18" t="n">
        <v>9</v>
      </c>
      <c r="C131" s="24" t="n">
        <f aca="false">SUM('UT1 (1273)'!C167:E167)</f>
        <v>1851982</v>
      </c>
      <c r="D131" s="24" t="n">
        <f aca="false">SUM('UT2 (12334)'!C107:E107)</f>
        <v>311725</v>
      </c>
      <c r="E131" s="24" t="n">
        <f aca="false">SUM('UT3 (1279)'!C107:E107)</f>
        <v>2036153.22</v>
      </c>
      <c r="F131" s="24" t="n">
        <f aca="false">SUM('Osm.'!C107:E107)</f>
        <v>47924</v>
      </c>
      <c r="G131" s="24" t="n">
        <f aca="false">SUM('UT4 (1271)'!C63:E63)</f>
        <v>410120</v>
      </c>
      <c r="H131" s="25" t="n">
        <f aca="false">SUM('UT3b (1278)'!C51:E51)</f>
        <v>0</v>
      </c>
      <c r="I131" s="161" t="n">
        <v>814</v>
      </c>
      <c r="J131" s="143" t="n">
        <v>39</v>
      </c>
      <c r="K131" s="167" t="n">
        <f aca="false">J131/I131</f>
        <v>0.0479115479115479</v>
      </c>
      <c r="L131" s="25" t="n">
        <v>29078709</v>
      </c>
      <c r="M131" s="166" t="n">
        <v>589083</v>
      </c>
      <c r="N131" s="29"/>
      <c r="O131" s="29" t="n">
        <v>808438</v>
      </c>
      <c r="P131" s="145" t="n">
        <f aca="false">'$'!C154</f>
        <v>34.062282</v>
      </c>
      <c r="Q131" s="35" t="n">
        <f aca="false">100*(SUM(C131:H131)/P131)/M131</f>
        <v>23.2134838625627</v>
      </c>
      <c r="R131" s="35" t="n">
        <f aca="false">100*(L131/P131)/M131</f>
        <v>144.918854109812</v>
      </c>
      <c r="S131" s="146" t="n">
        <f aca="false">SUM(Q131:R131)</f>
        <v>168.132337972375</v>
      </c>
      <c r="T131" s="35" t="n">
        <f aca="false">100*SUM(L131,C131:H131)/O131/P131</f>
        <v>122.512675121383</v>
      </c>
      <c r="U131" s="29" t="n">
        <f aca="false">O131/I131</f>
        <v>993.167076167076</v>
      </c>
      <c r="V131" s="29" t="n">
        <f aca="false">M131/I131</f>
        <v>723.689189189189</v>
      </c>
      <c r="W131" s="147"/>
      <c r="X131" s="143" t="n">
        <f aca="false">'UT1 (1273)'!F167</f>
        <v>82122</v>
      </c>
      <c r="Y131" s="143" t="n">
        <f aca="false">'UT2 (12334)'!F107</f>
        <v>0</v>
      </c>
      <c r="Z131" s="143" t="n">
        <f aca="false">'UT3 (1279)'!F107</f>
        <v>10927</v>
      </c>
      <c r="AA131" s="143" t="n">
        <f aca="false">'UT4 (1271)'!F63</f>
        <v>2055</v>
      </c>
      <c r="AB131" s="148" t="n">
        <f aca="false">'UT1 (1273)'!C167+'UT2 (12334)'!C107+'UT3 (1279)'!C107+'UT4 (1271)'!C63</f>
        <v>1387210.22</v>
      </c>
      <c r="AC131" s="149" t="n">
        <f aca="false">AB131/P131</f>
        <v>40725.6982958452</v>
      </c>
      <c r="AD131" s="150" t="n">
        <f aca="false">AB131/SUM(X131:AA131)</f>
        <v>14.5862447425976</v>
      </c>
      <c r="AE131" s="148" t="n">
        <f aca="false">1000*SUM(X131:AA131)/O131</f>
        <v>117.639200532385</v>
      </c>
      <c r="AF131" s="151" t="n">
        <f aca="false">'UT1 (1273)'!G167</f>
        <v>17146</v>
      </c>
      <c r="AG131" s="143" t="n">
        <f aca="false">'UT2 (12334)'!G107</f>
        <v>1032</v>
      </c>
      <c r="AH131" s="143" t="n">
        <f aca="false">'UT3 (1279)'!G107</f>
        <v>2188</v>
      </c>
      <c r="AI131" s="143" t="n">
        <f aca="false">'UT3b (1278)'!G51</f>
        <v>0</v>
      </c>
      <c r="AJ131" s="143" t="n">
        <f aca="false">'UT4 (1271)'!G63</f>
        <v>559</v>
      </c>
      <c r="AK131" s="148" t="n">
        <f aca="false">'UT1 (1273)'!D167+'UT2 (12334)'!D107+'UT3 (1279)'!D107+'UT3b (1278)'!D51+'UT4 (1271)'!D63</f>
        <v>252190</v>
      </c>
      <c r="AL131" s="149" t="n">
        <f aca="false">AK131/P131</f>
        <v>7403.79050352528</v>
      </c>
      <c r="AM131" s="150" t="n">
        <f aca="false">AK131/SUM(AF131:AJ131)</f>
        <v>12.0520908004779</v>
      </c>
      <c r="AN131" s="150" t="n">
        <f aca="false">AL131/SUM($AF$144:$AJ$144)</f>
        <v>0.460034205512941</v>
      </c>
      <c r="AO131" s="152" t="n">
        <f aca="false">'UT1 (1273)'!H167/SUM(AF131:AJ131)</f>
        <v>0.528410991636798</v>
      </c>
      <c r="AP131" s="148" t="n">
        <f aca="false">1000*SUM(AF131:AJ131)/O131</f>
        <v>25.8832464579844</v>
      </c>
      <c r="AQ131" s="151" t="n">
        <f aca="false">'UT1 (1273)'!I167</f>
        <v>268663</v>
      </c>
      <c r="AR131" s="143" t="n">
        <f aca="false">'UT2 (12334)'!H107</f>
        <v>404492</v>
      </c>
      <c r="AS131" s="143" t="n">
        <f aca="false">'UT3 (1279)'!H107</f>
        <v>838627</v>
      </c>
      <c r="AT131" s="143" t="n">
        <f aca="false">'UT3b (1278)'!H51</f>
        <v>0</v>
      </c>
      <c r="AU131" s="143" t="n">
        <f aca="false">'UT4 (1271)'!H63</f>
        <v>263322</v>
      </c>
      <c r="AV131" s="143" t="n">
        <f aca="false">'Osm.'!F107</f>
        <v>5811</v>
      </c>
      <c r="AW131" s="148" t="n">
        <f aca="false">'UT1 (1273)'!E167+'UT2 (12334)'!E107+'UT3 (1279)'!E107+'UT3b (1278)'!E51+'UT4 (1271)'!E63+'Osm.'!E107</f>
        <v>3005327</v>
      </c>
      <c r="AX131" s="149" t="n">
        <f aca="false">AW131/P131</f>
        <v>88230.3481604668</v>
      </c>
      <c r="AY131" s="150" t="n">
        <f aca="false">AW131/SUM(AQ131:AV131)</f>
        <v>1.68751849470637</v>
      </c>
      <c r="AZ131" s="152" t="n">
        <f aca="false">SUM(AQ131:AV131)/((1400+2000+3000+2000+1600+2000)*24*30)</f>
        <v>0.206124421296296</v>
      </c>
      <c r="BA131" s="152" t="n">
        <f aca="false">AQ131/(1400*24*30)</f>
        <v>0.266530753968254</v>
      </c>
      <c r="BB131" s="152" t="n">
        <f aca="false">AR131/(2000*24*30)</f>
        <v>0.280897222222222</v>
      </c>
      <c r="BC131" s="152" t="n">
        <f aca="false">(AS131+AT131)/(5000*24*30)</f>
        <v>0.232951944444444</v>
      </c>
      <c r="BD131" s="152" t="n">
        <f aca="false">AU131/(1600*24*30)</f>
        <v>0.228578125</v>
      </c>
      <c r="BE131" s="148" t="n">
        <f aca="false">1000*SUM(AQ131:AV131)/O131</f>
        <v>2202.90857183853</v>
      </c>
      <c r="BF131" s="151" t="n">
        <f aca="false">'UT1 (1273)'!J167</f>
        <v>144031</v>
      </c>
      <c r="BG131" s="143" t="n">
        <f aca="false">'UT2 (12334)'!I107</f>
        <v>334769</v>
      </c>
      <c r="BH131" s="143" t="n">
        <f aca="false">'UT3b (1278)'!I51+'UT3 (1279)'!I107</f>
        <v>332307</v>
      </c>
      <c r="BI131" s="143" t="n">
        <f aca="false">'UT4 (1271)'!I63</f>
        <v>163992</v>
      </c>
      <c r="BJ131" s="162" t="n">
        <f aca="false">SUM(BF131:BI131)/SUM(AQ131:AU131)</f>
        <v>0.54931936382319</v>
      </c>
    </row>
    <row r="132" customFormat="false" ht="18.75" hidden="false" customHeight="true" outlineLevel="0" collapsed="false">
      <c r="A132" s="18" t="n">
        <v>2024</v>
      </c>
      <c r="B132" s="18" t="n">
        <v>10</v>
      </c>
      <c r="C132" s="24" t="n">
        <f aca="false">SUM('UT1 (1273)'!C168:E168)</f>
        <v>2309665.78</v>
      </c>
      <c r="D132" s="24" t="n">
        <f aca="false">SUM('UT2 (12334)'!C108:E108)</f>
        <v>330147.92</v>
      </c>
      <c r="E132" s="24" t="n">
        <f aca="false">SUM('UT3 (1279)'!C108:E108)</f>
        <v>2392233.13</v>
      </c>
      <c r="F132" s="24" t="n">
        <f aca="false">SUM('Osm.'!C108:E108)</f>
        <v>44146.78</v>
      </c>
      <c r="G132" s="24" t="n">
        <f aca="false">SUM('UT4 (1271)'!C64:E64)</f>
        <v>477166.25</v>
      </c>
      <c r="H132" s="25" t="n">
        <f aca="false">SUM('UT3b (1278)'!C52:E52)</f>
        <v>0</v>
      </c>
      <c r="I132" s="161" t="n">
        <v>822</v>
      </c>
      <c r="J132" s="143" t="n">
        <v>24</v>
      </c>
      <c r="K132" s="167" t="n">
        <f aca="false">J132/I132</f>
        <v>0.0291970802919708</v>
      </c>
      <c r="L132" s="25" t="n">
        <v>32512489</v>
      </c>
      <c r="M132" s="166" t="n">
        <v>623044</v>
      </c>
      <c r="N132" s="29"/>
      <c r="O132" s="29" t="n">
        <v>934373</v>
      </c>
      <c r="P132" s="145" t="n">
        <f aca="false">'$'!C155</f>
        <v>34.2626</v>
      </c>
      <c r="Q132" s="35" t="n">
        <f aca="false">100*(SUM(C132:H132)/P132)/M132</f>
        <v>26.014577843285</v>
      </c>
      <c r="R132" s="35" t="n">
        <f aca="false">100*(L132/P132)/M132</f>
        <v>152.303956035986</v>
      </c>
      <c r="S132" s="146" t="n">
        <f aca="false">SUM(Q132:R132)</f>
        <v>178.31853387927</v>
      </c>
      <c r="T132" s="35" t="n">
        <f aca="false">100*SUM(L132,C132:H132)/O132/P132</f>
        <v>118.903577717117</v>
      </c>
      <c r="U132" s="29" t="n">
        <f aca="false">O132/I132</f>
        <v>1136.70681265207</v>
      </c>
      <c r="V132" s="29" t="n">
        <f aca="false">M132/I132</f>
        <v>757.961070559611</v>
      </c>
      <c r="W132" s="147"/>
      <c r="X132" s="143" t="n">
        <f aca="false">'UT1 (1273)'!F168</f>
        <v>99131.68</v>
      </c>
      <c r="Y132" s="143" t="n">
        <f aca="false">'UT2 (12334)'!F108</f>
        <v>0</v>
      </c>
      <c r="Z132" s="143" t="n">
        <f aca="false">'UT3 (1279)'!F108</f>
        <v>11294.8</v>
      </c>
      <c r="AA132" s="143" t="n">
        <f aca="false">'UT4 (1271)'!F64</f>
        <v>1342.24</v>
      </c>
      <c r="AB132" s="148" t="n">
        <f aca="false">'UT1 (1273)'!C168+'UT2 (12334)'!C108+'UT3 (1279)'!C108+'UT4 (1271)'!C64</f>
        <v>1610604.39</v>
      </c>
      <c r="AC132" s="149" t="n">
        <f aca="false">AB132/P132</f>
        <v>47007.6523673043</v>
      </c>
      <c r="AD132" s="150" t="n">
        <f aca="false">AB132/SUM(X132:AA132)</f>
        <v>14.4101533058623</v>
      </c>
      <c r="AE132" s="148" t="n">
        <f aca="false">1000*SUM(X132:AA132)/O132</f>
        <v>119.618953030535</v>
      </c>
      <c r="AF132" s="151" t="n">
        <f aca="false">'UT1 (1273)'!G168</f>
        <v>16077</v>
      </c>
      <c r="AG132" s="143" t="n">
        <f aca="false">'UT2 (12334)'!G108</f>
        <v>1152</v>
      </c>
      <c r="AH132" s="143" t="n">
        <f aca="false">'UT3 (1279)'!G108</f>
        <v>2457</v>
      </c>
      <c r="AI132" s="143" t="n">
        <f aca="false">'UT3b (1278)'!G52</f>
        <v>0</v>
      </c>
      <c r="AJ132" s="143" t="n">
        <f aca="false">'UT4 (1271)'!G64</f>
        <v>449</v>
      </c>
      <c r="AK132" s="148" t="n">
        <f aca="false">'UT1 (1273)'!D168+'UT2 (12334)'!D108+'UT3 (1279)'!D108+'UT3b (1278)'!D52+'UT4 (1271)'!D64</f>
        <v>292089.6</v>
      </c>
      <c r="AL132" s="149" t="n">
        <f aca="false">AK132/P132</f>
        <v>8525.02728923082</v>
      </c>
      <c r="AM132" s="150" t="n">
        <f aca="false">AK132/SUM(AF132:AJ132)</f>
        <v>14.5065607151726</v>
      </c>
      <c r="AN132" s="150" t="n">
        <f aca="false">AL132/SUM($AF$144:$AJ$144)</f>
        <v>0.529702205121836</v>
      </c>
      <c r="AO132" s="152" t="n">
        <f aca="false">'UT1 (1273)'!H168/SUM(AF132:AJ132)</f>
        <v>0.699230196175813</v>
      </c>
      <c r="AP132" s="148" t="n">
        <f aca="false">1000*SUM(AF132:AJ132)/O132</f>
        <v>21.549210004998</v>
      </c>
      <c r="AQ132" s="151" t="n">
        <f aca="false">'UT1 (1273)'!I168</f>
        <v>296966</v>
      </c>
      <c r="AR132" s="143" t="n">
        <f aca="false">'UT2 (12334)'!H108</f>
        <v>373389</v>
      </c>
      <c r="AS132" s="143" t="n">
        <f aca="false">'UT3 (1279)'!H108</f>
        <v>867189</v>
      </c>
      <c r="AT132" s="143" t="n">
        <f aca="false">'UT3b (1278)'!H52</f>
        <v>0</v>
      </c>
      <c r="AU132" s="143" t="n">
        <f aca="false">'UT4 (1271)'!H64</f>
        <v>263023</v>
      </c>
      <c r="AV132" s="143" t="n">
        <f aca="false">'Osm.'!F108</f>
        <v>5594</v>
      </c>
      <c r="AW132" s="148" t="n">
        <f aca="false">'UT1 (1273)'!E168+'UT2 (12334)'!E108+'UT3 (1279)'!E108+'UT3b (1278)'!E52+'UT4 (1271)'!E64+'Osm.'!E108</f>
        <v>3638665.87</v>
      </c>
      <c r="AX132" s="149" t="n">
        <f aca="false">AW132/P132</f>
        <v>106199.350603865</v>
      </c>
      <c r="AY132" s="150" t="n">
        <f aca="false">AW132/SUM(AQ132:AV132)</f>
        <v>2.014585560202</v>
      </c>
      <c r="AZ132" s="152" t="n">
        <f aca="false">SUM(AQ132:AV132)/((1400+2000+3000+2000+1600+2000)*24*30)</f>
        <v>0.209046412037037</v>
      </c>
      <c r="BA132" s="152" t="n">
        <f aca="false">AQ132/(1400*24*30)</f>
        <v>0.294609126984127</v>
      </c>
      <c r="BB132" s="152" t="n">
        <f aca="false">AR132/(2000*24*30)</f>
        <v>0.259297916666667</v>
      </c>
      <c r="BC132" s="152" t="n">
        <f aca="false">(AS132+AT132)/(5000*24*30)</f>
        <v>0.240885833333333</v>
      </c>
      <c r="BD132" s="152" t="n">
        <f aca="false">AU132/(1600*24*30)</f>
        <v>0.228318576388889</v>
      </c>
      <c r="BE132" s="148" t="n">
        <f aca="false">1000*SUM(AQ132:AV132)/O132</f>
        <v>1933.01925462315</v>
      </c>
      <c r="BF132" s="151" t="n">
        <f aca="false">'UT1 (1273)'!J168</f>
        <v>119368</v>
      </c>
      <c r="BG132" s="143" t="n">
        <f aca="false">'UT2 (12334)'!I108</f>
        <v>299386</v>
      </c>
      <c r="BH132" s="143" t="n">
        <f aca="false">'UT3b (1278)'!I52+'UT3 (1279)'!I108</f>
        <v>271168</v>
      </c>
      <c r="BI132" s="143" t="n">
        <f aca="false">'UT4 (1271)'!I64</f>
        <v>144178</v>
      </c>
      <c r="BJ132" s="162" t="n">
        <f aca="false">SUM(BF132:BI132)/SUM(AQ132:AU132)</f>
        <v>0.463242967354172</v>
      </c>
    </row>
    <row r="133" customFormat="false" ht="18.75" hidden="false" customHeight="true" outlineLevel="0" collapsed="false">
      <c r="A133" s="18" t="n">
        <v>2024</v>
      </c>
      <c r="B133" s="18" t="n">
        <v>11</v>
      </c>
      <c r="C133" s="24" t="n">
        <f aca="false">SUM('UT1 (1273)'!C169:E169)</f>
        <v>2298090.18</v>
      </c>
      <c r="D133" s="24" t="n">
        <f aca="false">SUM('UT2 (12334)'!C109:E109)</f>
        <v>1001989</v>
      </c>
      <c r="E133" s="24" t="n">
        <f aca="false">SUM('UT3 (1279)'!C109:E109)</f>
        <v>2502380</v>
      </c>
      <c r="F133" s="24" t="n">
        <f aca="false">SUM('Osm.'!C109:E109)</f>
        <v>43893</v>
      </c>
      <c r="G133" s="24" t="n">
        <f aca="false">SUM('UT4 (1271)'!C65:E65)</f>
        <v>648187</v>
      </c>
      <c r="H133" s="25" t="n">
        <f aca="false">SUM('UT3b (1278)'!C53:E53)</f>
        <v>0</v>
      </c>
      <c r="I133" s="161" t="n">
        <v>851</v>
      </c>
      <c r="J133" s="143" t="n">
        <v>32</v>
      </c>
      <c r="K133" s="167" t="n">
        <f aca="false">J133/I133</f>
        <v>0.0376028202115159</v>
      </c>
      <c r="L133" s="25" t="n">
        <v>29147697</v>
      </c>
      <c r="M133" s="166" t="n">
        <v>576883</v>
      </c>
      <c r="N133" s="29"/>
      <c r="O133" s="29" t="n">
        <v>897276</v>
      </c>
      <c r="P133" s="145" t="n">
        <f aca="false">'$'!C156</f>
        <v>34.46339</v>
      </c>
      <c r="Q133" s="35" t="n">
        <f aca="false">100*(SUM(C133:H133)/P133)/M133</f>
        <v>32.6665000161231</v>
      </c>
      <c r="R133" s="35" t="n">
        <f aca="false">100*(L133/P133)/M133</f>
        <v>146.608283995363</v>
      </c>
      <c r="S133" s="146" t="n">
        <f aca="false">SUM(Q133:R133)</f>
        <v>179.274784011486</v>
      </c>
      <c r="T133" s="35" t="n">
        <f aca="false">100*SUM(L133,C133:H133)/O133/P133</f>
        <v>115.260605683088</v>
      </c>
      <c r="U133" s="29" t="n">
        <f aca="false">O133/I133</f>
        <v>1054.37837837838</v>
      </c>
      <c r="V133" s="29" t="n">
        <f aca="false">M133/I133</f>
        <v>677.888366627497</v>
      </c>
      <c r="W133" s="147"/>
      <c r="X133" s="143" t="n">
        <f aca="false">'UT1 (1273)'!F169</f>
        <v>89545.86</v>
      </c>
      <c r="Y133" s="143" t="n">
        <f aca="false">'UT2 (12334)'!F109</f>
        <v>0</v>
      </c>
      <c r="Z133" s="143" t="n">
        <f aca="false">'UT3 (1279)'!F109</f>
        <v>10848</v>
      </c>
      <c r="AA133" s="143" t="n">
        <f aca="false">'UT4 (1271)'!F65</f>
        <v>1195.58</v>
      </c>
      <c r="AB133" s="148" t="n">
        <f aca="false">'UT1 (1273)'!C169+'UT2 (12334)'!C109+'UT3 (1279)'!C109+'UT4 (1271)'!C65</f>
        <v>1462844.18</v>
      </c>
      <c r="AC133" s="149" t="n">
        <f aca="false">AB133/P133</f>
        <v>42446.322895107</v>
      </c>
      <c r="AD133" s="150" t="n">
        <f aca="false">AB133/SUM(X133:AA133)</f>
        <v>14.3995692859415</v>
      </c>
      <c r="AE133" s="148" t="n">
        <f aca="false">1000*SUM(X133:AA133)/O133</f>
        <v>113.219834253897</v>
      </c>
      <c r="AF133" s="151" t="n">
        <f aca="false">'UT1 (1273)'!G169</f>
        <v>17312</v>
      </c>
      <c r="AG133" s="143" t="n">
        <f aca="false">'UT2 (12334)'!G109</f>
        <v>1454</v>
      </c>
      <c r="AH133" s="143" t="n">
        <f aca="false">'UT3 (1279)'!G109</f>
        <v>3136</v>
      </c>
      <c r="AI133" s="143" t="n">
        <f aca="false">'UT3b (1278)'!G53</f>
        <v>0</v>
      </c>
      <c r="AJ133" s="143" t="n">
        <f aca="false">'UT4 (1271)'!G65</f>
        <v>400</v>
      </c>
      <c r="AK133" s="148" t="n">
        <f aca="false">'UT1 (1273)'!D169+'UT2 (12334)'!D109+'UT3 (1279)'!D109+'UT3b (1278)'!D53+'UT4 (1271)'!D65</f>
        <v>305656</v>
      </c>
      <c r="AL133" s="149" t="n">
        <f aca="false">AK133/P133</f>
        <v>8869.00563177331</v>
      </c>
      <c r="AM133" s="150" t="n">
        <f aca="false">AK133/SUM(AF133:AJ133)</f>
        <v>13.7053179087077</v>
      </c>
      <c r="AN133" s="150" t="n">
        <f aca="false">AL133/SUM($AF$144:$AJ$144)</f>
        <v>0.551075284688288</v>
      </c>
      <c r="AO133" s="152" t="n">
        <f aca="false">'UT1 (1273)'!H169/SUM(AF133:AJ133)</f>
        <v>0.633889337279168</v>
      </c>
      <c r="AP133" s="148" t="n">
        <f aca="false">1000*SUM(AF133:AJ133)/O133</f>
        <v>24.8552284915678</v>
      </c>
      <c r="AQ133" s="151" t="n">
        <f aca="false">'UT1 (1273)'!I169</f>
        <v>279079</v>
      </c>
      <c r="AR133" s="143" t="n">
        <f aca="false">'UT2 (12334)'!H109</f>
        <v>443642</v>
      </c>
      <c r="AS133" s="143" t="n">
        <f aca="false">'UT3 (1279)'!H109</f>
        <v>785121</v>
      </c>
      <c r="AT133" s="143" t="n">
        <f aca="false">'UT3b (1278)'!H53</f>
        <v>0</v>
      </c>
      <c r="AU133" s="143" t="n">
        <f aca="false">'UT4 (1271)'!H65</f>
        <v>255146</v>
      </c>
      <c r="AV133" s="143" t="n">
        <f aca="false">'Osm.'!F109</f>
        <v>5725</v>
      </c>
      <c r="AW133" s="148" t="n">
        <f aca="false">'UT1 (1273)'!E169+'UT2 (12334)'!E109+'UT3 (1279)'!E109+'UT3b (1278)'!E53+'UT4 (1271)'!E65+'Osm.'!E109</f>
        <v>4712631</v>
      </c>
      <c r="AX133" s="149" t="n">
        <f aca="false">AW133/P133</f>
        <v>136743.106235341</v>
      </c>
      <c r="AY133" s="150" t="n">
        <f aca="false">AW133/SUM(AQ133:AV133)</f>
        <v>2.66444075437903</v>
      </c>
      <c r="AZ133" s="152" t="n">
        <f aca="false">SUM(AQ133:AV133)/((1400+2000+3000+2000+1600+2000)*24*30)</f>
        <v>0.204712152777778</v>
      </c>
      <c r="BA133" s="152" t="n">
        <f aca="false">AQ133/(1400*24*30)</f>
        <v>0.276864087301587</v>
      </c>
      <c r="BB133" s="152" t="n">
        <f aca="false">AR133/(2000*24*30)</f>
        <v>0.308084722222222</v>
      </c>
      <c r="BC133" s="152" t="n">
        <f aca="false">(AS133+AT133)/(5000*24*30)</f>
        <v>0.218089166666667</v>
      </c>
      <c r="BD133" s="152" t="n">
        <f aca="false">AU133/(1600*24*30)</f>
        <v>0.221480902777778</v>
      </c>
      <c r="BE133" s="148" t="n">
        <f aca="false">1000*SUM(AQ133:AV133)/O133</f>
        <v>1971.20284059754</v>
      </c>
      <c r="BF133" s="151" t="n">
        <f aca="false">'UT1 (1273)'!J169</f>
        <v>72757</v>
      </c>
      <c r="BG133" s="143" t="n">
        <f aca="false">'UT2 (12334)'!I109</f>
        <v>185130</v>
      </c>
      <c r="BH133" s="143" t="n">
        <f aca="false">'UT3b (1278)'!I53+'UT3 (1279)'!I109</f>
        <v>161298</v>
      </c>
      <c r="BI133" s="143" t="n">
        <f aca="false">'UT4 (1271)'!I65</f>
        <v>86376</v>
      </c>
      <c r="BJ133" s="162" t="n">
        <f aca="false">SUM(BF133:BI133)/SUM(AQ133:AU133)</f>
        <v>0.286763721590845</v>
      </c>
    </row>
    <row r="134" customFormat="false" ht="18.75" hidden="false" customHeight="true" outlineLevel="0" collapsed="false">
      <c r="A134" s="18" t="n">
        <v>2024</v>
      </c>
      <c r="B134" s="18" t="n">
        <v>12</v>
      </c>
      <c r="C134" s="24" t="n">
        <f aca="false">SUM('UT1 (1273)'!C170:E170)</f>
        <v>2516127</v>
      </c>
      <c r="D134" s="24" t="n">
        <f aca="false">SUM('UT2 (12334)'!C110:E110)</f>
        <v>1111931</v>
      </c>
      <c r="E134" s="24" t="n">
        <f aca="false">SUM('UT3 (1279)'!C110:E110)</f>
        <v>2568806</v>
      </c>
      <c r="F134" s="24" t="n">
        <f aca="false">SUM('Osm.'!C110:E110)</f>
        <v>44017</v>
      </c>
      <c r="G134" s="24" t="n">
        <f aca="false">SUM('UT4 (1271)'!C66:E66)</f>
        <v>684016</v>
      </c>
      <c r="H134" s="25" t="n">
        <f aca="false">SUM('UT3b (1278)'!C54:E54)</f>
        <v>0</v>
      </c>
      <c r="I134" s="161" t="n">
        <v>849</v>
      </c>
      <c r="J134" s="143" t="n">
        <v>25</v>
      </c>
      <c r="K134" s="167" t="n">
        <f aca="false">J134/I134</f>
        <v>0.0294464075382803</v>
      </c>
      <c r="L134" s="25" t="n">
        <v>29736938</v>
      </c>
      <c r="M134" s="166" t="n">
        <v>567871</v>
      </c>
      <c r="N134" s="29"/>
      <c r="O134" s="29" t="n">
        <v>1031297</v>
      </c>
      <c r="P134" s="145" t="n">
        <f aca="false">'$'!C157</f>
        <v>34.9875</v>
      </c>
      <c r="Q134" s="35" t="n">
        <f aca="false">100*(SUM(C134:H134)/P134)/M134</f>
        <v>34.8538466411926</v>
      </c>
      <c r="R134" s="35" t="n">
        <f aca="false">100*(L134/P134)/M134</f>
        <v>149.669616260091</v>
      </c>
      <c r="S134" s="146" t="n">
        <f aca="false">SUM(Q134:R134)</f>
        <v>184.523462901283</v>
      </c>
      <c r="T134" s="35" t="n">
        <f aca="false">100*SUM(L134,C134:H134)/O134/P134</f>
        <v>101.605573759271</v>
      </c>
      <c r="U134" s="29" t="n">
        <f aca="false">O134/I134</f>
        <v>1214.71967020024</v>
      </c>
      <c r="V134" s="29" t="n">
        <f aca="false">M134/I134</f>
        <v>668.870435806832</v>
      </c>
      <c r="W134" s="147"/>
      <c r="X134" s="143" t="n">
        <f aca="false">'UT1 (1273)'!F170</f>
        <v>104524</v>
      </c>
      <c r="Y134" s="143" t="n">
        <f aca="false">'UT2 (12334)'!F110</f>
        <v>0</v>
      </c>
      <c r="Z134" s="143" t="n">
        <f aca="false">'UT3 (1279)'!F110</f>
        <v>10650</v>
      </c>
      <c r="AA134" s="143" t="n">
        <f aca="false">'UT4 (1271)'!F66</f>
        <v>1270</v>
      </c>
      <c r="AB134" s="148" t="n">
        <f aca="false">'UT1 (1273)'!C170+'UT2 (12334)'!C110+'UT3 (1279)'!C110+'UT4 (1271)'!C66</f>
        <v>1682180</v>
      </c>
      <c r="AC134" s="149" t="n">
        <f aca="false">AB134/P134</f>
        <v>48079.4569489103</v>
      </c>
      <c r="AD134" s="150" t="n">
        <f aca="false">AB134/SUM(X134:AA134)</f>
        <v>14.4462574284635</v>
      </c>
      <c r="AE134" s="148" t="n">
        <f aca="false">1000*SUM(X134:AA134)/O134</f>
        <v>112.910247969305</v>
      </c>
      <c r="AF134" s="151" t="n">
        <f aca="false">'UT1 (1273)'!G170</f>
        <v>15625</v>
      </c>
      <c r="AG134" s="143" t="n">
        <f aca="false">'UT2 (12334)'!G110</f>
        <v>1938</v>
      </c>
      <c r="AH134" s="143" t="n">
        <f aca="false">'UT3 (1279)'!G110</f>
        <v>2115</v>
      </c>
      <c r="AI134" s="143" t="n">
        <f aca="false">'UT3b (1278)'!G54</f>
        <v>0</v>
      </c>
      <c r="AJ134" s="143" t="n">
        <f aca="false">'UT4 (1271)'!G66</f>
        <v>354</v>
      </c>
      <c r="AK134" s="148" t="n">
        <f aca="false">'UT1 (1273)'!D170+'UT2 (12334)'!D110+'UT3 (1279)'!D110+'UT3b (1278)'!D54+'UT4 (1271)'!D66</f>
        <v>295214</v>
      </c>
      <c r="AL134" s="149" t="n">
        <f aca="false">AK134/P134</f>
        <v>8437.69917827796</v>
      </c>
      <c r="AM134" s="150" t="n">
        <f aca="false">AK134/SUM(AF134:AJ134)</f>
        <v>14.7371206070288</v>
      </c>
      <c r="AN134" s="150" t="n">
        <f aca="false">AL134/SUM($AF$144:$AJ$144)</f>
        <v>0.524276076691808</v>
      </c>
      <c r="AO134" s="152" t="n">
        <f aca="false">'UT1 (1273)'!H170/SUM(AF134:AJ134)</f>
        <v>0.671525559105431</v>
      </c>
      <c r="AP134" s="148" t="n">
        <f aca="false">1000*SUM(AF134:AJ134)/O134</f>
        <v>19.4240844296066</v>
      </c>
      <c r="AQ134" s="151" t="n">
        <f aca="false">'UT1 (1273)'!I170</f>
        <v>283243</v>
      </c>
      <c r="AR134" s="143" t="n">
        <f aca="false">'UT2 (12334)'!H110</f>
        <v>449603</v>
      </c>
      <c r="AS134" s="143" t="n">
        <f aca="false">'UT3 (1279)'!H110</f>
        <v>811470</v>
      </c>
      <c r="AT134" s="143" t="n">
        <f aca="false">'UT3b (1278)'!H54</f>
        <v>0</v>
      </c>
      <c r="AU134" s="143" t="n">
        <f aca="false">'UT4 (1271)'!H66</f>
        <v>257272</v>
      </c>
      <c r="AV134" s="143" t="n">
        <f aca="false">'Osm.'!F110</f>
        <v>6278</v>
      </c>
      <c r="AW134" s="148" t="n">
        <f aca="false">'UT1 (1273)'!E170+'UT2 (12334)'!E110+'UT3 (1279)'!E110+'UT3b (1278)'!E54+'UT4 (1271)'!E66+'Osm.'!E110</f>
        <v>4934255</v>
      </c>
      <c r="AX134" s="149" t="n">
        <f aca="false">AW134/P134</f>
        <v>141029.081814934</v>
      </c>
      <c r="AY134" s="150" t="n">
        <f aca="false">AW134/SUM(AQ134:AV134)</f>
        <v>2.72932562479741</v>
      </c>
      <c r="AZ134" s="152" t="n">
        <f aca="false">SUM(AQ134:AV134)/((1400+2000+3000+2000+1600+2000)*24*30)</f>
        <v>0.20924375</v>
      </c>
      <c r="BA134" s="152" t="n">
        <f aca="false">AQ134/(1400*24*30)</f>
        <v>0.28099503968254</v>
      </c>
      <c r="BB134" s="152" t="n">
        <f aca="false">AR134/(2000*24*30)</f>
        <v>0.312224305555556</v>
      </c>
      <c r="BC134" s="152" t="n">
        <f aca="false">(AS134+AT134)/(5000*24*30)</f>
        <v>0.225408333333333</v>
      </c>
      <c r="BD134" s="152" t="n">
        <f aca="false">AU134/(1600*24*30)</f>
        <v>0.223326388888889</v>
      </c>
      <c r="BE134" s="148" t="n">
        <f aca="false">1000*SUM(AQ134:AV134)/O134</f>
        <v>1753.0022874109</v>
      </c>
      <c r="BF134" s="151" t="n">
        <f aca="false">'UT1 (1273)'!J170</f>
        <v>55664</v>
      </c>
      <c r="BG134" s="143" t="n">
        <f aca="false">'UT2 (12334)'!I110</f>
        <v>142478</v>
      </c>
      <c r="BH134" s="143" t="n">
        <f aca="false">'UT3b (1278)'!I54+'UT3 (1279)'!I110</f>
        <v>125055</v>
      </c>
      <c r="BI134" s="143" t="n">
        <f aca="false">'UT4 (1271)'!I66</f>
        <v>66817</v>
      </c>
      <c r="BJ134" s="162" t="n">
        <f aca="false">SUM(BF134:BI134)/SUM(AQ134:AU134)</f>
        <v>0.216483457927118</v>
      </c>
    </row>
    <row r="135" customFormat="false" ht="18.75" hidden="false" customHeight="true" outlineLevel="0" collapsed="false">
      <c r="A135" s="58" t="n">
        <v>2025</v>
      </c>
      <c r="B135" s="58" t="n">
        <v>1</v>
      </c>
      <c r="C135" s="59" t="n">
        <f aca="false">SUM('UT1 (1273)'!C171:E171)</f>
        <v>2894727</v>
      </c>
      <c r="D135" s="59" t="n">
        <f aca="false">SUM('UT2 (12334)'!C111:E111)</f>
        <v>1093661</v>
      </c>
      <c r="E135" s="59" t="n">
        <f aca="false">SUM('UT3 (1279)'!C111:E111)</f>
        <v>2503173</v>
      </c>
      <c r="F135" s="59" t="n">
        <f aca="false">SUM('Osm.'!C111:E111)</f>
        <v>49807</v>
      </c>
      <c r="G135" s="59" t="n">
        <f aca="false">SUM('UT4 (1271)'!C67:E67)</f>
        <v>748849</v>
      </c>
      <c r="H135" s="60" t="n">
        <f aca="false">SUM('UT3b (1278)'!C55:E55)</f>
        <v>0</v>
      </c>
      <c r="I135" s="161" t="n">
        <v>863</v>
      </c>
      <c r="J135" s="161" t="n">
        <v>22</v>
      </c>
      <c r="K135" s="167" t="n">
        <f aca="false">J135/I135</f>
        <v>0.0254924681344148</v>
      </c>
      <c r="L135" s="60" t="n">
        <v>40955833</v>
      </c>
      <c r="M135" s="166" t="n">
        <v>648699</v>
      </c>
      <c r="N135" s="63"/>
      <c r="O135" s="63" t="n">
        <f aca="false">'UT1 (1273)'!O171+'UT2 (12334)'!M111+'UT3 (1279)'!J111+'UT4 (1271)'!M67</f>
        <v>1039048</v>
      </c>
      <c r="P135" s="168" t="n">
        <f aca="false">'$'!C158</f>
        <v>35.5237</v>
      </c>
      <c r="Q135" s="70" t="n">
        <f aca="false">100*(SUM(C135:H135)/P135)/M135</f>
        <v>31.6358154568543</v>
      </c>
      <c r="R135" s="70" t="n">
        <f aca="false">100*(L135/P135)/M135</f>
        <v>177.727381046373</v>
      </c>
      <c r="S135" s="146" t="n">
        <f aca="false">SUM(Q135:R135)</f>
        <v>209.363196503227</v>
      </c>
      <c r="T135" s="70" t="n">
        <f aca="false">100*SUM(L135,C135:H135)/O135/P135</f>
        <v>130.709742195208</v>
      </c>
      <c r="U135" s="63" t="n">
        <f aca="false">O135/I135</f>
        <v>1203.99536500579</v>
      </c>
      <c r="V135" s="63" t="n">
        <f aca="false">M135/I135</f>
        <v>751.679026651217</v>
      </c>
      <c r="W135" s="147"/>
      <c r="X135" s="161" t="n">
        <f aca="false">'UT1 (1273)'!F171</f>
        <v>117626</v>
      </c>
      <c r="Y135" s="161" t="n">
        <f aca="false">'UT2 (12334)'!F111</f>
        <v>0</v>
      </c>
      <c r="Z135" s="161" t="n">
        <f aca="false">'UT3 (1279)'!F111</f>
        <v>9441</v>
      </c>
      <c r="AA135" s="161" t="n">
        <f aca="false">'UT4 (1271)'!F67</f>
        <v>1270</v>
      </c>
      <c r="AB135" s="169" t="n">
        <f aca="false">'UT1 (1273)'!C171+'UT2 (12334)'!C111+'UT3 (1279)'!C111+'UT4 (1271)'!C67</f>
        <v>1851641</v>
      </c>
      <c r="AC135" s="172" t="n">
        <f aca="false">AB135/P135</f>
        <v>52124.1030635885</v>
      </c>
      <c r="AD135" s="173" t="n">
        <f aca="false">AB135/SUM(X135:AA135)</f>
        <v>14.4279592011657</v>
      </c>
      <c r="AE135" s="169" t="n">
        <f aca="false">1000*SUM(X135:AA135)/O135</f>
        <v>123.51402437616</v>
      </c>
      <c r="AF135" s="142" t="n">
        <f aca="false">'UT1 (1273)'!G171</f>
        <v>15834</v>
      </c>
      <c r="AG135" s="161" t="n">
        <f aca="false">'UT2 (12334)'!G111</f>
        <v>1641</v>
      </c>
      <c r="AH135" s="161" t="n">
        <f aca="false">'UT3 (1279)'!G111</f>
        <v>1686</v>
      </c>
      <c r="AI135" s="161" t="n">
        <f aca="false">'UT3b (1278)'!G55</f>
        <v>0</v>
      </c>
      <c r="AJ135" s="161" t="n">
        <f aca="false">'UT4 (1271)'!G67</f>
        <v>324</v>
      </c>
      <c r="AK135" s="169" t="n">
        <f aca="false">'UT1 (1273)'!D171+'UT2 (12334)'!D111+'UT3 (1279)'!D111+'UT3b (1278)'!D55+'UT4 (1271)'!D67</f>
        <v>472244</v>
      </c>
      <c r="AL135" s="172" t="n">
        <f aca="false">AK135/P135</f>
        <v>13293.7728896483</v>
      </c>
      <c r="AM135" s="173" t="n">
        <f aca="false">AK135/SUM(AF135:AJ135)</f>
        <v>24.2362843212728</v>
      </c>
      <c r="AN135" s="150" t="n">
        <f aca="false">AL135/SUM($AF$144:$AJ$144)</f>
        <v>0.826008008552772</v>
      </c>
      <c r="AO135" s="170" t="n">
        <f aca="false">'UT1 (1273)'!H171/SUM(AF135:AJ135)</f>
        <v>0.677752117013087</v>
      </c>
      <c r="AP135" s="169" t="n">
        <f aca="false">1000*SUM(AF135:AJ135)/O135</f>
        <v>18.7527428954197</v>
      </c>
      <c r="AQ135" s="142" t="n">
        <f aca="false">'UT1 (1273)'!I171</f>
        <v>310780</v>
      </c>
      <c r="AR135" s="161" t="n">
        <f aca="false">'UT2 (12334)'!H111</f>
        <v>481952</v>
      </c>
      <c r="AS135" s="161" t="n">
        <f aca="false">'UT3 (1279)'!H111</f>
        <v>810119</v>
      </c>
      <c r="AT135" s="161" t="n">
        <f aca="false">'UT3b (1278)'!H55</f>
        <v>0</v>
      </c>
      <c r="AU135" s="161" t="n">
        <f aca="false">'UT4 (1271)'!H67</f>
        <v>290267</v>
      </c>
      <c r="AV135" s="161" t="n">
        <f aca="false">'Osm.'!F111</f>
        <v>6486</v>
      </c>
      <c r="AW135" s="169" t="n">
        <f aca="false">'UT1 (1273)'!E171+'UT2 (12334)'!E111+'UT3 (1279)'!E111+'UT3b (1278)'!E55+'UT4 (1271)'!E67+'Osm.'!E111</f>
        <v>4950500</v>
      </c>
      <c r="AX135" s="172" t="n">
        <f aca="false">AW135/P135</f>
        <v>139357.668260908</v>
      </c>
      <c r="AY135" s="173" t="n">
        <f aca="false">AW135/SUM(AQ135:AV135)</f>
        <v>2.60606947553279</v>
      </c>
      <c r="AZ135" s="170" t="n">
        <f aca="false">SUM(AQ135:AV135)/((1400+2000+3000+2000+1600+2000)*24*30)</f>
        <v>0.219861574074074</v>
      </c>
      <c r="BA135" s="170" t="n">
        <f aca="false">AQ135/(1400*24*30)</f>
        <v>0.308313492063492</v>
      </c>
      <c r="BB135" s="170" t="n">
        <f aca="false">AR135/(2000*24*30)</f>
        <v>0.334688888888889</v>
      </c>
      <c r="BC135" s="170" t="n">
        <f aca="false">(AS135+AT135)/(5000*24*30)</f>
        <v>0.225033055555556</v>
      </c>
      <c r="BD135" s="170" t="n">
        <f aca="false">AU135/(1600*24*30)</f>
        <v>0.251967881944444</v>
      </c>
      <c r="BE135" s="169" t="n">
        <f aca="false">1000*SUM(AQ135:AV135)/O135</f>
        <v>1828.21582833517</v>
      </c>
      <c r="BF135" s="142" t="n">
        <f aca="false">'UT1 (1273)'!J171</f>
        <v>79289</v>
      </c>
      <c r="BG135" s="161" t="n">
        <f aca="false">'UT2 (12334)'!I111</f>
        <v>202587</v>
      </c>
      <c r="BH135" s="161" t="n">
        <f aca="false">'UT3b (1278)'!I55+'UT3 (1279)'!I111</f>
        <v>176005</v>
      </c>
      <c r="BI135" s="161" t="n">
        <f aca="false">'UT4 (1271)'!I67</f>
        <v>94772</v>
      </c>
      <c r="BJ135" s="171" t="n">
        <f aca="false">SUM(BF135:BI135)/SUM(AQ135:AU135)</f>
        <v>0.291927391742089</v>
      </c>
    </row>
    <row r="136" customFormat="false" ht="18.75" hidden="false" customHeight="true" outlineLevel="0" collapsed="false">
      <c r="A136" s="18" t="n">
        <v>2025</v>
      </c>
      <c r="B136" s="18" t="n">
        <v>2</v>
      </c>
      <c r="C136" s="24" t="n">
        <f aca="false">SUM('UT1 (1273)'!C172:E172)</f>
        <v>2392617</v>
      </c>
      <c r="D136" s="24" t="n">
        <f aca="false">SUM('UT2 (12334)'!C112:E112)</f>
        <v>792555</v>
      </c>
      <c r="E136" s="24" t="n">
        <f aca="false">SUM('UT3 (1279)'!C112:E112)</f>
        <v>1992397</v>
      </c>
      <c r="F136" s="24" t="n">
        <f aca="false">SUM('Osm.'!C112:E112)</f>
        <v>46981</v>
      </c>
      <c r="G136" s="24" t="n">
        <f aca="false">SUM('UT4 (1271)'!C68:E68)</f>
        <v>654424</v>
      </c>
      <c r="H136" s="25" t="n">
        <f aca="false">SUM('UT3b (1278)'!C56:E56)</f>
        <v>0</v>
      </c>
      <c r="I136" s="161" t="n">
        <v>885</v>
      </c>
      <c r="J136" s="143" t="n">
        <v>36</v>
      </c>
      <c r="K136" s="167" t="n">
        <f aca="false">J136/I136</f>
        <v>0.0406779661016949</v>
      </c>
      <c r="L136" s="25" t="n">
        <v>38402800</v>
      </c>
      <c r="M136" s="166" t="n">
        <v>448176</v>
      </c>
      <c r="N136" s="29"/>
      <c r="O136" s="63" t="n">
        <f aca="false">'UT1 (1273)'!O172+'UT2 (12334)'!M112+'UT3 (1279)'!J112+'UT4 (1271)'!M68</f>
        <v>912724</v>
      </c>
      <c r="P136" s="145" t="n">
        <f aca="false">'$'!C159</f>
        <v>36.169082</v>
      </c>
      <c r="Q136" s="35" t="n">
        <f aca="false">100*(SUM(C136:H136)/P136)/M136</f>
        <v>36.2673194073945</v>
      </c>
      <c r="R136" s="35" t="n">
        <f aca="false">100*(L136/P136)/M136</f>
        <v>236.906408114458</v>
      </c>
      <c r="S136" s="146" t="n">
        <f aca="false">SUM(Q136:R136)</f>
        <v>273.173727521853</v>
      </c>
      <c r="T136" s="35" t="n">
        <f aca="false">100*SUM(L136,C136:H136)/O136/P136</f>
        <v>134.136834909385</v>
      </c>
      <c r="U136" s="29" t="n">
        <f aca="false">O136/I136</f>
        <v>1031.32655367232</v>
      </c>
      <c r="V136" s="29" t="n">
        <f aca="false">M136/I136</f>
        <v>506.413559322034</v>
      </c>
      <c r="W136" s="147"/>
      <c r="X136" s="143" t="n">
        <f aca="false">'UT1 (1273)'!F172</f>
        <v>97417</v>
      </c>
      <c r="Y136" s="143" t="n">
        <f aca="false">'UT2 (12334)'!F112</f>
        <v>0</v>
      </c>
      <c r="Z136" s="143" t="n">
        <f aca="false">'UT3 (1279)'!F112</f>
        <v>9504</v>
      </c>
      <c r="AA136" s="143" t="n">
        <f aca="false">'UT4 (1271)'!F68</f>
        <v>1124</v>
      </c>
      <c r="AB136" s="148" t="n">
        <f aca="false">'UT1 (1273)'!C172+'UT2 (12334)'!C112+'UT3 (1279)'!C112+'UT4 (1271)'!C68</f>
        <v>1559453</v>
      </c>
      <c r="AC136" s="149" t="n">
        <f aca="false">AB136/P136</f>
        <v>43115.6367197818</v>
      </c>
      <c r="AD136" s="150" t="n">
        <f aca="false">AB136/SUM(X136:AA136)</f>
        <v>14.4333657272433</v>
      </c>
      <c r="AE136" s="148" t="n">
        <f aca="false">1000*SUM(X136:AA136)/O136</f>
        <v>118.376420473221</v>
      </c>
      <c r="AF136" s="151" t="n">
        <f aca="false">'UT1 (1273)'!G172</f>
        <v>14425</v>
      </c>
      <c r="AG136" s="143" t="n">
        <f aca="false">'UT2 (12334)'!G112</f>
        <v>1254</v>
      </c>
      <c r="AH136" s="143" t="n">
        <f aca="false">'UT3 (1279)'!G112</f>
        <v>1624</v>
      </c>
      <c r="AI136" s="143" t="n">
        <f aca="false">'UT3b (1278)'!G56</f>
        <v>0</v>
      </c>
      <c r="AJ136" s="143" t="n">
        <f aca="false">'UT4 (1271)'!G68</f>
        <v>422</v>
      </c>
      <c r="AK136" s="148" t="n">
        <f aca="false">'UT1 (1273)'!D172+'UT2 (12334)'!D112+'UT3 (1279)'!D112+'UT3b (1278)'!D56+'UT4 (1271)'!D68</f>
        <v>431080</v>
      </c>
      <c r="AL136" s="149" t="n">
        <f aca="false">AK136/P136</f>
        <v>11918.4667169601</v>
      </c>
      <c r="AM136" s="150" t="n">
        <f aca="false">AK136/SUM(AF136:AJ136)</f>
        <v>24.3204513399154</v>
      </c>
      <c r="AN136" s="150" t="n">
        <f aca="false">AL136/SUM($AF$144:$AJ$144)</f>
        <v>0.740553418476456</v>
      </c>
      <c r="AO136" s="152" t="n">
        <f aca="false">'UT1 (1273)'!H172/SUM(AF136:AJ136)</f>
        <v>0.613314527503526</v>
      </c>
      <c r="AP136" s="148" t="n">
        <f aca="false">1000*SUM(AF136:AJ136)/O136</f>
        <v>19.4198903502044</v>
      </c>
      <c r="AQ136" s="151" t="n">
        <f aca="false">'UT1 (1273)'!I172</f>
        <v>272516</v>
      </c>
      <c r="AR136" s="143" t="n">
        <f aca="false">'UT2 (12334)'!H112</f>
        <v>429773</v>
      </c>
      <c r="AS136" s="143" t="n">
        <f aca="false">'UT3 (1279)'!H112</f>
        <v>694742</v>
      </c>
      <c r="AT136" s="143" t="n">
        <f aca="false">'UT3b (1278)'!H56</f>
        <v>0</v>
      </c>
      <c r="AU136" s="143" t="n">
        <f aca="false">'UT4 (1271)'!H68</f>
        <v>269315</v>
      </c>
      <c r="AV136" s="143" t="n">
        <f aca="false">'Osm.'!F112</f>
        <v>5982</v>
      </c>
      <c r="AW136" s="148" t="n">
        <f aca="false">'UT1 (1273)'!E172+'UT2 (12334)'!E112+'UT3 (1279)'!E112+'UT3b (1278)'!E56+'UT4 (1271)'!E68+'Osm.'!E112</f>
        <v>3872655</v>
      </c>
      <c r="AX136" s="149" t="n">
        <f aca="false">AW136/P136</f>
        <v>107070.867875497</v>
      </c>
      <c r="AY136" s="150" t="n">
        <f aca="false">AW136/SUM(AQ136:AV136)</f>
        <v>2.31572693873451</v>
      </c>
      <c r="AZ136" s="152" t="n">
        <f aca="false">SUM(AQ136:AV136)/((1400+2000+3000+2000+1600+2000)*24*30)</f>
        <v>0.193556481481481</v>
      </c>
      <c r="BA136" s="152" t="n">
        <f aca="false">AQ136/(1400*24*30)</f>
        <v>0.270353174603175</v>
      </c>
      <c r="BB136" s="152" t="n">
        <f aca="false">AR136/(2000*24*30)</f>
        <v>0.298453472222222</v>
      </c>
      <c r="BC136" s="152" t="n">
        <f aca="false">(AS136+AT136)/(5000*24*30)</f>
        <v>0.192983888888889</v>
      </c>
      <c r="BD136" s="152" t="n">
        <f aca="false">AU136/(1600*24*30)</f>
        <v>0.233780381944444</v>
      </c>
      <c r="BE136" s="148" t="n">
        <f aca="false">1000*SUM(AQ136:AV136)/O136</f>
        <v>1832.23844228924</v>
      </c>
      <c r="BF136" s="151" t="n">
        <f aca="false">'UT1 (1273)'!J172</f>
        <v>87825</v>
      </c>
      <c r="BG136" s="143" t="n">
        <f aca="false">'UT2 (12334)'!I112</f>
        <v>228287</v>
      </c>
      <c r="BH136" s="143" t="n">
        <f aca="false">'UT3b (1278)'!I56+'UT3 (1279)'!I112</f>
        <v>198653</v>
      </c>
      <c r="BI136" s="143" t="n">
        <f aca="false">'UT4 (1271)'!I68</f>
        <v>97946</v>
      </c>
      <c r="BJ136" s="162" t="n">
        <f aca="false">SUM(BF136:BI136)/SUM(AQ136:AU136)</f>
        <v>0.367697344969172</v>
      </c>
    </row>
    <row r="137" customFormat="false" ht="18.75" hidden="false" customHeight="true" outlineLevel="0" collapsed="false">
      <c r="A137" s="18" t="n">
        <v>2025</v>
      </c>
      <c r="B137" s="18" t="n">
        <v>3</v>
      </c>
      <c r="C137" s="24" t="n">
        <f aca="false">SUM('UT1 (1273)'!C173:E173)</f>
        <v>2472450</v>
      </c>
      <c r="D137" s="24" t="n">
        <f aca="false">SUM('UT2 (12334)'!C113:E113)</f>
        <v>588253</v>
      </c>
      <c r="E137" s="24" t="n">
        <f aca="false">SUM('UT3 (1279)'!C113:E113)</f>
        <v>1908210</v>
      </c>
      <c r="F137" s="24" t="n">
        <f aca="false">SUM('Osm.'!C113:E113)</f>
        <v>47748</v>
      </c>
      <c r="G137" s="24" t="n">
        <f aca="false">SUM('UT4 (1271)'!C69:E69)</f>
        <v>423818</v>
      </c>
      <c r="H137" s="25" t="n">
        <f aca="false">SUM('UT3b (1278)'!C57:E57)</f>
        <v>0</v>
      </c>
      <c r="I137" s="161" t="n">
        <v>886</v>
      </c>
      <c r="J137" s="143" t="n">
        <v>39</v>
      </c>
      <c r="K137" s="167" t="n">
        <f aca="false">J137/I137</f>
        <v>0.0440180586907449</v>
      </c>
      <c r="L137" s="25" t="n">
        <v>32534547</v>
      </c>
      <c r="M137" s="166" t="n">
        <v>630419</v>
      </c>
      <c r="N137" s="29"/>
      <c r="O137" s="63" t="n">
        <f aca="false">'UT1 (1273)'!O173+'UT2 (12334)'!M113+'UT3 (1279)'!J113+'UT4 (1271)'!M69</f>
        <v>1030929</v>
      </c>
      <c r="P137" s="145" t="n">
        <f aca="false">'$'!C160</f>
        <v>37.092994</v>
      </c>
      <c r="Q137" s="35" t="n">
        <f aca="false">100*(SUM(C137:H137)/P137)/M137</f>
        <v>23.2656909724325</v>
      </c>
      <c r="R137" s="35" t="n">
        <f aca="false">100*(L137/P137)/M137</f>
        <v>139.130895722616</v>
      </c>
      <c r="S137" s="146" t="n">
        <f aca="false">SUM(Q137:R137)</f>
        <v>162.396586695048</v>
      </c>
      <c r="T137" s="35" t="n">
        <f aca="false">100*SUM(L137,C137:H137)/O137/P137</f>
        <v>99.3064447577918</v>
      </c>
      <c r="U137" s="29" t="n">
        <f aca="false">O137/I137</f>
        <v>1163.57674943567</v>
      </c>
      <c r="V137" s="29" t="n">
        <f aca="false">M137/I137</f>
        <v>711.533860045147</v>
      </c>
      <c r="W137" s="147"/>
      <c r="X137" s="143" t="n">
        <f aca="false">'UT1 (1273)'!F173</f>
        <v>102045</v>
      </c>
      <c r="Y137" s="143" t="n">
        <f aca="false">'UT2 (12334)'!F113</f>
        <v>0</v>
      </c>
      <c r="Z137" s="143" t="n">
        <f aca="false">'UT3 (1279)'!F113</f>
        <v>9522</v>
      </c>
      <c r="AA137" s="143" t="n">
        <f aca="false">'UT4 (1271)'!F69</f>
        <v>981</v>
      </c>
      <c r="AB137" s="148" t="n">
        <f aca="false">'UT1 (1273)'!C173+'UT2 (12334)'!C113+'UT3 (1279)'!C113+'UT4 (1271)'!C69</f>
        <v>1623067</v>
      </c>
      <c r="AC137" s="149" t="n">
        <f aca="false">AB137/P137</f>
        <v>43756.6997153155</v>
      </c>
      <c r="AD137" s="150" t="n">
        <f aca="false">AB137/SUM(X137:AA137)</f>
        <v>14.4211092156236</v>
      </c>
      <c r="AE137" s="148" t="n">
        <f aca="false">1000*SUM(X137:AA137)/O137</f>
        <v>109.171436636277</v>
      </c>
      <c r="AF137" s="151" t="n">
        <f aca="false">'UT1 (1273)'!G173</f>
        <v>15827</v>
      </c>
      <c r="AG137" s="143" t="n">
        <f aca="false">'UT2 (12334)'!G113</f>
        <v>1157</v>
      </c>
      <c r="AH137" s="143" t="n">
        <f aca="false">'UT3 (1279)'!G113</f>
        <v>1889</v>
      </c>
      <c r="AI137" s="143" t="n">
        <f aca="false">'UT3b (1278)'!G57</f>
        <v>0</v>
      </c>
      <c r="AJ137" s="143" t="n">
        <f aca="false">'UT4 (1271)'!G69</f>
        <v>521</v>
      </c>
      <c r="AK137" s="148" t="n">
        <f aca="false">'UT1 (1273)'!D173+'UT2 (12334)'!D113+'UT3 (1279)'!D113+'UT3b (1278)'!D57+'UT4 (1271)'!D69</f>
        <v>510038</v>
      </c>
      <c r="AL137" s="149" t="n">
        <f aca="false">AK137/P137</f>
        <v>13750.2515973771</v>
      </c>
      <c r="AM137" s="150" t="n">
        <f aca="false">AK137/SUM(AF137:AJ137)</f>
        <v>26.2987521913994</v>
      </c>
      <c r="AN137" s="150" t="n">
        <f aca="false">AL137/SUM($AF$144:$AJ$144)</f>
        <v>0.854371293486835</v>
      </c>
      <c r="AO137" s="152" t="n">
        <f aca="false">'UT1 (1273)'!H173/SUM(AF137:AJ137)</f>
        <v>0.74028049912344</v>
      </c>
      <c r="AP137" s="148" t="n">
        <f aca="false">1000*SUM(AF137:AJ137)/O137</f>
        <v>18.8121587422606</v>
      </c>
      <c r="AQ137" s="151" t="n">
        <f aca="false">'UT1 (1273)'!I173</f>
        <v>287590</v>
      </c>
      <c r="AR137" s="143" t="n">
        <f aca="false">'UT2 (12334)'!H113</f>
        <v>468099</v>
      </c>
      <c r="AS137" s="143" t="n">
        <f aca="false">'UT3 (1279)'!H113</f>
        <v>739898</v>
      </c>
      <c r="AT137" s="143" t="n">
        <f aca="false">'UT3b (1278)'!H57</f>
        <v>0</v>
      </c>
      <c r="AU137" s="143" t="n">
        <f aca="false">'UT4 (1271)'!H69</f>
        <v>257017</v>
      </c>
      <c r="AV137" s="143" t="n">
        <f aca="false">'Osm.'!F113</f>
        <v>5781</v>
      </c>
      <c r="AW137" s="148" t="n">
        <f aca="false">'UT1 (1273)'!E173+'UT2 (12334)'!E113+'UT3 (1279)'!E113+'UT3b (1278)'!E57+'UT4 (1271)'!E69+'Osm.'!E113</f>
        <v>3291426</v>
      </c>
      <c r="AX137" s="149" t="n">
        <f aca="false">AW137/P137</f>
        <v>88734.4386381968</v>
      </c>
      <c r="AY137" s="150" t="n">
        <f aca="false">AW137/SUM(AQ137:AV137)</f>
        <v>1.87184604054288</v>
      </c>
      <c r="AZ137" s="152" t="n">
        <f aca="false">SUM(AQ137:AV137)/((1400+2000+3000+2000+1600+2000)*24*30)</f>
        <v>0.203516782407407</v>
      </c>
      <c r="BA137" s="152" t="n">
        <f aca="false">AQ137/(1400*24*30)</f>
        <v>0.28530753968254</v>
      </c>
      <c r="BB137" s="152" t="n">
        <f aca="false">AR137/(2000*24*30)</f>
        <v>0.32506875</v>
      </c>
      <c r="BC137" s="152" t="n">
        <f aca="false">(AS137+AT137)/(5000*24*30)</f>
        <v>0.205527222222222</v>
      </c>
      <c r="BD137" s="152" t="n">
        <f aca="false">AU137/(1600*24*30)</f>
        <v>0.223105034722222</v>
      </c>
      <c r="BE137" s="148" t="n">
        <f aca="false">1000*SUM(AQ137:AV137)/O137</f>
        <v>1705.63152263638</v>
      </c>
      <c r="BF137" s="151" t="n">
        <f aca="false">'UT1 (1273)'!J173</f>
        <v>128176</v>
      </c>
      <c r="BG137" s="143" t="n">
        <f aca="false">'UT2 (12334)'!I113</f>
        <v>334356</v>
      </c>
      <c r="BH137" s="143" t="n">
        <f aca="false">'UT3b (1278)'!I57+'UT3 (1279)'!I113</f>
        <v>293446</v>
      </c>
      <c r="BI137" s="143" t="n">
        <f aca="false">'UT4 (1271)'!I69</f>
        <v>158225</v>
      </c>
      <c r="BJ137" s="162" t="n">
        <f aca="false">SUM(BF137:BI137)/SUM(AQ137:AU137)</f>
        <v>0.521625535488907</v>
      </c>
    </row>
    <row r="138" customFormat="false" ht="18.75" hidden="false" customHeight="true" outlineLevel="0" collapsed="false">
      <c r="A138" s="18" t="n">
        <v>2025</v>
      </c>
      <c r="B138" s="18" t="n">
        <v>4</v>
      </c>
      <c r="C138" s="24" t="n">
        <f aca="false">SUM('UT1 (1273)'!C174:E174)</f>
        <v>2873589.6</v>
      </c>
      <c r="D138" s="24" t="n">
        <f aca="false">SUM('UT2 (12334)'!C114:E114)</f>
        <v>323800</v>
      </c>
      <c r="E138" s="24" t="n">
        <f aca="false">SUM('UT3 (1279)'!C114:E114)</f>
        <v>1947674</v>
      </c>
      <c r="F138" s="24" t="n">
        <f aca="false">SUM('Osm.'!C114:E114)</f>
        <v>0</v>
      </c>
      <c r="G138" s="24" t="n">
        <f aca="false">SUM('UT4 (1271)'!C70:E70)</f>
        <v>542706</v>
      </c>
      <c r="H138" s="25" t="n">
        <f aca="false">SUM('UT3b (1278)'!C58:E58)</f>
        <v>0</v>
      </c>
      <c r="I138" s="161" t="n">
        <v>866</v>
      </c>
      <c r="J138" s="143" t="n">
        <v>30</v>
      </c>
      <c r="K138" s="167" t="n">
        <f aca="false">J138/I138</f>
        <v>0.0346420323325635</v>
      </c>
      <c r="L138" s="25" t="n">
        <v>41798520</v>
      </c>
      <c r="M138" s="166" t="n">
        <v>396894</v>
      </c>
      <c r="N138" s="29"/>
      <c r="O138" s="63" t="n">
        <f aca="false">'UT1 (1273)'!O174+'UT2 (12334)'!M114+'UT3 (1279)'!J114+'UT4 (1271)'!M70</f>
        <v>990932</v>
      </c>
      <c r="P138" s="145" t="n">
        <f aca="false">'$'!C161</f>
        <v>38.131488</v>
      </c>
      <c r="Q138" s="35" t="n">
        <f aca="false">100*(SUM(C138:H138)/P138)/M138</f>
        <v>37.5823306456215</v>
      </c>
      <c r="R138" s="35" t="n">
        <f aca="false">100*(L138/P138)/M138</f>
        <v>276.186609095</v>
      </c>
      <c r="S138" s="146" t="n">
        <f aca="false">SUM(Q138:R138)</f>
        <v>313.768939740621</v>
      </c>
      <c r="T138" s="35" t="n">
        <f aca="false">100*SUM(L138,C138:H138)/O138/P138</f>
        <v>125.672608785885</v>
      </c>
      <c r="U138" s="29" t="n">
        <f aca="false">O138/I138</f>
        <v>1144.26327944573</v>
      </c>
      <c r="V138" s="29" t="n">
        <f aca="false">M138/I138</f>
        <v>458.307159353349</v>
      </c>
      <c r="W138" s="147"/>
      <c r="X138" s="143" t="n">
        <f aca="false">'UT1 (1273)'!F174</f>
        <v>106474</v>
      </c>
      <c r="Y138" s="143" t="n">
        <f aca="false">'UT2 (12334)'!F114</f>
        <v>0</v>
      </c>
      <c r="Z138" s="143" t="n">
        <f aca="false">'UT3 (1279)'!F114</f>
        <v>10306</v>
      </c>
      <c r="AA138" s="143" t="n">
        <f aca="false">'UT4 (1271)'!F70</f>
        <v>1310</v>
      </c>
      <c r="AB138" s="148" t="n">
        <f aca="false">'UT1 (1273)'!C174+'UT2 (12334)'!C114+'UT3 (1279)'!C114+'UT4 (1271)'!C70</f>
        <v>2017603.6</v>
      </c>
      <c r="AC138" s="149" t="n">
        <f aca="false">AB138/P138</f>
        <v>52911.7457991674</v>
      </c>
      <c r="AD138" s="150" t="n">
        <f aca="false">AB138/SUM(X138:AA138)</f>
        <v>17.0853044288255</v>
      </c>
      <c r="AE138" s="148" t="n">
        <f aca="false">1000*SUM(X138:AA138)/O138</f>
        <v>119.170639357696</v>
      </c>
      <c r="AF138" s="151" t="n">
        <f aca="false">'UT1 (1273)'!G174</f>
        <v>16605</v>
      </c>
      <c r="AG138" s="143" t="n">
        <f aca="false">'UT2 (12334)'!G114</f>
        <v>1114</v>
      </c>
      <c r="AH138" s="143" t="n">
        <f aca="false">'UT3 (1279)'!G114</f>
        <v>2059</v>
      </c>
      <c r="AI138" s="143" t="n">
        <f aca="false">'UT3b (1278)'!G58</f>
        <v>0</v>
      </c>
      <c r="AJ138" s="143" t="n">
        <f aca="false">'UT4 (1271)'!G70</f>
        <v>419</v>
      </c>
      <c r="AK138" s="148" t="n">
        <f aca="false">'UT1 (1273)'!D174+'UT2 (12334)'!D114+'UT3 (1279)'!D114+'UT3b (1278)'!D58+'UT4 (1271)'!D70</f>
        <v>525105</v>
      </c>
      <c r="AL138" s="149" t="n">
        <f aca="false">AK138/P138</f>
        <v>13770.9024101026</v>
      </c>
      <c r="AM138" s="150" t="n">
        <f aca="false">AK138/SUM(AF138:AJ138)</f>
        <v>25.9991582908353</v>
      </c>
      <c r="AN138" s="150" t="n">
        <f aca="false">AL138/SUM($AF$144:$AJ$144)</f>
        <v>0.855654430850171</v>
      </c>
      <c r="AO138" s="152" t="n">
        <f aca="false">'UT1 (1273)'!H174/SUM(AF138:AJ138)</f>
        <v>0.73817893746596</v>
      </c>
      <c r="AP138" s="148" t="n">
        <f aca="false">1000*SUM(AF138:AJ138)/O138</f>
        <v>20.3818223652077</v>
      </c>
      <c r="AQ138" s="151" t="n">
        <f aca="false">'UT1 (1273)'!I174</f>
        <v>300332</v>
      </c>
      <c r="AR138" s="143" t="n">
        <f aca="false">'UT2 (12334)'!H114</f>
        <v>432708</v>
      </c>
      <c r="AS138" s="143" t="n">
        <f aca="false">'UT3 (1279)'!H114</f>
        <v>747846</v>
      </c>
      <c r="AT138" s="143" t="n">
        <f aca="false">'UT3b (1278)'!H58</f>
        <v>0</v>
      </c>
      <c r="AU138" s="143" t="n">
        <f aca="false">'UT4 (1271)'!H70</f>
        <v>301990</v>
      </c>
      <c r="AV138" s="143" t="n">
        <f aca="false">'Osm.'!F114</f>
        <v>0</v>
      </c>
      <c r="AW138" s="148" t="n">
        <f aca="false">'UT1 (1273)'!E174+'UT2 (12334)'!E114+'UT3 (1279)'!E114+'UT3b (1278)'!E58+'UT4 (1271)'!E70+'Osm.'!E114</f>
        <v>3145061</v>
      </c>
      <c r="AX138" s="149" t="n">
        <f aca="false">AW138/P138</f>
        <v>82479.367183363</v>
      </c>
      <c r="AY138" s="150" t="n">
        <f aca="false">AW138/SUM(AQ138:AV138)</f>
        <v>1.76403799254687</v>
      </c>
      <c r="AZ138" s="152" t="n">
        <f aca="false">SUM(AQ138:AV138)/((1400+2000+3000+2000+1600+2000)*24*30)</f>
        <v>0.206351388888889</v>
      </c>
      <c r="BA138" s="152" t="n">
        <f aca="false">AQ138/(1400*24*30)</f>
        <v>0.297948412698413</v>
      </c>
      <c r="BB138" s="152" t="n">
        <f aca="false">AR138/(2000*24*30)</f>
        <v>0.300491666666667</v>
      </c>
      <c r="BC138" s="152" t="n">
        <f aca="false">(AS138+AT138)/(5000*24*30)</f>
        <v>0.207735</v>
      </c>
      <c r="BD138" s="152" t="n">
        <f aca="false">AU138/(1600*24*30)</f>
        <v>0.262144097222222</v>
      </c>
      <c r="BE138" s="148" t="n">
        <f aca="false">1000*SUM(AQ138:AV138)/O138</f>
        <v>1799.19106457355</v>
      </c>
      <c r="BF138" s="151" t="n">
        <f aca="false">'UT1 (1273)'!J174</f>
        <v>145675</v>
      </c>
      <c r="BG138" s="143" t="n">
        <f aca="false">'UT2 (12334)'!I114</f>
        <v>375144</v>
      </c>
      <c r="BH138" s="143" t="n">
        <f aca="false">'UT3b (1278)'!I58+'UT3 (1279)'!I114</f>
        <v>338515</v>
      </c>
      <c r="BI138" s="143" t="n">
        <f aca="false">'UT4 (1271)'!I70</f>
        <v>183718</v>
      </c>
      <c r="BJ138" s="162" t="n">
        <f aca="false">SUM(BF138:BI138)/SUM(AQ138:AU138)</f>
        <v>0.585039004395146</v>
      </c>
    </row>
    <row r="139" customFormat="false" ht="18.75" hidden="false" customHeight="true" outlineLevel="0" collapsed="false">
      <c r="A139" s="18" t="n">
        <v>2025</v>
      </c>
      <c r="B139" s="18" t="n">
        <v>5</v>
      </c>
      <c r="C139" s="24" t="n">
        <f aca="false">SUM('UT1 (1273)'!C175:E175)</f>
        <v>2696094</v>
      </c>
      <c r="D139" s="24" t="n">
        <f aca="false">SUM('UT2 (12334)'!C115:E115)</f>
        <v>139346</v>
      </c>
      <c r="E139" s="24" t="n">
        <f aca="false">SUM('UT3 (1279)'!C115:E115)</f>
        <v>1851674</v>
      </c>
      <c r="F139" s="24" t="n">
        <f aca="false">SUM('Osm.'!C115:E115)</f>
        <v>0</v>
      </c>
      <c r="G139" s="24" t="n">
        <f aca="false">SUM('UT4 (1271)'!C71:E71)</f>
        <v>392236</v>
      </c>
      <c r="H139" s="25" t="n">
        <f aca="false">SUM('UT3b (1278)'!C59:E59)</f>
        <v>0</v>
      </c>
      <c r="I139" s="161" t="n">
        <v>849</v>
      </c>
      <c r="J139" s="143" t="n">
        <v>89</v>
      </c>
      <c r="K139" s="167" t="n">
        <f aca="false">J139/I139</f>
        <v>0.104829210836278</v>
      </c>
      <c r="L139" s="25" t="n">
        <v>37941847</v>
      </c>
      <c r="M139" s="166" t="n">
        <v>553550</v>
      </c>
      <c r="N139" s="29"/>
      <c r="O139" s="63" t="n">
        <f aca="false">'UT1 (1273)'!O175+'UT2 (12334)'!M115+'UT3 (1279)'!J115+'UT4 (1271)'!M71</f>
        <v>931664</v>
      </c>
      <c r="P139" s="145" t="n">
        <f aca="false">'$'!C162</f>
        <v>38.826157</v>
      </c>
      <c r="Q139" s="35" t="n">
        <f aca="false">100*(SUM(C139:H139)/P139)/M139</f>
        <v>23.6334365985944</v>
      </c>
      <c r="R139" s="35" t="n">
        <f aca="false">100*(L139/P139)/M139</f>
        <v>176.537595461638</v>
      </c>
      <c r="S139" s="146" t="n">
        <f aca="false">SUM(Q139:R139)</f>
        <v>200.171032060232</v>
      </c>
      <c r="T139" s="35" t="n">
        <f aca="false">100*SUM(L139,C139:H139)/O139/P139</f>
        <v>118.932012825377</v>
      </c>
      <c r="U139" s="29" t="n">
        <f aca="false">O139/I139</f>
        <v>1097.36631330978</v>
      </c>
      <c r="V139" s="29" t="n">
        <f aca="false">M139/I139</f>
        <v>652.002355712603</v>
      </c>
      <c r="W139" s="147"/>
      <c r="X139" s="143" t="n">
        <f aca="false">'UT1 (1273)'!F175</f>
        <v>100036</v>
      </c>
      <c r="Y139" s="143" t="n">
        <f aca="false">'UT2 (12334)'!F115</f>
        <v>0</v>
      </c>
      <c r="Z139" s="143" t="n">
        <f aca="false">'UT3 (1279)'!F115</f>
        <v>13319</v>
      </c>
      <c r="AA139" s="143" t="n">
        <f aca="false">'UT4 (1271)'!F71</f>
        <v>1080</v>
      </c>
      <c r="AB139" s="148" t="n">
        <f aca="false">'UT1 (1273)'!C175+'UT2 (12334)'!C115+'UT3 (1279)'!C115+'UT4 (1271)'!C71</f>
        <v>2007410</v>
      </c>
      <c r="AC139" s="149" t="n">
        <f aca="false">AB139/P139</f>
        <v>51702.515909571</v>
      </c>
      <c r="AD139" s="150" t="n">
        <f aca="false">AB139/SUM(X139:AA139)</f>
        <v>17.5419233626076</v>
      </c>
      <c r="AE139" s="148" t="n">
        <f aca="false">1000*SUM(X139:AA139)/O139</f>
        <v>122.828616325199</v>
      </c>
      <c r="AF139" s="151" t="n">
        <f aca="false">'UT1 (1273)'!G175</f>
        <v>17737</v>
      </c>
      <c r="AG139" s="143" t="n">
        <f aca="false">'UT2 (12334)'!G115</f>
        <v>1188</v>
      </c>
      <c r="AH139" s="143" t="n">
        <f aca="false">'UT3 (1279)'!G115</f>
        <v>2467</v>
      </c>
      <c r="AI139" s="143" t="n">
        <f aca="false">'UT3b (1278)'!G59</f>
        <v>0</v>
      </c>
      <c r="AJ139" s="143" t="n">
        <f aca="false">'UT4 (1271)'!G71</f>
        <v>380</v>
      </c>
      <c r="AK139" s="148" t="n">
        <f aca="false">'UT1 (1273)'!D175+'UT2 (12334)'!D115+'UT3 (1279)'!D115+'UT3b (1278)'!D59+'UT4 (1271)'!D71</f>
        <v>548164</v>
      </c>
      <c r="AL139" s="149" t="n">
        <f aca="false">AK139/P139</f>
        <v>14118.4202186171</v>
      </c>
      <c r="AM139" s="150" t="n">
        <f aca="false">AK139/SUM(AF139:AJ139)</f>
        <v>25.1774756568069</v>
      </c>
      <c r="AN139" s="150" t="n">
        <f aca="false">AL139/SUM($AF$144:$AJ$144)</f>
        <v>0.87724743498304</v>
      </c>
      <c r="AO139" s="152" t="n">
        <f aca="false">'UT1 (1273)'!H175/SUM(AF139:AJ139)</f>
        <v>0.726759140180048</v>
      </c>
      <c r="AP139" s="148" t="n">
        <f aca="false">1000*SUM(AF139:AJ139)/O139</f>
        <v>23.3689398753199</v>
      </c>
      <c r="AQ139" s="151" t="n">
        <f aca="false">'UT1 (1273)'!I175</f>
        <v>293856</v>
      </c>
      <c r="AR139" s="143" t="n">
        <f aca="false">'UT2 (12334)'!H115</f>
        <v>457225</v>
      </c>
      <c r="AS139" s="143" t="n">
        <f aca="false">'UT3 (1279)'!H115</f>
        <v>761189</v>
      </c>
      <c r="AT139" s="143" t="n">
        <f aca="false">'UT3b (1278)'!H59</f>
        <v>0</v>
      </c>
      <c r="AU139" s="143" t="n">
        <f aca="false">'UT4 (1271)'!H71</f>
        <v>312401</v>
      </c>
      <c r="AV139" s="143" t="n">
        <f aca="false">'Osm.'!F115</f>
        <v>0</v>
      </c>
      <c r="AW139" s="148" t="n">
        <f aca="false">'UT1 (1273)'!E175+'UT2 (12334)'!E115+'UT3 (1279)'!E115+'UT3b (1278)'!E59+'UT4 (1271)'!E71+'Osm.'!E115</f>
        <v>2523776</v>
      </c>
      <c r="AX139" s="149" t="n">
        <f aca="false">AW139/P139</f>
        <v>65001.9521633315</v>
      </c>
      <c r="AY139" s="150" t="n">
        <f aca="false">AW139/SUM(AQ139:AV139)</f>
        <v>1.38314030310122</v>
      </c>
      <c r="AZ139" s="152" t="n">
        <f aca="false">SUM(AQ139:AV139)/((1400+2000+3000+2000+1600+2000)*24*30)</f>
        <v>0.211188773148148</v>
      </c>
      <c r="BA139" s="152" t="n">
        <f aca="false">AQ139/(1400*24*30)</f>
        <v>0.29152380952381</v>
      </c>
      <c r="BB139" s="152" t="n">
        <f aca="false">AR139/(2000*24*30)</f>
        <v>0.317517361111111</v>
      </c>
      <c r="BC139" s="152" t="n">
        <f aca="false">(AS139+AT139)/(5000*24*30)</f>
        <v>0.211441388888889</v>
      </c>
      <c r="BD139" s="152" t="n">
        <f aca="false">AU139/(1600*24*30)</f>
        <v>0.271181423611111</v>
      </c>
      <c r="BE139" s="148" t="n">
        <f aca="false">1000*SUM(AQ139:AV139)/O139</f>
        <v>1958.50757354583</v>
      </c>
      <c r="BF139" s="151" t="n">
        <f aca="false">'UT1 (1273)'!J175</f>
        <v>177525</v>
      </c>
      <c r="BG139" s="143" t="n">
        <f aca="false">'UT2 (12334)'!I115</f>
        <v>446740</v>
      </c>
      <c r="BH139" s="143" t="n">
        <f aca="false">'UT3b (1278)'!I59+'UT3 (1279)'!I115</f>
        <v>415320</v>
      </c>
      <c r="BI139" s="143" t="n">
        <f aca="false">'UT4 (1271)'!I71</f>
        <v>222481</v>
      </c>
      <c r="BJ139" s="162" t="n">
        <f aca="false">SUM(BF139:BI139)/SUM(AQ139:AU139)</f>
        <v>0.69166770338324</v>
      </c>
    </row>
    <row r="140" customFormat="false" ht="18.75" hidden="false" customHeight="true" outlineLevel="0" collapsed="false">
      <c r="A140" s="18" t="n">
        <v>2025</v>
      </c>
      <c r="B140" s="18" t="n">
        <v>6</v>
      </c>
      <c r="C140" s="24" t="n">
        <f aca="false">SUM('UT1 (1273)'!C176:E176)</f>
        <v>1910971</v>
      </c>
      <c r="D140" s="24" t="n">
        <f aca="false">SUM('UT2 (12334)'!C116:E116)</f>
        <v>137509</v>
      </c>
      <c r="E140" s="24" t="n">
        <f aca="false">SUM('UT3 (1279)'!C116:E116)</f>
        <v>1014155</v>
      </c>
      <c r="F140" s="24" t="n">
        <f aca="false">SUM('Osm.'!C116:E116)</f>
        <v>0</v>
      </c>
      <c r="G140" s="24" t="n">
        <f aca="false">SUM('UT4 (1271)'!C72:E72)</f>
        <v>66801</v>
      </c>
      <c r="H140" s="25" t="n">
        <f aca="false">SUM('UT3b (1278)'!C60:E60)</f>
        <v>0</v>
      </c>
      <c r="I140" s="161" t="n">
        <v>762</v>
      </c>
      <c r="J140" s="143" t="n">
        <v>24</v>
      </c>
      <c r="K140" s="167" t="n">
        <f aca="false">J140/I140</f>
        <v>0.031496062992126</v>
      </c>
      <c r="L140" s="25" t="n">
        <v>38470186</v>
      </c>
      <c r="M140" s="166" t="n">
        <v>449073</v>
      </c>
      <c r="N140" s="29"/>
      <c r="O140" s="63" t="n">
        <f aca="false">'UT1 (1273)'!O176+'UT2 (12334)'!M116+'UT3 (1279)'!J116+'UT4 (1271)'!M72</f>
        <v>749786</v>
      </c>
      <c r="P140" s="145" t="n">
        <f aca="false">'$'!C163</f>
        <v>39.477254</v>
      </c>
      <c r="Q140" s="35" t="n">
        <f aca="false">100*(SUM(C140:H140)/P140)/M140</f>
        <v>17.6523363479021</v>
      </c>
      <c r="R140" s="35" t="n">
        <f aca="false">100*(L140/P140)/M140</f>
        <v>217.000335727701</v>
      </c>
      <c r="S140" s="146" t="n">
        <f aca="false">SUM(Q140:R140)</f>
        <v>234.652672075603</v>
      </c>
      <c r="T140" s="35" t="n">
        <f aca="false">100*SUM(L140,C140:H140)/O140/P140</f>
        <v>140.541673766925</v>
      </c>
      <c r="U140" s="29" t="n">
        <f aca="false">O140/I140</f>
        <v>983.971128608924</v>
      </c>
      <c r="V140" s="29" t="n">
        <f aca="false">M140/I140</f>
        <v>589.334645669291</v>
      </c>
      <c r="W140" s="147"/>
      <c r="X140" s="143" t="n">
        <f aca="false">'UT1 (1273)'!F176</f>
        <v>74920</v>
      </c>
      <c r="Y140" s="143" t="n">
        <f aca="false">'UT2 (12334)'!F116</f>
        <v>0</v>
      </c>
      <c r="Z140" s="143" t="n">
        <f aca="false">'UT3 (1279)'!F116</f>
        <v>9719</v>
      </c>
      <c r="AA140" s="143" t="n">
        <f aca="false">'UT4 (1271)'!F72</f>
        <v>905</v>
      </c>
      <c r="AB140" s="148" t="n">
        <f aca="false">'UT1 (1273)'!C176+'UT2 (12334)'!C116+'UT3 (1279)'!C116+'UT4 (1271)'!C72</f>
        <v>1495765</v>
      </c>
      <c r="AC140" s="149" t="n">
        <f aca="false">AB140/P140</f>
        <v>37889.2868283088</v>
      </c>
      <c r="AD140" s="150" t="n">
        <f aca="false">AB140/SUM(X140:AA140)</f>
        <v>17.4853291873188</v>
      </c>
      <c r="AE140" s="148" t="n">
        <f aca="false">1000*SUM(X140:AA140)/O140</f>
        <v>114.091220694972</v>
      </c>
      <c r="AF140" s="151" t="n">
        <f aca="false">'UT1 (1273)'!G176</f>
        <v>13105</v>
      </c>
      <c r="AG140" s="143" t="n">
        <f aca="false">'UT2 (12334)'!G116</f>
        <v>994</v>
      </c>
      <c r="AH140" s="143" t="n">
        <f aca="false">'UT3 (1279)'!G116</f>
        <v>1595</v>
      </c>
      <c r="AI140" s="143" t="n">
        <f aca="false">'UT3b (1278)'!G60</f>
        <v>0</v>
      </c>
      <c r="AJ140" s="143" t="n">
        <f aca="false">'UT4 (1271)'!G72</f>
        <v>331</v>
      </c>
      <c r="AK140" s="148" t="n">
        <f aca="false">'UT1 (1273)'!D176+'UT2 (12334)'!D116+'UT3 (1279)'!D116+'UT3b (1278)'!D60+'UT4 (1271)'!D72</f>
        <v>437899</v>
      </c>
      <c r="AL140" s="149" t="n">
        <f aca="false">AK140/P140</f>
        <v>11092.4381923829</v>
      </c>
      <c r="AM140" s="150" t="n">
        <f aca="false">AK140/SUM(AF140:AJ140)</f>
        <v>27.3259906396256</v>
      </c>
      <c r="AN140" s="150" t="n">
        <f aca="false">AL140/SUM($AF$144:$AJ$144)</f>
        <v>0.689228171516272</v>
      </c>
      <c r="AO140" s="152" t="n">
        <f aca="false">'UT1 (1273)'!H176/SUM(AF140:AJ140)</f>
        <v>0.736973478939158</v>
      </c>
      <c r="AP140" s="148" t="n">
        <f aca="false">1000*SUM(AF140:AJ140)/O140</f>
        <v>21.3727650289549</v>
      </c>
      <c r="AQ140" s="151" t="n">
        <f aca="false">'UT1 (1273)'!I176</f>
        <v>252310</v>
      </c>
      <c r="AR140" s="143" t="n">
        <f aca="false">'UT2 (12334)'!H116</f>
        <v>333481</v>
      </c>
      <c r="AS140" s="143" t="n">
        <f aca="false">'UT3 (1279)'!H116</f>
        <v>642418</v>
      </c>
      <c r="AT140" s="143" t="n">
        <f aca="false">'UT3b (1278)'!H60</f>
        <v>0</v>
      </c>
      <c r="AU140" s="143" t="n">
        <f aca="false">'UT4 (1271)'!H72</f>
        <v>249079</v>
      </c>
      <c r="AV140" s="143" t="n">
        <f aca="false">'Osm.'!F116</f>
        <v>0</v>
      </c>
      <c r="AW140" s="148" t="n">
        <f aca="false">'UT1 (1273)'!E176+'UT2 (12334)'!E116+'UT3 (1279)'!E116+'UT3b (1278)'!E60+'UT4 (1271)'!E72+'Osm.'!E116</f>
        <v>1195772</v>
      </c>
      <c r="AX140" s="149" t="n">
        <f aca="false">AW140/P140</f>
        <v>30290.1513869227</v>
      </c>
      <c r="AY140" s="150" t="n">
        <f aca="false">AW140/SUM(AQ140:AV140)</f>
        <v>0.809437293202138</v>
      </c>
      <c r="AZ140" s="152" t="n">
        <f aca="false">SUM(AQ140:AV140)/((1400+2000+3000+2000+1600+2000)*24*30)</f>
        <v>0.170982407407407</v>
      </c>
      <c r="BA140" s="152" t="n">
        <f aca="false">AQ140/(1400*24*30)</f>
        <v>0.25030753968254</v>
      </c>
      <c r="BB140" s="152" t="n">
        <f aca="false">AR140/(2000*24*30)</f>
        <v>0.231584027777778</v>
      </c>
      <c r="BC140" s="152" t="n">
        <f aca="false">(AS140+AT140)/(5000*24*30)</f>
        <v>0.178449444444444</v>
      </c>
      <c r="BD140" s="152" t="n">
        <f aca="false">AU140/(1600*24*30)</f>
        <v>0.216214409722222</v>
      </c>
      <c r="BE140" s="148" t="n">
        <f aca="false">1000*SUM(AQ140:AV140)/O140</f>
        <v>1970.2795197563</v>
      </c>
      <c r="BF140" s="151" t="n">
        <f aca="false">'UT1 (1273)'!J176</f>
        <v>195864</v>
      </c>
      <c r="BG140" s="143" t="n">
        <f aca="false">'UT2 (12334)'!I116</f>
        <v>433734</v>
      </c>
      <c r="BH140" s="143" t="n">
        <f aca="false">'UT3b (1278)'!I60+'UT3 (1279)'!I116</f>
        <v>474248</v>
      </c>
      <c r="BI140" s="143" t="n">
        <f aca="false">'UT4 (1271)'!I72</f>
        <v>256567</v>
      </c>
      <c r="BJ140" s="162" t="n">
        <f aca="false">SUM(BF140:BI140)/SUM(AQ140:AU140)</f>
        <v>0.92088543330752</v>
      </c>
    </row>
    <row r="141" customFormat="false" ht="18.75" hidden="false" customHeight="true" outlineLevel="0" collapsed="false">
      <c r="A141" s="18" t="n">
        <v>2025</v>
      </c>
      <c r="B141" s="18" t="n">
        <v>7</v>
      </c>
      <c r="C141" s="24" t="n">
        <f aca="false">SUM('UT1 (1273)'!C177:E177)</f>
        <v>2645417</v>
      </c>
      <c r="D141" s="24" t="n">
        <f aca="false">SUM('UT2 (12334)'!C117:E117)</f>
        <v>121516</v>
      </c>
      <c r="E141" s="24" t="n">
        <f aca="false">SUM('UT3 (1279)'!C117:E117)</f>
        <v>2072858</v>
      </c>
      <c r="F141" s="24" t="n">
        <f aca="false">SUM('Osm.'!C117:E117)</f>
        <v>0</v>
      </c>
      <c r="G141" s="24" t="n">
        <f aca="false">SUM('UT4 (1271)'!C73:E73)</f>
        <v>252526</v>
      </c>
      <c r="H141" s="25" t="n">
        <f aca="false">SUM('UT3b (1278)'!C61:E61)</f>
        <v>0</v>
      </c>
      <c r="I141" s="161" t="n">
        <v>738</v>
      </c>
      <c r="J141" s="143" t="n">
        <v>38</v>
      </c>
      <c r="K141" s="167" t="n">
        <f aca="false">J141/I141</f>
        <v>0.0514905149051491</v>
      </c>
      <c r="L141" s="25" t="n">
        <v>38925651</v>
      </c>
      <c r="M141" s="166" t="n">
        <v>524561</v>
      </c>
      <c r="N141" s="29"/>
      <c r="O141" s="63" t="n">
        <f aca="false">'UT1 (1273)'!O177+'UT2 (12334)'!M117+'UT3 (1279)'!J117+'UT4 (1271)'!M73</f>
        <v>834905</v>
      </c>
      <c r="P141" s="145" t="n">
        <f aca="false">'$'!C164</f>
        <v>40.244021</v>
      </c>
      <c r="Q141" s="35" t="n">
        <f aca="false">100*(SUM(C141:H141)/P141)/M141</f>
        <v>24.122263957002</v>
      </c>
      <c r="R141" s="35" t="n">
        <f aca="false">100*(L141/P141)/M141</f>
        <v>184.390490246412</v>
      </c>
      <c r="S141" s="146" t="n">
        <f aca="false">SUM(Q141:R141)</f>
        <v>208.512754203414</v>
      </c>
      <c r="T141" s="35" t="n">
        <f aca="false">100*SUM(L141,C141:H141)/O141/P141</f>
        <v>131.00611309993</v>
      </c>
      <c r="U141" s="29" t="n">
        <f aca="false">O141/I141</f>
        <v>1131.30758807588</v>
      </c>
      <c r="V141" s="29" t="n">
        <f aca="false">M141/I141</f>
        <v>710.787262872629</v>
      </c>
      <c r="W141" s="147"/>
      <c r="X141" s="143" t="n">
        <f aca="false">'UT1 (1273)'!F177</f>
        <v>89161</v>
      </c>
      <c r="Y141" s="143" t="n">
        <f aca="false">'UT2 (12334)'!F117</f>
        <v>0</v>
      </c>
      <c r="Z141" s="143" t="n">
        <f aca="false">'UT3 (1279)'!F117</f>
        <v>13545</v>
      </c>
      <c r="AA141" s="143" t="n">
        <f aca="false">'UT4 (1271)'!F73</f>
        <v>1221</v>
      </c>
      <c r="AB141" s="148" t="n">
        <f aca="false">'UT1 (1273)'!C177+'UT2 (12334)'!C117+'UT3 (1279)'!C117+'UT4 (1271)'!C73</f>
        <v>1961496</v>
      </c>
      <c r="AC141" s="149" t="n">
        <f aca="false">AB141/P141</f>
        <v>48740.0600451928</v>
      </c>
      <c r="AD141" s="150" t="n">
        <f aca="false">AB141/SUM(X141:AA141)</f>
        <v>18.873786407767</v>
      </c>
      <c r="AE141" s="148" t="n">
        <f aca="false">1000*SUM(X141:AA141)/O141</f>
        <v>124.47763518005</v>
      </c>
      <c r="AF141" s="151" t="n">
        <f aca="false">'UT1 (1273)'!G177</f>
        <v>17922</v>
      </c>
      <c r="AG141" s="143" t="n">
        <f aca="false">'UT2 (12334)'!G117</f>
        <v>836</v>
      </c>
      <c r="AH141" s="143" t="n">
        <f aca="false">'UT3 (1279)'!G117</f>
        <v>1682</v>
      </c>
      <c r="AI141" s="143" t="n">
        <f aca="false">'UT3b (1278)'!G61</f>
        <v>0</v>
      </c>
      <c r="AJ141" s="143" t="n">
        <f aca="false">'UT4 (1271)'!G73</f>
        <v>398</v>
      </c>
      <c r="AK141" s="148" t="n">
        <f aca="false">'UT1 (1273)'!D177+'UT2 (12334)'!D117+'UT3 (1279)'!D117+'UT3b (1278)'!D61+'UT4 (1271)'!D73</f>
        <v>519439</v>
      </c>
      <c r="AL141" s="149" t="n">
        <f aca="false">AK141/P141</f>
        <v>12907.2340957182</v>
      </c>
      <c r="AM141" s="150" t="n">
        <f aca="false">AK141/SUM(AF141:AJ141)</f>
        <v>24.9274882426336</v>
      </c>
      <c r="AN141" s="150" t="n">
        <f aca="false">AL141/SUM($AF$144:$AJ$144)</f>
        <v>0.80199043716405</v>
      </c>
      <c r="AO141" s="152" t="n">
        <f aca="false">'UT1 (1273)'!H177/SUM(AF141:AJ141)</f>
        <v>0.727277089931855</v>
      </c>
      <c r="AP141" s="148" t="n">
        <f aca="false">1000*SUM(AF141:AJ141)/O141</f>
        <v>24.958528215785</v>
      </c>
      <c r="AQ141" s="151" t="n">
        <f aca="false">'UT1 (1273)'!I177</f>
        <v>297292</v>
      </c>
      <c r="AR141" s="143" t="n">
        <f aca="false">'UT2 (12334)'!H117</f>
        <v>369203</v>
      </c>
      <c r="AS141" s="143" t="n">
        <f aca="false">'UT3 (1279)'!H117</f>
        <v>798784</v>
      </c>
      <c r="AT141" s="143" t="n">
        <f aca="false">'UT3b (1278)'!H61</f>
        <v>0</v>
      </c>
      <c r="AU141" s="143" t="n">
        <f aca="false">'UT4 (1271)'!H73</f>
        <v>268249</v>
      </c>
      <c r="AV141" s="143" t="n">
        <f aca="false">'Osm.'!F117</f>
        <v>0</v>
      </c>
      <c r="AW141" s="148" t="n">
        <f aca="false">'UT1 (1273)'!E177+'UT2 (12334)'!E117+'UT3 (1279)'!E117+'UT3b (1278)'!E61+'UT4 (1271)'!E73+'Osm.'!E117</f>
        <v>2611382</v>
      </c>
      <c r="AX141" s="149" t="n">
        <f aca="false">AW141/P141</f>
        <v>64888.6948945783</v>
      </c>
      <c r="AY141" s="150" t="n">
        <f aca="false">AW141/SUM(AQ141:AV141)</f>
        <v>1.50639735845051</v>
      </c>
      <c r="AZ141" s="152" t="n">
        <f aca="false">SUM(AQ141:AV141)/((1400+2000+3000+2000+1600+2000)*24*30)</f>
        <v>0.200639814814815</v>
      </c>
      <c r="BA141" s="152" t="n">
        <f aca="false">AQ141/(1400*24*30)</f>
        <v>0.29493253968254</v>
      </c>
      <c r="BB141" s="152" t="n">
        <f aca="false">AR141/(2000*24*30)</f>
        <v>0.256390972222222</v>
      </c>
      <c r="BC141" s="152" t="n">
        <f aca="false">(AS141+AT141)/(5000*24*30)</f>
        <v>0.221884444444444</v>
      </c>
      <c r="BD141" s="152" t="n">
        <f aca="false">AU141/(1600*24*30)</f>
        <v>0.232855034722222</v>
      </c>
      <c r="BE141" s="148" t="n">
        <f aca="false">1000*SUM(AQ141:AV141)/O141</f>
        <v>2076.31766488403</v>
      </c>
      <c r="BF141" s="151" t="n">
        <f aca="false">'UT1 (1273)'!J177</f>
        <v>176028</v>
      </c>
      <c r="BG141" s="143" t="n">
        <f aca="false">'UT2 (12334)'!I117</f>
        <v>453293</v>
      </c>
      <c r="BH141" s="143" t="n">
        <f aca="false">'UT3b (1278)'!I61+'UT3 (1279)'!I117</f>
        <v>407930</v>
      </c>
      <c r="BI141" s="143" t="n">
        <f aca="false">'UT4 (1271)'!I73</f>
        <v>224547</v>
      </c>
      <c r="BJ141" s="162" t="n">
        <f aca="false">SUM(BF141:BI141)/SUM(AQ141:AU141)</f>
        <v>0.727878638245243</v>
      </c>
    </row>
    <row r="142" customFormat="false" ht="18.75" hidden="false" customHeight="true" outlineLevel="0" collapsed="false">
      <c r="A142" s="18" t="n">
        <v>2025</v>
      </c>
      <c r="B142" s="18" t="n">
        <v>8</v>
      </c>
      <c r="C142" s="24" t="n">
        <f aca="false">SUM('UT1 (1273)'!C178:E178)</f>
        <v>2370771</v>
      </c>
      <c r="D142" s="24" t="n">
        <f aca="false">SUM('UT2 (12334)'!C118:E118)</f>
        <v>81403</v>
      </c>
      <c r="E142" s="24" t="n">
        <f aca="false">SUM('UT3 (1279)'!C118:E118)</f>
        <v>2274289</v>
      </c>
      <c r="F142" s="24" t="n">
        <f aca="false">SUM('Osm.'!C118:E118)</f>
        <v>0</v>
      </c>
      <c r="G142" s="24" t="n">
        <f aca="false">SUM('UT4 (1271)'!C74:E74)</f>
        <v>248012</v>
      </c>
      <c r="H142" s="25" t="n">
        <f aca="false">SUM('UT3b (1278)'!C62:E62)</f>
        <v>0</v>
      </c>
      <c r="I142" s="161" t="n">
        <v>707</v>
      </c>
      <c r="J142" s="143" t="n">
        <v>16</v>
      </c>
      <c r="K142" s="167" t="n">
        <f aca="false">J142/I142</f>
        <v>0.0226308345120226</v>
      </c>
      <c r="L142" s="25" t="n">
        <v>34471586</v>
      </c>
      <c r="M142" s="166" t="n">
        <v>512432</v>
      </c>
      <c r="N142" s="29"/>
      <c r="O142" s="63" t="n">
        <f aca="false">'UT1 (1273)'!O178+'UT2 (12334)'!M118+'UT3 (1279)'!J118+'UT4 (1271)'!M74</f>
        <v>774949</v>
      </c>
      <c r="P142" s="145" t="n">
        <f aca="false">'$'!C165</f>
        <v>40.85612</v>
      </c>
      <c r="Q142" s="35" t="n">
        <f aca="false">100*(SUM(C142:H142)/P142)/M142</f>
        <v>23.7604077752569</v>
      </c>
      <c r="R142" s="35" t="n">
        <f aca="false">100*(L142/P142)/M142</f>
        <v>164.652338190429</v>
      </c>
      <c r="S142" s="146" t="n">
        <f aca="false">SUM(Q142:R142)</f>
        <v>188.412745965686</v>
      </c>
      <c r="T142" s="35" t="n">
        <f aca="false">100*SUM(L142,C142:H142)/O142/P142</f>
        <v>124.587192500008</v>
      </c>
      <c r="U142" s="29" t="n">
        <f aca="false">O142/I142</f>
        <v>1096.10891089109</v>
      </c>
      <c r="V142" s="29" t="n">
        <f aca="false">M142/I142</f>
        <v>724.797736916549</v>
      </c>
      <c r="W142" s="147"/>
      <c r="X142" s="143" t="n">
        <f aca="false">'UT1 (1273)'!F178</f>
        <v>74991</v>
      </c>
      <c r="Y142" s="143" t="n">
        <f aca="false">'UT2 (12334)'!F118</f>
        <v>0</v>
      </c>
      <c r="Z142" s="143" t="n">
        <f aca="false">'UT3 (1279)'!F118</f>
        <v>12336</v>
      </c>
      <c r="AA142" s="143" t="n">
        <f aca="false">'UT4 (1271)'!F74</f>
        <v>1146</v>
      </c>
      <c r="AB142" s="148" t="n">
        <f aca="false">'UT1 (1273)'!C178+'UT2 (12334)'!C118+'UT3 (1279)'!C118+'UT4 (1271)'!C74</f>
        <v>1676726</v>
      </c>
      <c r="AC142" s="149" t="n">
        <f aca="false">AB142/P142</f>
        <v>41039.7756810975</v>
      </c>
      <c r="AD142" s="150" t="n">
        <f aca="false">AB142/SUM(X142:AA142)</f>
        <v>18.9518384139794</v>
      </c>
      <c r="AE142" s="148" t="n">
        <f aca="false">1000*SUM(X142:AA142)/O142</f>
        <v>114.16622255142</v>
      </c>
      <c r="AF142" s="151" t="n">
        <f aca="false">'UT1 (1273)'!G178</f>
        <v>13643</v>
      </c>
      <c r="AG142" s="143" t="n">
        <f aca="false">'UT2 (12334)'!G118</f>
        <v>815</v>
      </c>
      <c r="AH142" s="143" t="n">
        <f aca="false">'UT3 (1279)'!G118</f>
        <v>2948</v>
      </c>
      <c r="AI142" s="143" t="n">
        <f aca="false">'UT3b (1278)'!G62</f>
        <v>0</v>
      </c>
      <c r="AJ142" s="143" t="n">
        <f aca="false">'UT4 (1271)'!G74</f>
        <v>455</v>
      </c>
      <c r="AK142" s="148" t="n">
        <f aca="false">'UT1 (1273)'!D178+'UT2 (12334)'!D118+'UT3 (1279)'!D118+'UT3b (1278)'!D62+'UT4 (1271)'!D74</f>
        <v>493384</v>
      </c>
      <c r="AL142" s="149" t="n">
        <f aca="false">AK142/P142</f>
        <v>12076.134493437</v>
      </c>
      <c r="AM142" s="150" t="n">
        <f aca="false">AK142/SUM(AF142:AJ142)</f>
        <v>27.6235373159398</v>
      </c>
      <c r="AN142" s="150" t="n">
        <f aca="false">AL142/SUM($AF$144:$AJ$144)</f>
        <v>0.750350099008138</v>
      </c>
      <c r="AO142" s="152" t="n">
        <f aca="false">'UT1 (1273)'!H178/SUM(AF142:AJ142)</f>
        <v>0.726443088292929</v>
      </c>
      <c r="AP142" s="148" t="n">
        <f aca="false">1000*SUM(AF142:AJ142)/O142</f>
        <v>23.0479683179151</v>
      </c>
      <c r="AQ142" s="151" t="n">
        <f aca="false">'UT1 (1273)'!I178</f>
        <v>275976</v>
      </c>
      <c r="AR142" s="143" t="n">
        <f aca="false">'UT2 (12334)'!H118</f>
        <v>357381</v>
      </c>
      <c r="AS142" s="143" t="n">
        <f aca="false">'UT3 (1279)'!H118</f>
        <v>773651</v>
      </c>
      <c r="AT142" s="143" t="n">
        <f aca="false">'UT3b (1278)'!H62</f>
        <v>0</v>
      </c>
      <c r="AU142" s="143" t="n">
        <f aca="false">'UT4 (1271)'!H74</f>
        <v>215871</v>
      </c>
      <c r="AV142" s="143" t="n">
        <f aca="false">'Osm.'!F118</f>
        <v>0</v>
      </c>
      <c r="AW142" s="148" t="n">
        <f aca="false">'UT1 (1273)'!E178+'UT2 (12334)'!E118+'UT3 (1279)'!E118+'UT3b (1278)'!E62+'UT4 (1271)'!E74+'Osm.'!E118</f>
        <v>2804365</v>
      </c>
      <c r="AX142" s="149" t="n">
        <f aca="false">AW142/P142</f>
        <v>68640.0225963699</v>
      </c>
      <c r="AY142" s="150" t="n">
        <f aca="false">AW142/SUM(AQ142:AV142)</f>
        <v>1.72801853989114</v>
      </c>
      <c r="AZ142" s="152" t="n">
        <f aca="false">SUM(AQ142:AV142)/((1400+2000+3000+2000+1600+2000)*24*30)</f>
        <v>0.187833217592593</v>
      </c>
      <c r="BA142" s="152" t="n">
        <f aca="false">AQ142/(1400*24*30)</f>
        <v>0.273785714285714</v>
      </c>
      <c r="BB142" s="152" t="n">
        <f aca="false">AR142/(2000*24*30)</f>
        <v>0.24818125</v>
      </c>
      <c r="BC142" s="152" t="n">
        <f aca="false">(AS142+AT142)/(5000*24*30)</f>
        <v>0.214903055555556</v>
      </c>
      <c r="BD142" s="152" t="n">
        <f aca="false">AU142/(1600*24*30)</f>
        <v>0.187388020833333</v>
      </c>
      <c r="BE142" s="148" t="n">
        <f aca="false">1000*SUM(AQ142:AV142)/O142</f>
        <v>2094.17522959575</v>
      </c>
      <c r="BF142" s="151" t="n">
        <f aca="false">'UT1 (1273)'!J178</f>
        <v>141032</v>
      </c>
      <c r="BG142" s="143" t="n">
        <f aca="false">'UT2 (12334)'!I118</f>
        <v>373401</v>
      </c>
      <c r="BH142" s="143" t="n">
        <f aca="false">'UT3b (1278)'!I62+'UT3 (1279)'!I118</f>
        <v>328482</v>
      </c>
      <c r="BI142" s="143" t="n">
        <f aca="false">'UT4 (1271)'!I74</f>
        <v>171657</v>
      </c>
      <c r="BJ142" s="162" t="n">
        <f aca="false">SUM(BF142:BI142)/SUM(AQ142:AU142)</f>
        <v>0.625167988494521</v>
      </c>
    </row>
    <row r="143" customFormat="false" ht="18.75" hidden="false" customHeight="true" outlineLevel="0" collapsed="false">
      <c r="A143" s="18" t="n">
        <v>2025</v>
      </c>
      <c r="B143" s="18" t="n">
        <v>9</v>
      </c>
      <c r="C143" s="24" t="n">
        <f aca="false">SUM('UT1 (1273)'!C179:E179)</f>
        <v>2887363</v>
      </c>
      <c r="D143" s="24" t="n">
        <f aca="false">SUM('UT2 (12334)'!C119:E119)</f>
        <v>375911</v>
      </c>
      <c r="E143" s="24" t="n">
        <f aca="false">SUM('UT3 (1279)'!C119:E119)</f>
        <v>2303855</v>
      </c>
      <c r="F143" s="24" t="n">
        <f aca="false">SUM('Osm.'!C119:E119)</f>
        <v>0</v>
      </c>
      <c r="G143" s="24" t="n">
        <f aca="false">SUM('UT4 (1271)'!C75:E75)</f>
        <v>453614</v>
      </c>
      <c r="H143" s="25" t="n">
        <f aca="false">SUM('UT3b (1278)'!C63:E63)</f>
        <v>0</v>
      </c>
      <c r="I143" s="161" t="n">
        <v>716</v>
      </c>
      <c r="J143" s="143" t="n">
        <v>22</v>
      </c>
      <c r="K143" s="167" t="n">
        <f aca="false">J143/I143</f>
        <v>0.0307262569832402</v>
      </c>
      <c r="L143" s="25" t="n">
        <v>32698353</v>
      </c>
      <c r="M143" s="166" t="n">
        <v>557215</v>
      </c>
      <c r="N143" s="29"/>
      <c r="O143" s="63" t="n">
        <f aca="false">'UT1 (1273)'!O179+'UT2 (12334)'!M119+'UT3 (1279)'!J119+'UT4 (1271)'!M75</f>
        <v>864432</v>
      </c>
      <c r="P143" s="145" t="n">
        <f aca="false">'$'!C166</f>
        <v>41.347521</v>
      </c>
      <c r="Q143" s="35" t="n">
        <f aca="false">100*(SUM(C143:H143)/P143)/M143</f>
        <v>26.1323107563848</v>
      </c>
      <c r="R143" s="35" t="n">
        <f aca="false">100*(L143/P143)/M143</f>
        <v>141.923267911945</v>
      </c>
      <c r="S143" s="146" t="n">
        <f aca="false">SUM(Q143:R143)</f>
        <v>168.05557866833</v>
      </c>
      <c r="T143" s="35" t="n">
        <f aca="false">100*SUM(L143,C143:H143)/O143/P143</f>
        <v>108.329040650593</v>
      </c>
      <c r="U143" s="29" t="n">
        <f aca="false">O143/I143</f>
        <v>1207.30726256983</v>
      </c>
      <c r="V143" s="29" t="n">
        <f aca="false">M143/I143</f>
        <v>778.233240223464</v>
      </c>
      <c r="W143" s="147"/>
      <c r="X143" s="143" t="n">
        <f aca="false">'UT1 (1273)'!F179</f>
        <v>92944</v>
      </c>
      <c r="Y143" s="143" t="n">
        <f aca="false">'UT2 (12334)'!F119</f>
        <v>0</v>
      </c>
      <c r="Z143" s="143" t="n">
        <f aca="false">'UT3 (1279)'!F119</f>
        <v>12472</v>
      </c>
      <c r="AA143" s="143" t="n">
        <f aca="false">'UT4 (1271)'!F75</f>
        <v>1044</v>
      </c>
      <c r="AB143" s="148" t="n">
        <f aca="false">'UT1 (1273)'!C179+'UT2 (12334)'!C119+'UT3 (1279)'!C119+'UT4 (1271)'!C75</f>
        <v>2053755</v>
      </c>
      <c r="AC143" s="149" t="n">
        <f aca="false">AB143/P143</f>
        <v>49670.5715440594</v>
      </c>
      <c r="AD143" s="150" t="n">
        <f aca="false">AB143/SUM(X143:AA143)</f>
        <v>19.2913300770242</v>
      </c>
      <c r="AE143" s="148" t="n">
        <f aca="false">1000*SUM(X143:AA143)/O143</f>
        <v>123.1560145853</v>
      </c>
      <c r="AF143" s="151" t="n">
        <f aca="false">'UT1 (1273)'!G179</f>
        <v>15271</v>
      </c>
      <c r="AG143" s="143" t="n">
        <f aca="false">'UT2 (12334)'!G119</f>
        <v>667</v>
      </c>
      <c r="AH143" s="143" t="n">
        <f aca="false">'UT3 (1279)'!G119</f>
        <v>2197</v>
      </c>
      <c r="AI143" s="143" t="n">
        <f aca="false">'UT3b (1278)'!G63</f>
        <v>0</v>
      </c>
      <c r="AJ143" s="143" t="n">
        <f aca="false">'UT4 (1271)'!G75</f>
        <v>351</v>
      </c>
      <c r="AK143" s="148" t="n">
        <f aca="false">'UT1 (1273)'!D179+'UT2 (12334)'!D119+'UT3 (1279)'!D119+'UT3b (1278)'!D63+'UT4 (1271)'!D75</f>
        <v>467999</v>
      </c>
      <c r="AL143" s="149" t="n">
        <f aca="false">AK143/P143</f>
        <v>11318.6713176831</v>
      </c>
      <c r="AM143" s="150" t="n">
        <f aca="false">AK143/SUM(AF143:AJ143)</f>
        <v>25.3164016012117</v>
      </c>
      <c r="AN143" s="150" t="n">
        <f aca="false">AL143/SUM($AF$144:$AJ$144)</f>
        <v>0.703285157057482</v>
      </c>
      <c r="AO143" s="152" t="n">
        <f aca="false">'UT1 (1273)'!H179/SUM(AF143:AJ143)</f>
        <v>0.705074110137401</v>
      </c>
      <c r="AP143" s="148" t="n">
        <f aca="false">1000*SUM(AF143:AJ143)/O143</f>
        <v>21.3851407629519</v>
      </c>
      <c r="AQ143" s="151" t="n">
        <f aca="false">'UT1 (1273)'!I179</f>
        <v>285211</v>
      </c>
      <c r="AR143" s="143" t="n">
        <f aca="false">'UT2 (12334)'!H119</f>
        <v>382056</v>
      </c>
      <c r="AS143" s="143" t="n">
        <f aca="false">'UT3 (1279)'!H119</f>
        <v>730525</v>
      </c>
      <c r="AT143" s="143" t="n">
        <f aca="false">'UT3b (1278)'!H63</f>
        <v>0</v>
      </c>
      <c r="AU143" s="143" t="n">
        <f aca="false">'UT4 (1271)'!H75</f>
        <v>233217</v>
      </c>
      <c r="AV143" s="143" t="n">
        <f aca="false">'Osm.'!F119</f>
        <v>0</v>
      </c>
      <c r="AW143" s="148" t="n">
        <f aca="false">'UT1 (1273)'!E179+'UT2 (12334)'!E119+'UT3 (1279)'!E119+'UT3b (1278)'!E63+'UT4 (1271)'!E75+'Osm.'!E119</f>
        <v>3498989</v>
      </c>
      <c r="AX143" s="149" t="n">
        <f aca="false">AW143/P143</f>
        <v>84623.9125194471</v>
      </c>
      <c r="AY143" s="150" t="n">
        <f aca="false">AW143/SUM(AQ143:AV143)</f>
        <v>2.14529104376493</v>
      </c>
      <c r="AZ143" s="152" t="n">
        <f aca="false">SUM(AQ143:AV143)/((1400+2000+3000+2000+1600+2000)*24*30)</f>
        <v>0.188774189814815</v>
      </c>
      <c r="BA143" s="152" t="n">
        <f aca="false">AQ143/(1400*24*30)</f>
        <v>0.282947420634921</v>
      </c>
      <c r="BB143" s="152" t="n">
        <f aca="false">AR143/(2000*24*30)</f>
        <v>0.265316666666667</v>
      </c>
      <c r="BC143" s="152" t="n">
        <f aca="false">(AS143+AT143)/(5000*24*30)</f>
        <v>0.202923611111111</v>
      </c>
      <c r="BD143" s="152" t="n">
        <f aca="false">AU143/(1600*24*30)</f>
        <v>0.2024453125</v>
      </c>
      <c r="BE143" s="148" t="n">
        <f aca="false">1000*SUM(AQ143:AV143)/O143</f>
        <v>1886.7984988987</v>
      </c>
      <c r="BF143" s="151" t="n">
        <f aca="false">'UT1 (1273)'!J179</f>
        <v>116050</v>
      </c>
      <c r="BG143" s="143" t="n">
        <f aca="false">'UT2 (12334)'!I119</f>
        <v>309369</v>
      </c>
      <c r="BH143" s="143" t="n">
        <f aca="false">'UT3b (1278)'!I63+'UT3 (1279)'!I119</f>
        <v>265851</v>
      </c>
      <c r="BI143" s="143" t="n">
        <f aca="false">'UT4 (1271)'!I75</f>
        <v>137961</v>
      </c>
      <c r="BJ143" s="162" t="n">
        <f aca="false">SUM(BF143:BI143)/SUM(AQ143:AU143)</f>
        <v>0.508415956012505</v>
      </c>
    </row>
    <row r="144" customFormat="false" ht="18.75" hidden="false" customHeight="true" outlineLevel="0" collapsed="false">
      <c r="A144" s="18" t="n">
        <v>2025</v>
      </c>
      <c r="B144" s="18" t="n">
        <v>10</v>
      </c>
      <c r="C144" s="24" t="n">
        <f aca="false">SUM('UT1 (1273)'!C180:E180)</f>
        <v>2922131</v>
      </c>
      <c r="D144" s="24" t="n">
        <f aca="false">SUM('UT2 (12334)'!C120:E120)</f>
        <v>811769</v>
      </c>
      <c r="E144" s="24" t="n">
        <f aca="false">SUM('UT3 (1279)'!C120:E120)</f>
        <v>1840890</v>
      </c>
      <c r="F144" s="24" t="n">
        <f aca="false">SUM('Osm.'!C120:E120)</f>
        <v>0</v>
      </c>
      <c r="G144" s="24" t="n">
        <f aca="false">SUM('UT4 (1271)'!C76:E76)</f>
        <v>455863</v>
      </c>
      <c r="H144" s="25" t="n">
        <f aca="false">SUM('UT3b (1278)'!C64:E64)</f>
        <v>0</v>
      </c>
      <c r="I144" s="161"/>
      <c r="J144" s="143"/>
      <c r="K144" s="167" t="e">
        <f aca="false">J144/I144</f>
        <v>#DIV/0!</v>
      </c>
      <c r="L144" s="25"/>
      <c r="M144" s="166" t="n">
        <v>537705</v>
      </c>
      <c r="N144" s="29"/>
      <c r="O144" s="63" t="n">
        <f aca="false">'UT1 (1273)'!O180+'UT2 (12334)'!M120+'UT3 (1279)'!J120+'UT4 (1271)'!M76</f>
        <v>925369</v>
      </c>
      <c r="P144" s="145" t="n">
        <f aca="false">'$'!C167</f>
        <v>41.847826</v>
      </c>
      <c r="Q144" s="35" t="n">
        <f aca="false">100*(SUM(C144:H144)/P144)/M144</f>
        <v>26.8007756946278</v>
      </c>
      <c r="R144" s="35" t="n">
        <f aca="false">100*(L144/P144)/M144</f>
        <v>0</v>
      </c>
      <c r="S144" s="146" t="n">
        <f aca="false">SUM(Q144:R144)</f>
        <v>26.8007756946278</v>
      </c>
      <c r="T144" s="35" t="n">
        <f aca="false">100*SUM(L144,C144:H144)/O144/P144</f>
        <v>15.5731509212863</v>
      </c>
      <c r="U144" s="29" t="e">
        <f aca="false">O144/I144</f>
        <v>#DIV/0!</v>
      </c>
      <c r="V144" s="29" t="e">
        <f aca="false">M144/I144</f>
        <v>#DIV/0!</v>
      </c>
      <c r="W144" s="147"/>
      <c r="X144" s="143" t="n">
        <f aca="false">'UT1 (1273)'!F180</f>
        <v>92944</v>
      </c>
      <c r="Y144" s="143" t="n">
        <f aca="false">'UT2 (12334)'!F120</f>
        <v>0</v>
      </c>
      <c r="Z144" s="143" t="n">
        <f aca="false">'UT3 (1279)'!F120</f>
        <v>13594</v>
      </c>
      <c r="AA144" s="143" t="n">
        <f aca="false">'UT4 (1271)'!F76</f>
        <v>1187</v>
      </c>
      <c r="AB144" s="148" t="n">
        <f aca="false">'UT1 (1273)'!C180+'UT2 (12334)'!C120+'UT3 (1279)'!C120+'UT4 (1271)'!C76</f>
        <v>2077802</v>
      </c>
      <c r="AC144" s="149" t="n">
        <f aca="false">AB144/P144</f>
        <v>49651.3725707042</v>
      </c>
      <c r="AD144" s="150" t="n">
        <f aca="false">AB144/SUM(X144:AA144)</f>
        <v>19.2880204223718</v>
      </c>
      <c r="AE144" s="148" t="n">
        <f aca="false">1000*SUM(X144:AA144)/O144</f>
        <v>116.413020103332</v>
      </c>
      <c r="AF144" s="151" t="n">
        <f aca="false">'UT1 (1273)'!G180</f>
        <v>14467</v>
      </c>
      <c r="AG144" s="143" t="n">
        <f aca="false">'UT2 (12334)'!G120</f>
        <v>1055</v>
      </c>
      <c r="AH144" s="143" t="n">
        <f aca="false">'UT3 (1279)'!G120</f>
        <v>237</v>
      </c>
      <c r="AI144" s="143" t="n">
        <f aca="false">'UT3b (1278)'!G64</f>
        <v>0</v>
      </c>
      <c r="AJ144" s="143" t="n">
        <f aca="false">'UT4 (1271)'!G76</f>
        <v>335</v>
      </c>
      <c r="AK144" s="148" t="n">
        <f aca="false">'UT1 (1273)'!D180+'UT2 (12334)'!D120+'UT3 (1279)'!D120+'UT3b (1278)'!D64+'UT4 (1271)'!D76</f>
        <v>420899</v>
      </c>
      <c r="AL144" s="149" t="n">
        <f aca="false">AK144/P144</f>
        <v>10057.8462546657</v>
      </c>
      <c r="AM144" s="150" t="n">
        <f aca="false">AK144/SUM(AF144:AJ144)</f>
        <v>26.1525413197465</v>
      </c>
      <c r="AN144" s="150" t="n">
        <f aca="false">AL144/SUM($AF$144:$AJ$144)</f>
        <v>0.624943845822397</v>
      </c>
      <c r="AO144" s="152" t="n">
        <f aca="false">'UT1 (1273)'!H180/SUM(AF144:AJ144)</f>
        <v>0.806076798807009</v>
      </c>
      <c r="AP144" s="148" t="n">
        <f aca="false">1000*SUM(AF144:AJ144)/O144</f>
        <v>17.391980928689</v>
      </c>
      <c r="AQ144" s="151" t="n">
        <f aca="false">'UT1 (1273)'!I180</f>
        <v>282590</v>
      </c>
      <c r="AR144" s="143" t="n">
        <f aca="false">'UT2 (12334)'!H120</f>
        <v>454151</v>
      </c>
      <c r="AS144" s="143" t="n">
        <f aca="false">'UT3 (1279)'!H120</f>
        <v>592571</v>
      </c>
      <c r="AT144" s="143" t="n">
        <f aca="false">'UT3b (1278)'!H64</f>
        <v>0</v>
      </c>
      <c r="AU144" s="143" t="n">
        <f aca="false">'UT4 (1271)'!H76</f>
        <v>228701</v>
      </c>
      <c r="AV144" s="143" t="n">
        <f aca="false">'Osm.'!F120</f>
        <v>0</v>
      </c>
      <c r="AW144" s="148" t="n">
        <f aca="false">'UT1 (1273)'!E180+'UT2 (12334)'!E120+'UT3 (1279)'!E120+'UT3b (1278)'!E64+'UT4 (1271)'!E76+'Osm.'!E120</f>
        <v>3531952</v>
      </c>
      <c r="AX144" s="149" t="n">
        <f aca="false">AW144/P144</f>
        <v>84399.8921234284</v>
      </c>
      <c r="AY144" s="150" t="n">
        <f aca="false">AW144/SUM(AQ144:AV144)</f>
        <v>2.26695926157227</v>
      </c>
      <c r="AZ144" s="152" t="n">
        <f aca="false">SUM(AQ144:AV144)/((1400+2000+3000+2000+1600+2000)*24*30)</f>
        <v>0.180325578703704</v>
      </c>
      <c r="BA144" s="152" t="n">
        <f aca="false">AQ144/(1400*24*30)</f>
        <v>0.280347222222222</v>
      </c>
      <c r="BB144" s="152" t="n">
        <f aca="false">AR144/(2000*24*30)</f>
        <v>0.315382638888889</v>
      </c>
      <c r="BC144" s="152" t="n">
        <f aca="false">(AS144+AT144)/(5000*24*30)</f>
        <v>0.164603055555556</v>
      </c>
      <c r="BD144" s="152" t="n">
        <f aca="false">AU144/(1600*24*30)</f>
        <v>0.198525173611111</v>
      </c>
      <c r="BE144" s="148" t="n">
        <f aca="false">1000*SUM(AQ144:AV144)/O144</f>
        <v>1683.66673186588</v>
      </c>
      <c r="BF144" s="151" t="n">
        <f aca="false">'UT1 (1273)'!J180</f>
        <v>109182</v>
      </c>
      <c r="BG144" s="143" t="n">
        <f aca="false">'UT2 (12334)'!I120</f>
        <v>285402</v>
      </c>
      <c r="BH144" s="143" t="n">
        <f aca="false">'UT3b (1278)'!I64+'UT3 (1279)'!I120</f>
        <v>244251</v>
      </c>
      <c r="BI144" s="143" t="n">
        <f aca="false">'UT4 (1271)'!I76</f>
        <v>136285</v>
      </c>
      <c r="BJ144" s="162" t="n">
        <f aca="false">SUM(BF144:BI144)/SUM(AQ144:AU144)</f>
        <v>0.497505476526833</v>
      </c>
    </row>
    <row r="145" customFormat="false" ht="18.75" hidden="false" customHeight="true" outlineLevel="0" collapsed="false">
      <c r="A145" s="18" t="n">
        <v>2025</v>
      </c>
      <c r="B145" s="18" t="n">
        <v>11</v>
      </c>
      <c r="C145" s="24" t="n">
        <f aca="false">SUM('UT1 (1273)'!C181:E181)</f>
        <v>0</v>
      </c>
      <c r="D145" s="24" t="n">
        <f aca="false">SUM('UT2 (12334)'!C121:E121)</f>
        <v>0</v>
      </c>
      <c r="E145" s="24" t="n">
        <f aca="false">SUM('UT3 (1279)'!C121:E121)</f>
        <v>0</v>
      </c>
      <c r="F145" s="24" t="n">
        <f aca="false">SUM('Osm.'!C121:E121)</f>
        <v>0</v>
      </c>
      <c r="G145" s="24" t="n">
        <f aca="false">SUM('UT4 (1271)'!C77:E77)</f>
        <v>0</v>
      </c>
      <c r="H145" s="25" t="n">
        <f aca="false">SUM('UT3b (1278)'!C65:E65)</f>
        <v>0</v>
      </c>
      <c r="I145" s="161"/>
      <c r="J145" s="143"/>
      <c r="K145" s="167" t="e">
        <f aca="false">J145/I145</f>
        <v>#DIV/0!</v>
      </c>
      <c r="L145" s="25"/>
      <c r="M145" s="166"/>
      <c r="N145" s="29"/>
      <c r="O145" s="63" t="n">
        <f aca="false">'UT1 (1273)'!O181+'UT2 (12334)'!M121+'UT3 (1279)'!J121+'UT4 (1271)'!M77</f>
        <v>0</v>
      </c>
      <c r="P145" s="145" t="n">
        <f aca="false">'$'!C168</f>
        <v>43.1816648593448</v>
      </c>
      <c r="Q145" s="35" t="e">
        <f aca="false">100*(SUM(C145:H145)/P145)/M145</f>
        <v>#DIV/0!</v>
      </c>
      <c r="R145" s="35" t="e">
        <f aca="false">100*(L145/P145)/M145</f>
        <v>#DIV/0!</v>
      </c>
      <c r="S145" s="146" t="e">
        <f aca="false">SUM(Q145:R145)</f>
        <v>#DIV/0!</v>
      </c>
      <c r="T145" s="35" t="e">
        <f aca="false">100*SUM(L145,C145:H145)/O145/P145</f>
        <v>#DIV/0!</v>
      </c>
      <c r="U145" s="29" t="e">
        <f aca="false">O145/I145</f>
        <v>#DIV/0!</v>
      </c>
      <c r="V145" s="29" t="e">
        <f aca="false">M145/I145</f>
        <v>#DIV/0!</v>
      </c>
      <c r="W145" s="147"/>
      <c r="X145" s="143" t="n">
        <f aca="false">'UT1 (1273)'!F181</f>
        <v>0</v>
      </c>
      <c r="Y145" s="143" t="n">
        <f aca="false">'UT2 (12334)'!F121</f>
        <v>0</v>
      </c>
      <c r="Z145" s="143" t="n">
        <f aca="false">'UT3 (1279)'!F121</f>
        <v>0</v>
      </c>
      <c r="AA145" s="143" t="n">
        <f aca="false">'UT4 (1271)'!F77</f>
        <v>0</v>
      </c>
      <c r="AB145" s="148" t="n">
        <f aca="false">'UT1 (1273)'!C181+'UT2 (12334)'!C121+'UT3 (1279)'!C121+'UT4 (1271)'!C77</f>
        <v>0</v>
      </c>
      <c r="AC145" s="149" t="n">
        <f aca="false">AB145/P145</f>
        <v>0</v>
      </c>
      <c r="AD145" s="150" t="e">
        <f aca="false">AB145/SUM(X145:AA145)</f>
        <v>#DIV/0!</v>
      </c>
      <c r="AE145" s="148" t="e">
        <f aca="false">1000*SUM(X145:AA145)/O145</f>
        <v>#DIV/0!</v>
      </c>
      <c r="AF145" s="151" t="n">
        <f aca="false">'UT1 (1273)'!G181</f>
        <v>0</v>
      </c>
      <c r="AG145" s="143" t="n">
        <f aca="false">'UT2 (12334)'!G121</f>
        <v>0</v>
      </c>
      <c r="AH145" s="143" t="n">
        <f aca="false">'UT3 (1279)'!G121</f>
        <v>0</v>
      </c>
      <c r="AI145" s="143" t="n">
        <f aca="false">'UT3b (1278)'!G65</f>
        <v>0</v>
      </c>
      <c r="AJ145" s="143" t="n">
        <f aca="false">'UT4 (1271)'!G77</f>
        <v>0</v>
      </c>
      <c r="AK145" s="148" t="n">
        <f aca="false">'UT1 (1273)'!D181+'UT2 (12334)'!D121+'UT3 (1279)'!D121+'UT3b (1278)'!D65+'UT4 (1271)'!D77</f>
        <v>0</v>
      </c>
      <c r="AL145" s="149" t="n">
        <f aca="false">AK145/P145</f>
        <v>0</v>
      </c>
      <c r="AM145" s="150" t="e">
        <f aca="false">AK145/SUM(AF145:AJ145)</f>
        <v>#DIV/0!</v>
      </c>
      <c r="AN145" s="150" t="n">
        <f aca="false">AL145/SUM($AF$144:$AJ$144)</f>
        <v>0</v>
      </c>
      <c r="AO145" s="152" t="e">
        <f aca="false">'UT1 (1273)'!H181/SUM(AF145:AJ145)</f>
        <v>#DIV/0!</v>
      </c>
      <c r="AP145" s="148" t="e">
        <f aca="false">1000*SUM(AF145:AJ145)/O145</f>
        <v>#DIV/0!</v>
      </c>
      <c r="AQ145" s="151" t="n">
        <f aca="false">'UT1 (1273)'!I181</f>
        <v>0</v>
      </c>
      <c r="AR145" s="143" t="n">
        <f aca="false">'UT2 (12334)'!H121</f>
        <v>0</v>
      </c>
      <c r="AS145" s="143" t="n">
        <f aca="false">'UT3 (1279)'!H121</f>
        <v>0</v>
      </c>
      <c r="AT145" s="143" t="n">
        <f aca="false">'UT3b (1278)'!H65</f>
        <v>0</v>
      </c>
      <c r="AU145" s="143" t="n">
        <f aca="false">'UT4 (1271)'!H77</f>
        <v>0</v>
      </c>
      <c r="AV145" s="143" t="n">
        <f aca="false">'Osm.'!F121</f>
        <v>0</v>
      </c>
      <c r="AW145" s="148" t="n">
        <f aca="false">'UT1 (1273)'!E181+'UT2 (12334)'!E121+'UT3 (1279)'!E121+'UT3b (1278)'!E65+'UT4 (1271)'!E77+'Osm.'!E121</f>
        <v>0</v>
      </c>
      <c r="AX145" s="149" t="n">
        <f aca="false">AW145/P145</f>
        <v>0</v>
      </c>
      <c r="AY145" s="150" t="e">
        <f aca="false">AW145/SUM(AQ145:AV145)</f>
        <v>#DIV/0!</v>
      </c>
      <c r="AZ145" s="152" t="n">
        <f aca="false">SUM(AQ145:AV145)/((1400+2000+3000+2000+1600+2000)*24*30)</f>
        <v>0</v>
      </c>
      <c r="BA145" s="152" t="n">
        <f aca="false">AQ145/(1400*24*30)</f>
        <v>0</v>
      </c>
      <c r="BB145" s="152" t="n">
        <f aca="false">AR145/(2000*24*30)</f>
        <v>0</v>
      </c>
      <c r="BC145" s="152" t="n">
        <f aca="false">(AS145+AT145)/(5000*24*30)</f>
        <v>0</v>
      </c>
      <c r="BD145" s="152" t="n">
        <f aca="false">AU145/(1600*24*30)</f>
        <v>0</v>
      </c>
      <c r="BE145" s="148" t="e">
        <f aca="false">1000*SUM(AQ145:AV145)/O145</f>
        <v>#DIV/0!</v>
      </c>
      <c r="BF145" s="151" t="n">
        <f aca="false">'UT1 (1273)'!J181</f>
        <v>0</v>
      </c>
      <c r="BG145" s="143" t="n">
        <f aca="false">'UT2 (12334)'!I121</f>
        <v>0</v>
      </c>
      <c r="BH145" s="143" t="n">
        <f aca="false">'UT3b (1278)'!I65+'UT3 (1279)'!I121</f>
        <v>0</v>
      </c>
      <c r="BI145" s="143" t="n">
        <f aca="false">'UT4 (1271)'!I77</f>
        <v>0</v>
      </c>
      <c r="BJ145" s="162" t="e">
        <f aca="false">SUM(BF145:BI145)/SUM(AQ145:AU145)</f>
        <v>#DIV/0!</v>
      </c>
    </row>
    <row r="146" customFormat="false" ht="18.75" hidden="false" customHeight="true" outlineLevel="0" collapsed="false">
      <c r="A146" s="18" t="n">
        <v>2025</v>
      </c>
      <c r="B146" s="18" t="n">
        <v>12</v>
      </c>
      <c r="C146" s="24" t="n">
        <f aca="false">SUM('UT1 (1273)'!C182:E182)</f>
        <v>0</v>
      </c>
      <c r="D146" s="24" t="n">
        <f aca="false">SUM('UT2 (12334)'!C122:E122)</f>
        <v>0</v>
      </c>
      <c r="E146" s="24" t="n">
        <f aca="false">SUM('UT3 (1279)'!C122:E122)</f>
        <v>0</v>
      </c>
      <c r="F146" s="24" t="n">
        <f aca="false">SUM('Osm.'!C122:E122)</f>
        <v>0</v>
      </c>
      <c r="G146" s="24" t="n">
        <f aca="false">SUM('UT4 (1271)'!C78:E78)</f>
        <v>0</v>
      </c>
      <c r="H146" s="25" t="n">
        <f aca="false">SUM('UT3b (1278)'!C66:E66)</f>
        <v>0</v>
      </c>
      <c r="I146" s="161"/>
      <c r="J146" s="143"/>
      <c r="K146" s="167" t="e">
        <f aca="false">J146/I146</f>
        <v>#DIV/0!</v>
      </c>
      <c r="L146" s="25"/>
      <c r="M146" s="166"/>
      <c r="N146" s="29"/>
      <c r="O146" s="63" t="n">
        <f aca="false">'UT1 (1273)'!O182+'UT2 (12334)'!M122+'UT3 (1279)'!J122+'UT4 (1271)'!M78</f>
        <v>0</v>
      </c>
      <c r="P146" s="145" t="n">
        <f aca="false">'$'!C169</f>
        <v>45.2043004238843</v>
      </c>
      <c r="Q146" s="35" t="e">
        <f aca="false">100*(SUM(C146:H146)/P146)/M146</f>
        <v>#DIV/0!</v>
      </c>
      <c r="R146" s="35" t="e">
        <f aca="false">100*(L146/P146)/M146</f>
        <v>#DIV/0!</v>
      </c>
      <c r="S146" s="146" t="e">
        <f aca="false">SUM(Q146:R146)</f>
        <v>#DIV/0!</v>
      </c>
      <c r="T146" s="35" t="e">
        <f aca="false">100*SUM(L146,C146:H146)/O146/P146</f>
        <v>#DIV/0!</v>
      </c>
      <c r="U146" s="29" t="e">
        <f aca="false">O146/I146</f>
        <v>#DIV/0!</v>
      </c>
      <c r="V146" s="29" t="e">
        <f aca="false">M146/I146</f>
        <v>#DIV/0!</v>
      </c>
      <c r="W146" s="147"/>
      <c r="X146" s="143" t="n">
        <f aca="false">'UT1 (1273)'!F182</f>
        <v>0</v>
      </c>
      <c r="Y146" s="143" t="n">
        <f aca="false">'UT2 (12334)'!F122</f>
        <v>0</v>
      </c>
      <c r="Z146" s="143" t="n">
        <f aca="false">'UT3 (1279)'!F122</f>
        <v>0</v>
      </c>
      <c r="AA146" s="143" t="n">
        <f aca="false">'UT4 (1271)'!F78</f>
        <v>0</v>
      </c>
      <c r="AB146" s="148" t="n">
        <f aca="false">'UT1 (1273)'!C182+'UT2 (12334)'!C122+'UT3 (1279)'!C122+'UT4 (1271)'!C78</f>
        <v>0</v>
      </c>
      <c r="AC146" s="149" t="n">
        <f aca="false">AB146/P146</f>
        <v>0</v>
      </c>
      <c r="AD146" s="150" t="e">
        <f aca="false">AB146/SUM(X146:AA146)</f>
        <v>#DIV/0!</v>
      </c>
      <c r="AE146" s="148" t="e">
        <f aca="false">1000*SUM(X146:AA146)/O146</f>
        <v>#DIV/0!</v>
      </c>
      <c r="AF146" s="151" t="n">
        <f aca="false">'UT1 (1273)'!G182</f>
        <v>0</v>
      </c>
      <c r="AG146" s="143" t="n">
        <f aca="false">'UT2 (12334)'!G122</f>
        <v>0</v>
      </c>
      <c r="AH146" s="143" t="n">
        <f aca="false">'UT3 (1279)'!G122</f>
        <v>0</v>
      </c>
      <c r="AI146" s="143" t="n">
        <f aca="false">'UT3b (1278)'!G66</f>
        <v>0</v>
      </c>
      <c r="AJ146" s="143" t="n">
        <f aca="false">'UT4 (1271)'!G78</f>
        <v>0</v>
      </c>
      <c r="AK146" s="148" t="n">
        <f aca="false">'UT1 (1273)'!D182+'UT2 (12334)'!D122+'UT3 (1279)'!D122+'UT3b (1278)'!D66+'UT4 (1271)'!D78</f>
        <v>0</v>
      </c>
      <c r="AL146" s="149" t="n">
        <f aca="false">AK146/P146</f>
        <v>0</v>
      </c>
      <c r="AM146" s="150" t="e">
        <f aca="false">AK146/SUM(AF146:AJ146)</f>
        <v>#DIV/0!</v>
      </c>
      <c r="AN146" s="150" t="n">
        <f aca="false">AL146/SUM($AF$144:$AJ$144)</f>
        <v>0</v>
      </c>
      <c r="AO146" s="152" t="e">
        <f aca="false">'UT1 (1273)'!H182/SUM(AF146:AJ146)</f>
        <v>#DIV/0!</v>
      </c>
      <c r="AP146" s="148" t="e">
        <f aca="false">1000*SUM(AF146:AJ146)/O146</f>
        <v>#DIV/0!</v>
      </c>
      <c r="AQ146" s="151" t="n">
        <f aca="false">'UT1 (1273)'!I182</f>
        <v>0</v>
      </c>
      <c r="AR146" s="143" t="n">
        <f aca="false">'UT2 (12334)'!H122</f>
        <v>0</v>
      </c>
      <c r="AS146" s="143" t="n">
        <f aca="false">'UT3 (1279)'!H122</f>
        <v>0</v>
      </c>
      <c r="AT146" s="143" t="n">
        <f aca="false">'UT3b (1278)'!H66</f>
        <v>0</v>
      </c>
      <c r="AU146" s="143" t="n">
        <f aca="false">'UT4 (1271)'!H78</f>
        <v>0</v>
      </c>
      <c r="AV146" s="143" t="n">
        <f aca="false">'Osm.'!F122</f>
        <v>0</v>
      </c>
      <c r="AW146" s="148" t="n">
        <f aca="false">'UT1 (1273)'!E182+'UT2 (12334)'!E122+'UT3 (1279)'!E122+'UT3b (1278)'!E66+'UT4 (1271)'!E78+'Osm.'!E122</f>
        <v>0</v>
      </c>
      <c r="AX146" s="149" t="n">
        <f aca="false">AW146/P146</f>
        <v>0</v>
      </c>
      <c r="AY146" s="150" t="e">
        <f aca="false">AW146/SUM(AQ146:AV146)</f>
        <v>#DIV/0!</v>
      </c>
      <c r="AZ146" s="152" t="n">
        <f aca="false">SUM(AQ146:AV146)/((1400+2000+3000+2000+1600+2000)*24*30)</f>
        <v>0</v>
      </c>
      <c r="BA146" s="152" t="n">
        <f aca="false">AQ146/(1400*24*30)</f>
        <v>0</v>
      </c>
      <c r="BB146" s="152" t="n">
        <f aca="false">AR146/(2000*24*30)</f>
        <v>0</v>
      </c>
      <c r="BC146" s="152" t="n">
        <f aca="false">(AS146+AT146)/(5000*24*30)</f>
        <v>0</v>
      </c>
      <c r="BD146" s="152" t="n">
        <f aca="false">AU146/(1600*24*30)</f>
        <v>0</v>
      </c>
      <c r="BE146" s="148" t="e">
        <f aca="false">1000*SUM(AQ146:AV146)/O146</f>
        <v>#DIV/0!</v>
      </c>
      <c r="BF146" s="151" t="n">
        <f aca="false">'UT1 (1273)'!J182</f>
        <v>0</v>
      </c>
      <c r="BG146" s="143" t="n">
        <f aca="false">'UT2 (12334)'!I122</f>
        <v>0</v>
      </c>
      <c r="BH146" s="143" t="n">
        <f aca="false">'UT3b (1278)'!I66+'UT3 (1279)'!I122</f>
        <v>0</v>
      </c>
      <c r="BI146" s="143" t="n">
        <f aca="false">'UT4 (1271)'!I78</f>
        <v>0</v>
      </c>
      <c r="BJ146" s="162" t="e">
        <f aca="false">SUM(BF146:BI146)/SUM(AQ146:AU146)</f>
        <v>#DIV/0!</v>
      </c>
    </row>
  </sheetData>
  <mergeCells count="19">
    <mergeCell ref="A1:A2"/>
    <mergeCell ref="B1:B2"/>
    <mergeCell ref="C1:F1"/>
    <mergeCell ref="I1:I2"/>
    <mergeCell ref="J1:J2"/>
    <mergeCell ref="K1:K2"/>
    <mergeCell ref="L1:L2"/>
    <mergeCell ref="M1:M2"/>
    <mergeCell ref="N1:N2"/>
    <mergeCell ref="O1:O2"/>
    <mergeCell ref="P1:P2"/>
    <mergeCell ref="Q1:S1"/>
    <mergeCell ref="T1:T2"/>
    <mergeCell ref="U1:U2"/>
    <mergeCell ref="V1:V2"/>
    <mergeCell ref="X1:AE1"/>
    <mergeCell ref="AF1:AP1"/>
    <mergeCell ref="AQ1:BE1"/>
    <mergeCell ref="BF1:BJ1"/>
  </mergeCells>
  <hyperlinks>
    <hyperlink ref="L1" r:id="rId2" display="∑ İşçilik&#10;(Tazminat Yükü Dahil)"/>
    <hyperlink ref="M1" r:id="rId3" display="Üretimden Satış Miktarı"/>
    <hyperlink ref="O1" r:id="rId4" display="∑ Paket. Miktarı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&amp;LTOPLAM MALİYETLER</oddHeader>
    <oddFooter>&amp;CPage &amp;P of</oddFooter>
  </headerFooter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31" min="3" style="0" width="11.56"/>
  </cols>
  <sheetData>
    <row r="1" customFormat="false" ht="18.75" hidden="false" customHeight="true" outlineLevel="0" collapsed="false">
      <c r="A1" s="1" t="s">
        <v>0</v>
      </c>
      <c r="B1" s="1" t="s">
        <v>1</v>
      </c>
      <c r="C1" s="80" t="s">
        <v>2</v>
      </c>
      <c r="D1" s="80"/>
      <c r="E1" s="80"/>
      <c r="F1" s="1" t="s">
        <v>3</v>
      </c>
      <c r="G1" s="1"/>
      <c r="H1" s="1"/>
      <c r="I1" s="3" t="s">
        <v>4</v>
      </c>
      <c r="J1" s="82" t="s">
        <v>45</v>
      </c>
      <c r="K1" s="82" t="s">
        <v>46</v>
      </c>
      <c r="L1" s="6" t="s">
        <v>47</v>
      </c>
      <c r="M1" s="7" t="s">
        <v>9</v>
      </c>
      <c r="N1" s="83" t="s">
        <v>10</v>
      </c>
      <c r="O1" s="5" t="s">
        <v>11</v>
      </c>
      <c r="P1" s="107" t="s">
        <v>12</v>
      </c>
      <c r="Q1" s="84" t="s">
        <v>16</v>
      </c>
      <c r="R1" s="12" t="s">
        <v>17</v>
      </c>
      <c r="S1" s="174" t="s">
        <v>48</v>
      </c>
      <c r="T1" s="174"/>
      <c r="U1" s="174"/>
      <c r="V1" s="174"/>
      <c r="W1" s="174"/>
      <c r="X1" s="175"/>
      <c r="Y1" s="176" t="s">
        <v>49</v>
      </c>
      <c r="Z1" s="176"/>
      <c r="AA1" s="176"/>
      <c r="AB1" s="15" t="s">
        <v>21</v>
      </c>
      <c r="AC1" s="15"/>
      <c r="AD1" s="15"/>
      <c r="AE1" s="15"/>
    </row>
    <row r="2" customFormat="false" ht="18.75" hidden="false" customHeight="true" outlineLevel="0" collapsed="false">
      <c r="A2" s="1"/>
      <c r="B2" s="1"/>
      <c r="C2" s="17" t="s">
        <v>100</v>
      </c>
      <c r="D2" s="17" t="s">
        <v>101</v>
      </c>
      <c r="E2" s="2" t="s">
        <v>102</v>
      </c>
      <c r="F2" s="18" t="s">
        <v>25</v>
      </c>
      <c r="G2" s="177" t="s">
        <v>26</v>
      </c>
      <c r="H2" s="19" t="s">
        <v>28</v>
      </c>
      <c r="I2" s="19" t="s">
        <v>28</v>
      </c>
      <c r="J2" s="82"/>
      <c r="K2" s="82"/>
      <c r="L2" s="82"/>
      <c r="M2" s="7"/>
      <c r="N2" s="83"/>
      <c r="O2" s="83"/>
      <c r="P2" s="83"/>
      <c r="Q2" s="84"/>
      <c r="R2" s="12" t="s">
        <v>29</v>
      </c>
      <c r="S2" s="110" t="s">
        <v>30</v>
      </c>
      <c r="T2" s="110" t="s">
        <v>31</v>
      </c>
      <c r="U2" s="12" t="s">
        <v>32</v>
      </c>
      <c r="V2" s="12" t="s">
        <v>29</v>
      </c>
      <c r="W2" s="12" t="s">
        <v>53</v>
      </c>
      <c r="X2" s="175" t="s">
        <v>83</v>
      </c>
      <c r="Y2" s="176" t="s">
        <v>25</v>
      </c>
      <c r="Z2" s="22" t="s">
        <v>36</v>
      </c>
      <c r="AA2" s="87" t="s">
        <v>28</v>
      </c>
      <c r="AB2" s="23" t="s">
        <v>37</v>
      </c>
      <c r="AC2" s="23" t="s">
        <v>38</v>
      </c>
      <c r="AD2" s="23" t="s">
        <v>39</v>
      </c>
      <c r="AE2" s="23" t="s">
        <v>40</v>
      </c>
    </row>
    <row r="3" customFormat="false" ht="18.75" hidden="false" customHeight="true" outlineLevel="0" collapsed="false">
      <c r="A3" s="18" t="n">
        <v>2019</v>
      </c>
      <c r="B3" s="18" t="n">
        <v>9</v>
      </c>
      <c r="C3" s="24"/>
      <c r="D3" s="24" t="n">
        <v>349.69</v>
      </c>
      <c r="E3" s="25"/>
      <c r="F3" s="26"/>
      <c r="G3" s="178"/>
      <c r="H3" s="27"/>
      <c r="I3" s="27"/>
      <c r="J3" s="89"/>
      <c r="K3" s="89"/>
      <c r="L3" s="28"/>
      <c r="M3" s="179"/>
      <c r="N3" s="24"/>
      <c r="O3" s="32"/>
      <c r="P3" s="92" t="e">
        <f aca="false">M3/O3</f>
        <v>#DIV/0!</v>
      </c>
      <c r="Q3" s="93"/>
      <c r="R3" s="35" t="e">
        <f aca="false">SUM(C3:E3)/Q3</f>
        <v>#DIV/0!</v>
      </c>
      <c r="S3" s="94" t="e">
        <f aca="false">C3/Q3/M3</f>
        <v>#DIV/0!</v>
      </c>
      <c r="T3" s="94" t="e">
        <f aca="false">D3/Q3/M3</f>
        <v>#DIV/0!</v>
      </c>
      <c r="U3" s="36" t="e">
        <f aca="false">E3/Q3/M3</f>
        <v>#DIV/0!</v>
      </c>
      <c r="V3" s="36" t="e">
        <f aca="false">SUM(C3:E3)/Q3/M3</f>
        <v>#DIV/0!</v>
      </c>
      <c r="W3" s="36" t="e">
        <f aca="false">N3/Q3/M3</f>
        <v>#DIV/0!</v>
      </c>
      <c r="X3" s="180" t="e">
        <f aca="false">SUM(V3:W3)</f>
        <v>#DIV/0!</v>
      </c>
      <c r="Y3" s="181"/>
      <c r="Z3" s="38"/>
      <c r="AA3" s="39"/>
      <c r="AB3" s="40"/>
      <c r="AC3" s="40"/>
      <c r="AD3" s="40"/>
      <c r="AE3" s="40"/>
    </row>
    <row r="4" customFormat="false" ht="18.75" hidden="false" customHeight="true" outlineLevel="0" collapsed="false">
      <c r="A4" s="18" t="n">
        <v>2019</v>
      </c>
      <c r="B4" s="18" t="n">
        <v>10</v>
      </c>
      <c r="C4" s="24"/>
      <c r="D4" s="24" t="n">
        <v>349.69</v>
      </c>
      <c r="E4" s="25"/>
      <c r="F4" s="26"/>
      <c r="G4" s="178"/>
      <c r="H4" s="27"/>
      <c r="I4" s="27"/>
      <c r="J4" s="89"/>
      <c r="K4" s="89"/>
      <c r="L4" s="28"/>
      <c r="M4" s="179"/>
      <c r="N4" s="24"/>
      <c r="O4" s="32"/>
      <c r="P4" s="92" t="e">
        <f aca="false">M4/O4</f>
        <v>#DIV/0!</v>
      </c>
      <c r="Q4" s="93"/>
      <c r="R4" s="35" t="e">
        <f aca="false">SUM(C4:E4)/Q4</f>
        <v>#DIV/0!</v>
      </c>
      <c r="S4" s="94" t="e">
        <f aca="false">C4/Q4/M4</f>
        <v>#DIV/0!</v>
      </c>
      <c r="T4" s="94" t="e">
        <f aca="false">D4/Q4/M4</f>
        <v>#DIV/0!</v>
      </c>
      <c r="U4" s="36" t="e">
        <f aca="false">E4/Q4/M4</f>
        <v>#DIV/0!</v>
      </c>
      <c r="V4" s="36" t="e">
        <f aca="false">SUM(C4:E4)/Q4/M4</f>
        <v>#DIV/0!</v>
      </c>
      <c r="W4" s="36" t="e">
        <f aca="false">N4/Q4/M4</f>
        <v>#DIV/0!</v>
      </c>
      <c r="X4" s="180" t="e">
        <f aca="false">SUM(V4:W4)</f>
        <v>#DIV/0!</v>
      </c>
      <c r="Y4" s="181"/>
      <c r="Z4" s="38"/>
      <c r="AA4" s="39"/>
      <c r="AB4" s="40"/>
      <c r="AC4" s="40"/>
      <c r="AD4" s="40"/>
      <c r="AE4" s="40"/>
    </row>
    <row r="5" customFormat="false" ht="18.75" hidden="false" customHeight="true" outlineLevel="0" collapsed="false">
      <c r="A5" s="18" t="n">
        <v>2019</v>
      </c>
      <c r="B5" s="18" t="n">
        <v>11</v>
      </c>
      <c r="C5" s="24"/>
      <c r="D5" s="24" t="n">
        <v>349.69</v>
      </c>
      <c r="E5" s="25"/>
      <c r="F5" s="26"/>
      <c r="G5" s="178"/>
      <c r="H5" s="27"/>
      <c r="I5" s="27"/>
      <c r="J5" s="89"/>
      <c r="K5" s="89"/>
      <c r="L5" s="28"/>
      <c r="M5" s="179"/>
      <c r="N5" s="24"/>
      <c r="O5" s="32"/>
      <c r="P5" s="92" t="e">
        <f aca="false">M5/O5</f>
        <v>#DIV/0!</v>
      </c>
      <c r="Q5" s="93"/>
      <c r="R5" s="35" t="e">
        <f aca="false">SUM(C5:E5)/Q5</f>
        <v>#DIV/0!</v>
      </c>
      <c r="S5" s="94" t="e">
        <f aca="false">C5/Q5/M5</f>
        <v>#DIV/0!</v>
      </c>
      <c r="T5" s="94" t="e">
        <f aca="false">D5/Q5/M5</f>
        <v>#DIV/0!</v>
      </c>
      <c r="U5" s="36" t="e">
        <f aca="false">E5/Q5/M5</f>
        <v>#DIV/0!</v>
      </c>
      <c r="V5" s="36" t="e">
        <f aca="false">SUM(C5:E5)/Q5/M5</f>
        <v>#DIV/0!</v>
      </c>
      <c r="W5" s="36" t="e">
        <f aca="false">N5/Q5/M5</f>
        <v>#DIV/0!</v>
      </c>
      <c r="X5" s="180" t="e">
        <f aca="false">SUM(V5:W5)</f>
        <v>#DIV/0!</v>
      </c>
      <c r="Y5" s="181"/>
      <c r="Z5" s="38"/>
      <c r="AA5" s="39"/>
      <c r="AB5" s="40"/>
      <c r="AC5" s="40"/>
      <c r="AD5" s="40"/>
      <c r="AE5" s="40"/>
    </row>
    <row r="6" customFormat="false" ht="18.75" hidden="false" customHeight="true" outlineLevel="0" collapsed="false">
      <c r="A6" s="18" t="n">
        <v>2019</v>
      </c>
      <c r="B6" s="18" t="n">
        <v>12</v>
      </c>
      <c r="C6" s="24"/>
      <c r="D6" s="24" t="n">
        <v>356.84</v>
      </c>
      <c r="E6" s="25"/>
      <c r="F6" s="26"/>
      <c r="G6" s="178"/>
      <c r="H6" s="27"/>
      <c r="I6" s="27"/>
      <c r="J6" s="89"/>
      <c r="K6" s="89"/>
      <c r="L6" s="28"/>
      <c r="M6" s="179"/>
      <c r="N6" s="24"/>
      <c r="O6" s="32"/>
      <c r="P6" s="92" t="e">
        <f aca="false">M6/O6</f>
        <v>#DIV/0!</v>
      </c>
      <c r="Q6" s="93"/>
      <c r="R6" s="35" t="e">
        <f aca="false">SUM(C6:E6)/Q6</f>
        <v>#DIV/0!</v>
      </c>
      <c r="S6" s="94" t="e">
        <f aca="false">C6/Q6/M6</f>
        <v>#DIV/0!</v>
      </c>
      <c r="T6" s="94" t="e">
        <f aca="false">D6/Q6/M6</f>
        <v>#DIV/0!</v>
      </c>
      <c r="U6" s="36" t="e">
        <f aca="false">E6/Q6/M6</f>
        <v>#DIV/0!</v>
      </c>
      <c r="V6" s="36" t="e">
        <f aca="false">SUM(C6:E6)/Q6/M6</f>
        <v>#DIV/0!</v>
      </c>
      <c r="W6" s="36" t="e">
        <f aca="false">N6/Q6/M6</f>
        <v>#DIV/0!</v>
      </c>
      <c r="X6" s="180" t="e">
        <f aca="false">SUM(V6:W6)</f>
        <v>#DIV/0!</v>
      </c>
      <c r="Y6" s="181"/>
      <c r="Z6" s="38"/>
      <c r="AA6" s="39"/>
      <c r="AB6" s="40"/>
      <c r="AC6" s="40"/>
      <c r="AD6" s="40"/>
      <c r="AE6" s="40"/>
    </row>
    <row r="7" customFormat="false" ht="18.75" hidden="false" customHeight="true" outlineLevel="0" collapsed="false">
      <c r="A7" s="18" t="n">
        <v>2020</v>
      </c>
      <c r="B7" s="18" t="n">
        <v>1</v>
      </c>
      <c r="C7" s="24"/>
      <c r="D7" s="24" t="n">
        <v>572.17</v>
      </c>
      <c r="E7" s="25"/>
      <c r="F7" s="26"/>
      <c r="G7" s="178"/>
      <c r="H7" s="27"/>
      <c r="I7" s="27"/>
      <c r="J7" s="89"/>
      <c r="K7" s="89"/>
      <c r="L7" s="28"/>
      <c r="M7" s="179"/>
      <c r="N7" s="24"/>
      <c r="O7" s="32"/>
      <c r="P7" s="92" t="e">
        <f aca="false">M7/O7</f>
        <v>#DIV/0!</v>
      </c>
      <c r="Q7" s="93"/>
      <c r="R7" s="35" t="e">
        <f aca="false">SUM(C7:E7)/Q7</f>
        <v>#DIV/0!</v>
      </c>
      <c r="S7" s="94" t="e">
        <f aca="false">C7/Q7/M7</f>
        <v>#DIV/0!</v>
      </c>
      <c r="T7" s="94" t="e">
        <f aca="false">D7/Q7/M7</f>
        <v>#DIV/0!</v>
      </c>
      <c r="U7" s="36" t="e">
        <f aca="false">E7/Q7/M7</f>
        <v>#DIV/0!</v>
      </c>
      <c r="V7" s="36" t="e">
        <f aca="false">SUM(C7:E7)/Q7/M7</f>
        <v>#DIV/0!</v>
      </c>
      <c r="W7" s="36" t="e">
        <f aca="false">N7/Q7/M7</f>
        <v>#DIV/0!</v>
      </c>
      <c r="X7" s="180" t="e">
        <f aca="false">SUM(V7:W7)</f>
        <v>#DIV/0!</v>
      </c>
      <c r="Y7" s="181"/>
      <c r="Z7" s="38"/>
      <c r="AA7" s="39"/>
      <c r="AB7" s="40"/>
      <c r="AC7" s="40"/>
      <c r="AD7" s="40"/>
      <c r="AE7" s="40"/>
    </row>
    <row r="8" customFormat="false" ht="18.75" hidden="false" customHeight="true" outlineLevel="0" collapsed="false">
      <c r="A8" s="18" t="n">
        <v>2020</v>
      </c>
      <c r="B8" s="18" t="n">
        <v>2</v>
      </c>
      <c r="C8" s="24"/>
      <c r="D8" s="24" t="n">
        <f aca="false">574.2</f>
        <v>574.2</v>
      </c>
      <c r="E8" s="25"/>
      <c r="F8" s="26"/>
      <c r="G8" s="178"/>
      <c r="H8" s="27"/>
      <c r="I8" s="27"/>
      <c r="J8" s="89"/>
      <c r="K8" s="89"/>
      <c r="L8" s="28"/>
      <c r="M8" s="179"/>
      <c r="N8" s="24"/>
      <c r="O8" s="32"/>
      <c r="P8" s="92" t="e">
        <f aca="false">M8/O8</f>
        <v>#DIV/0!</v>
      </c>
      <c r="Q8" s="93"/>
      <c r="R8" s="35" t="e">
        <f aca="false">SUM(C8:E8)/Q8</f>
        <v>#DIV/0!</v>
      </c>
      <c r="S8" s="94" t="e">
        <f aca="false">C8/Q8/M8</f>
        <v>#DIV/0!</v>
      </c>
      <c r="T8" s="94" t="e">
        <f aca="false">D8/Q8/M8</f>
        <v>#DIV/0!</v>
      </c>
      <c r="U8" s="36" t="e">
        <f aca="false">E8/Q8/M8</f>
        <v>#DIV/0!</v>
      </c>
      <c r="V8" s="36" t="e">
        <f aca="false">SUM(C8:E8)/Q8/M8</f>
        <v>#DIV/0!</v>
      </c>
      <c r="W8" s="36" t="e">
        <f aca="false">N8/Q8/M8</f>
        <v>#DIV/0!</v>
      </c>
      <c r="X8" s="180" t="e">
        <f aca="false">SUM(V8:W8)</f>
        <v>#DIV/0!</v>
      </c>
      <c r="Y8" s="181"/>
      <c r="Z8" s="38"/>
      <c r="AA8" s="39"/>
      <c r="AB8" s="40"/>
      <c r="AC8" s="40"/>
      <c r="AD8" s="40"/>
      <c r="AE8" s="40"/>
    </row>
    <row r="9" customFormat="false" ht="18.75" hidden="false" customHeight="true" outlineLevel="0" collapsed="false">
      <c r="A9" s="18" t="n">
        <v>2020</v>
      </c>
      <c r="B9" s="18" t="n">
        <v>3</v>
      </c>
      <c r="C9" s="24"/>
      <c r="D9" s="24" t="n">
        <f aca="false">427.41</f>
        <v>427.41</v>
      </c>
      <c r="E9" s="25"/>
      <c r="F9" s="26"/>
      <c r="G9" s="178"/>
      <c r="H9" s="27"/>
      <c r="I9" s="27"/>
      <c r="J9" s="89"/>
      <c r="K9" s="89"/>
      <c r="L9" s="28"/>
      <c r="M9" s="179"/>
      <c r="N9" s="24"/>
      <c r="O9" s="32"/>
      <c r="P9" s="92" t="e">
        <f aca="false">M9/O9</f>
        <v>#DIV/0!</v>
      </c>
      <c r="Q9" s="93"/>
      <c r="R9" s="35" t="e">
        <f aca="false">SUM(C9:E9)/Q9</f>
        <v>#DIV/0!</v>
      </c>
      <c r="S9" s="94" t="e">
        <f aca="false">C9/Q9/M9</f>
        <v>#DIV/0!</v>
      </c>
      <c r="T9" s="94" t="e">
        <f aca="false">D9/Q9/M9</f>
        <v>#DIV/0!</v>
      </c>
      <c r="U9" s="36" t="e">
        <f aca="false">E9/Q9/M9</f>
        <v>#DIV/0!</v>
      </c>
      <c r="V9" s="36" t="e">
        <f aca="false">SUM(C9:E9)/Q9/M9</f>
        <v>#DIV/0!</v>
      </c>
      <c r="W9" s="36" t="e">
        <f aca="false">N9/Q9/M9</f>
        <v>#DIV/0!</v>
      </c>
      <c r="X9" s="180" t="e">
        <f aca="false">SUM(V9:W9)</f>
        <v>#DIV/0!</v>
      </c>
      <c r="Y9" s="181"/>
      <c r="Z9" s="38"/>
      <c r="AA9" s="39"/>
      <c r="AB9" s="40"/>
      <c r="AC9" s="40"/>
      <c r="AD9" s="40"/>
      <c r="AE9" s="40"/>
    </row>
    <row r="10" customFormat="false" ht="18.75" hidden="false" customHeight="true" outlineLevel="0" collapsed="false">
      <c r="A10" s="18" t="n">
        <v>2020</v>
      </c>
      <c r="B10" s="18" t="n">
        <v>4</v>
      </c>
      <c r="C10" s="24"/>
      <c r="D10" s="24" t="n">
        <f aca="false">427.41</f>
        <v>427.41</v>
      </c>
      <c r="E10" s="25"/>
      <c r="F10" s="26"/>
      <c r="G10" s="178"/>
      <c r="H10" s="27"/>
      <c r="I10" s="27"/>
      <c r="J10" s="89"/>
      <c r="K10" s="89"/>
      <c r="L10" s="28"/>
      <c r="M10" s="179"/>
      <c r="N10" s="24"/>
      <c r="O10" s="32"/>
      <c r="P10" s="92" t="e">
        <f aca="false">M10/O10</f>
        <v>#DIV/0!</v>
      </c>
      <c r="Q10" s="93"/>
      <c r="R10" s="35" t="e">
        <f aca="false">SUM(C10:E10)/Q10</f>
        <v>#DIV/0!</v>
      </c>
      <c r="S10" s="94" t="e">
        <f aca="false">C10/Q10/M10</f>
        <v>#DIV/0!</v>
      </c>
      <c r="T10" s="94" t="e">
        <f aca="false">D10/Q10/M10</f>
        <v>#DIV/0!</v>
      </c>
      <c r="U10" s="36" t="e">
        <f aca="false">E10/Q10/M10</f>
        <v>#DIV/0!</v>
      </c>
      <c r="V10" s="36" t="e">
        <f aca="false">SUM(C10:E10)/Q10/M10</f>
        <v>#DIV/0!</v>
      </c>
      <c r="W10" s="36" t="e">
        <f aca="false">N10/Q10/M10</f>
        <v>#DIV/0!</v>
      </c>
      <c r="X10" s="180" t="e">
        <f aca="false">SUM(V10:W10)</f>
        <v>#DIV/0!</v>
      </c>
      <c r="Y10" s="181"/>
      <c r="Z10" s="38"/>
      <c r="AA10" s="39"/>
      <c r="AB10" s="40"/>
      <c r="AC10" s="40"/>
      <c r="AD10" s="40"/>
      <c r="AE10" s="40"/>
    </row>
    <row r="11" customFormat="false" ht="18.75" hidden="false" customHeight="true" outlineLevel="0" collapsed="false">
      <c r="A11" s="18" t="n">
        <v>2020</v>
      </c>
      <c r="B11" s="18" t="n">
        <v>5</v>
      </c>
      <c r="C11" s="24"/>
      <c r="D11" s="24" t="n">
        <f aca="false">427.41</f>
        <v>427.41</v>
      </c>
      <c r="E11" s="25"/>
      <c r="F11" s="26"/>
      <c r="G11" s="178"/>
      <c r="H11" s="27"/>
      <c r="I11" s="27"/>
      <c r="J11" s="89"/>
      <c r="K11" s="89"/>
      <c r="L11" s="28"/>
      <c r="M11" s="179"/>
      <c r="N11" s="24"/>
      <c r="O11" s="32"/>
      <c r="P11" s="92" t="e">
        <f aca="false">M11/O11</f>
        <v>#DIV/0!</v>
      </c>
      <c r="Q11" s="93"/>
      <c r="R11" s="35" t="e">
        <f aca="false">SUM(C11:E11)/Q11</f>
        <v>#DIV/0!</v>
      </c>
      <c r="S11" s="94" t="e">
        <f aca="false">C11/Q11/M11</f>
        <v>#DIV/0!</v>
      </c>
      <c r="T11" s="94" t="e">
        <f aca="false">D11/Q11/M11</f>
        <v>#DIV/0!</v>
      </c>
      <c r="U11" s="36" t="e">
        <f aca="false">E11/Q11/M11</f>
        <v>#DIV/0!</v>
      </c>
      <c r="V11" s="36" t="e">
        <f aca="false">SUM(C11:E11)/Q11/M11</f>
        <v>#DIV/0!</v>
      </c>
      <c r="W11" s="36" t="e">
        <f aca="false">N11/Q11/M11</f>
        <v>#DIV/0!</v>
      </c>
      <c r="X11" s="180" t="e">
        <f aca="false">SUM(V11:W11)</f>
        <v>#DIV/0!</v>
      </c>
      <c r="Y11" s="181"/>
      <c r="Z11" s="38"/>
      <c r="AA11" s="39"/>
      <c r="AB11" s="40"/>
      <c r="AC11" s="40"/>
      <c r="AD11" s="40"/>
      <c r="AE11" s="40"/>
    </row>
    <row r="12" customFormat="false" ht="18.75" hidden="false" customHeight="true" outlineLevel="0" collapsed="false">
      <c r="A12" s="18" t="n">
        <v>2020</v>
      </c>
      <c r="B12" s="18" t="n">
        <v>6</v>
      </c>
      <c r="C12" s="24"/>
      <c r="D12" s="24" t="n">
        <f aca="false">574.19</f>
        <v>574.19</v>
      </c>
      <c r="E12" s="25"/>
      <c r="F12" s="26"/>
      <c r="G12" s="178"/>
      <c r="H12" s="27"/>
      <c r="I12" s="27"/>
      <c r="J12" s="89"/>
      <c r="K12" s="89"/>
      <c r="L12" s="28"/>
      <c r="M12" s="179"/>
      <c r="N12" s="24"/>
      <c r="O12" s="32"/>
      <c r="P12" s="92" t="e">
        <f aca="false">M12/O12</f>
        <v>#DIV/0!</v>
      </c>
      <c r="Q12" s="93"/>
      <c r="R12" s="35" t="e">
        <f aca="false">SUM(C12:E12)/Q12</f>
        <v>#DIV/0!</v>
      </c>
      <c r="S12" s="94" t="e">
        <f aca="false">C12/Q12/M12</f>
        <v>#DIV/0!</v>
      </c>
      <c r="T12" s="94" t="e">
        <f aca="false">D12/Q12/M12</f>
        <v>#DIV/0!</v>
      </c>
      <c r="U12" s="36" t="e">
        <f aca="false">E12/Q12/M12</f>
        <v>#DIV/0!</v>
      </c>
      <c r="V12" s="36" t="e">
        <f aca="false">SUM(C12:E12)/Q12/M12</f>
        <v>#DIV/0!</v>
      </c>
      <c r="W12" s="36" t="e">
        <f aca="false">N12/Q12/M12</f>
        <v>#DIV/0!</v>
      </c>
      <c r="X12" s="180" t="e">
        <f aca="false">SUM(V12:W12)</f>
        <v>#DIV/0!</v>
      </c>
      <c r="Y12" s="181"/>
      <c r="Z12" s="38"/>
      <c r="AA12" s="39"/>
      <c r="AB12" s="40"/>
      <c r="AC12" s="40"/>
      <c r="AD12" s="40"/>
      <c r="AE12" s="40"/>
    </row>
    <row r="13" customFormat="false" ht="18.75" hidden="false" customHeight="true" outlineLevel="0" collapsed="false">
      <c r="A13" s="18" t="n">
        <v>2020</v>
      </c>
      <c r="B13" s="18" t="n">
        <v>7</v>
      </c>
      <c r="C13" s="24"/>
      <c r="D13" s="24" t="n">
        <f aca="false">574.36</f>
        <v>574.36</v>
      </c>
      <c r="E13" s="25"/>
      <c r="F13" s="26"/>
      <c r="G13" s="178"/>
      <c r="H13" s="27"/>
      <c r="I13" s="27"/>
      <c r="J13" s="89"/>
      <c r="K13" s="89"/>
      <c r="L13" s="28"/>
      <c r="M13" s="179"/>
      <c r="N13" s="24"/>
      <c r="O13" s="32"/>
      <c r="P13" s="92" t="e">
        <f aca="false">M13/O13</f>
        <v>#DIV/0!</v>
      </c>
      <c r="Q13" s="93"/>
      <c r="R13" s="35" t="e">
        <f aca="false">SUM(C13:E13)/Q13</f>
        <v>#DIV/0!</v>
      </c>
      <c r="S13" s="94" t="e">
        <f aca="false">C13/Q13/M13</f>
        <v>#DIV/0!</v>
      </c>
      <c r="T13" s="94" t="e">
        <f aca="false">D13/Q13/M13</f>
        <v>#DIV/0!</v>
      </c>
      <c r="U13" s="36" t="e">
        <f aca="false">E13/Q13/M13</f>
        <v>#DIV/0!</v>
      </c>
      <c r="V13" s="36" t="e">
        <f aca="false">SUM(C13:E13)/Q13/M13</f>
        <v>#DIV/0!</v>
      </c>
      <c r="W13" s="36" t="e">
        <f aca="false">N13/Q13/M13</f>
        <v>#DIV/0!</v>
      </c>
      <c r="X13" s="180" t="e">
        <f aca="false">SUM(V13:W13)</f>
        <v>#DIV/0!</v>
      </c>
      <c r="Y13" s="181"/>
      <c r="Z13" s="38"/>
      <c r="AA13" s="39"/>
      <c r="AB13" s="40"/>
      <c r="AC13" s="40"/>
      <c r="AD13" s="40"/>
      <c r="AE13" s="40"/>
    </row>
    <row r="14" customFormat="false" ht="18.75" hidden="false" customHeight="true" outlineLevel="0" collapsed="false">
      <c r="A14" s="18" t="n">
        <v>2020</v>
      </c>
      <c r="B14" s="18" t="n">
        <v>8</v>
      </c>
      <c r="C14" s="24"/>
      <c r="D14" s="24" t="n">
        <f aca="false">611.58</f>
        <v>611.58</v>
      </c>
      <c r="E14" s="25"/>
      <c r="F14" s="26"/>
      <c r="G14" s="178"/>
      <c r="H14" s="27"/>
      <c r="I14" s="27"/>
      <c r="J14" s="89"/>
      <c r="K14" s="89"/>
      <c r="L14" s="28"/>
      <c r="M14" s="179"/>
      <c r="N14" s="24"/>
      <c r="O14" s="32"/>
      <c r="P14" s="92" t="e">
        <f aca="false">M14/O14</f>
        <v>#DIV/0!</v>
      </c>
      <c r="Q14" s="93"/>
      <c r="R14" s="35" t="e">
        <f aca="false">SUM(C14:E14)/Q14</f>
        <v>#DIV/0!</v>
      </c>
      <c r="S14" s="94" t="e">
        <f aca="false">C14/Q14/M14</f>
        <v>#DIV/0!</v>
      </c>
      <c r="T14" s="94" t="e">
        <f aca="false">D14/Q14/M14</f>
        <v>#DIV/0!</v>
      </c>
      <c r="U14" s="36" t="e">
        <f aca="false">E14/Q14/M14</f>
        <v>#DIV/0!</v>
      </c>
      <c r="V14" s="36" t="e">
        <f aca="false">SUM(C14:E14)/Q14/M14</f>
        <v>#DIV/0!</v>
      </c>
      <c r="W14" s="36" t="e">
        <f aca="false">N14/Q14/M14</f>
        <v>#DIV/0!</v>
      </c>
      <c r="X14" s="180" t="e">
        <f aca="false">SUM(V14:W14)</f>
        <v>#DIV/0!</v>
      </c>
      <c r="Y14" s="181"/>
      <c r="Z14" s="38"/>
      <c r="AA14" s="39"/>
      <c r="AB14" s="40"/>
      <c r="AC14" s="40"/>
      <c r="AD14" s="40"/>
      <c r="AE14" s="40"/>
    </row>
    <row r="15" customFormat="false" ht="18.75" hidden="false" customHeight="true" outlineLevel="0" collapsed="false">
      <c r="A15" s="18" t="n">
        <v>2020</v>
      </c>
      <c r="B15" s="18" t="n">
        <v>9</v>
      </c>
      <c r="C15" s="24"/>
      <c r="D15" s="24" t="n">
        <v>954.17</v>
      </c>
      <c r="E15" s="25"/>
      <c r="F15" s="26"/>
      <c r="G15" s="178"/>
      <c r="H15" s="27"/>
      <c r="I15" s="27"/>
      <c r="J15" s="89"/>
      <c r="K15" s="89"/>
      <c r="L15" s="28"/>
      <c r="M15" s="179"/>
      <c r="N15" s="24"/>
      <c r="O15" s="32"/>
      <c r="P15" s="92" t="e">
        <f aca="false">M15/O15</f>
        <v>#DIV/0!</v>
      </c>
      <c r="Q15" s="93"/>
      <c r="R15" s="35" t="e">
        <f aca="false">SUM(C15:E15)/Q15</f>
        <v>#DIV/0!</v>
      </c>
      <c r="S15" s="94" t="e">
        <f aca="false">C15/Q15/M15</f>
        <v>#DIV/0!</v>
      </c>
      <c r="T15" s="94" t="e">
        <f aca="false">D15/Q15/M15</f>
        <v>#DIV/0!</v>
      </c>
      <c r="U15" s="36" t="e">
        <f aca="false">E15/Q15/M15</f>
        <v>#DIV/0!</v>
      </c>
      <c r="V15" s="36" t="e">
        <f aca="false">SUM(C15:E15)/Q15/M15</f>
        <v>#DIV/0!</v>
      </c>
      <c r="W15" s="36" t="e">
        <f aca="false">N15/Q15/M15</f>
        <v>#DIV/0!</v>
      </c>
      <c r="X15" s="180" t="e">
        <f aca="false">SUM(V15:W15)</f>
        <v>#DIV/0!</v>
      </c>
      <c r="Y15" s="181"/>
      <c r="Z15" s="38"/>
      <c r="AA15" s="39"/>
      <c r="AB15" s="40"/>
      <c r="AC15" s="40"/>
      <c r="AD15" s="40"/>
      <c r="AE15" s="40"/>
    </row>
    <row r="16" customFormat="false" ht="18.75" hidden="false" customHeight="true" outlineLevel="0" collapsed="false">
      <c r="A16" s="18" t="n">
        <v>2020</v>
      </c>
      <c r="B16" s="18" t="n">
        <v>10</v>
      </c>
      <c r="C16" s="24"/>
      <c r="D16" s="24" t="n">
        <v>1033.92</v>
      </c>
      <c r="E16" s="25"/>
      <c r="F16" s="26"/>
      <c r="G16" s="178"/>
      <c r="H16" s="27"/>
      <c r="I16" s="27"/>
      <c r="J16" s="89"/>
      <c r="K16" s="89"/>
      <c r="L16" s="28"/>
      <c r="M16" s="179"/>
      <c r="N16" s="24"/>
      <c r="O16" s="32"/>
      <c r="P16" s="92" t="e">
        <f aca="false">M16/O16</f>
        <v>#DIV/0!</v>
      </c>
      <c r="Q16" s="93"/>
      <c r="R16" s="35" t="e">
        <f aca="false">SUM(C16:E16)/Q16</f>
        <v>#DIV/0!</v>
      </c>
      <c r="S16" s="94" t="e">
        <f aca="false">C16/Q16/M16</f>
        <v>#DIV/0!</v>
      </c>
      <c r="T16" s="94" t="e">
        <f aca="false">D16/Q16/M16</f>
        <v>#DIV/0!</v>
      </c>
      <c r="U16" s="36" t="e">
        <f aca="false">E16/Q16/M16</f>
        <v>#DIV/0!</v>
      </c>
      <c r="V16" s="36" t="e">
        <f aca="false">SUM(C16:E16)/Q16/M16</f>
        <v>#DIV/0!</v>
      </c>
      <c r="W16" s="36" t="e">
        <f aca="false">N16/Q16/M16</f>
        <v>#DIV/0!</v>
      </c>
      <c r="X16" s="180" t="e">
        <f aca="false">SUM(V16:W16)</f>
        <v>#DIV/0!</v>
      </c>
      <c r="Y16" s="181"/>
      <c r="Z16" s="38"/>
      <c r="AA16" s="39"/>
      <c r="AB16" s="40"/>
      <c r="AC16" s="40"/>
      <c r="AD16" s="40"/>
      <c r="AE16" s="40"/>
    </row>
    <row r="17" customFormat="false" ht="18.75" hidden="false" customHeight="true" outlineLevel="0" collapsed="false">
      <c r="A17" s="18" t="n">
        <v>2020</v>
      </c>
      <c r="B17" s="18" t="n">
        <v>11</v>
      </c>
      <c r="C17" s="24"/>
      <c r="D17" s="24" t="n">
        <v>927.79</v>
      </c>
      <c r="E17" s="25"/>
      <c r="F17" s="26"/>
      <c r="G17" s="178" t="n">
        <v>182</v>
      </c>
      <c r="H17" s="27"/>
      <c r="I17" s="27"/>
      <c r="J17" s="89"/>
      <c r="K17" s="89"/>
      <c r="L17" s="90"/>
      <c r="M17" s="91"/>
      <c r="N17" s="24"/>
      <c r="O17" s="32"/>
      <c r="P17" s="92" t="e">
        <f aca="false">M17/O17</f>
        <v>#DIV/0!</v>
      </c>
      <c r="Q17" s="93" t="n">
        <f aca="false">'$'!C108</f>
        <v>7.983238</v>
      </c>
      <c r="R17" s="35" t="n">
        <f aca="false">SUM(C17:E17)/Q17</f>
        <v>116.217254201866</v>
      </c>
      <c r="S17" s="94" t="e">
        <f aca="false">C17/Q17/M17</f>
        <v>#DIV/0!</v>
      </c>
      <c r="T17" s="94" t="e">
        <f aca="false">D17/Q17/M17</f>
        <v>#DIV/0!</v>
      </c>
      <c r="U17" s="36" t="e">
        <f aca="false">E17/Q17/M17</f>
        <v>#DIV/0!</v>
      </c>
      <c r="V17" s="36" t="e">
        <f aca="false">SUM(C17:E17)/Q17/M17</f>
        <v>#DIV/0!</v>
      </c>
      <c r="W17" s="36" t="e">
        <f aca="false">N17/Q17/M17</f>
        <v>#DIV/0!</v>
      </c>
      <c r="X17" s="180" t="e">
        <f aca="false">SUM(V17:W17)</f>
        <v>#DIV/0!</v>
      </c>
      <c r="Y17" s="181"/>
      <c r="Z17" s="38"/>
      <c r="AA17" s="39"/>
      <c r="AB17" s="40"/>
      <c r="AC17" s="40" t="n">
        <f aca="false">D17/G17</f>
        <v>5.09774725274725</v>
      </c>
      <c r="AD17" s="40"/>
      <c r="AE17" s="40"/>
    </row>
    <row r="18" customFormat="false" ht="18.75" hidden="false" customHeight="true" outlineLevel="0" collapsed="false">
      <c r="A18" s="18" t="n">
        <v>2020</v>
      </c>
      <c r="B18" s="18" t="n">
        <v>12</v>
      </c>
      <c r="C18" s="24"/>
      <c r="D18" s="24" t="n">
        <v>722.14</v>
      </c>
      <c r="E18" s="25"/>
      <c r="F18" s="26"/>
      <c r="G18" s="178" t="n">
        <v>72</v>
      </c>
      <c r="H18" s="27"/>
      <c r="I18" s="27"/>
      <c r="J18" s="89"/>
      <c r="K18" s="89"/>
      <c r="L18" s="90"/>
      <c r="M18" s="91"/>
      <c r="N18" s="24"/>
      <c r="O18" s="32"/>
      <c r="P18" s="92" t="e">
        <f aca="false">M18/O18</f>
        <v>#DIV/0!</v>
      </c>
      <c r="Q18" s="93" t="n">
        <f aca="false">'$'!C109</f>
        <v>7.718763</v>
      </c>
      <c r="R18" s="35" t="n">
        <f aca="false">SUM(C18:E18)/Q18</f>
        <v>93.5564416215396</v>
      </c>
      <c r="S18" s="94" t="e">
        <f aca="false">C18/Q18/M18</f>
        <v>#DIV/0!</v>
      </c>
      <c r="T18" s="94" t="e">
        <f aca="false">D18/Q18/M18</f>
        <v>#DIV/0!</v>
      </c>
      <c r="U18" s="36" t="e">
        <f aca="false">E18/Q18/M18</f>
        <v>#DIV/0!</v>
      </c>
      <c r="V18" s="36" t="e">
        <f aca="false">SUM(C18:E18)/Q18/M18</f>
        <v>#DIV/0!</v>
      </c>
      <c r="W18" s="36" t="e">
        <f aca="false">N18/Q18/M18</f>
        <v>#DIV/0!</v>
      </c>
      <c r="X18" s="180" t="e">
        <f aca="false">SUM(V18:W18)</f>
        <v>#DIV/0!</v>
      </c>
      <c r="Y18" s="181"/>
      <c r="Z18" s="38"/>
      <c r="AA18" s="39"/>
      <c r="AB18" s="40"/>
      <c r="AC18" s="40" t="n">
        <f aca="false">D18/G18</f>
        <v>10.0297222222222</v>
      </c>
      <c r="AD18" s="40"/>
      <c r="AE18" s="40"/>
    </row>
    <row r="19" customFormat="false" ht="18.75" hidden="false" customHeight="true" outlineLevel="0" collapsed="false">
      <c r="A19" s="18" t="n">
        <v>2021</v>
      </c>
      <c r="B19" s="18" t="n">
        <v>1</v>
      </c>
      <c r="C19" s="24"/>
      <c r="D19" s="24" t="n">
        <v>1263.04</v>
      </c>
      <c r="E19" s="25"/>
      <c r="F19" s="26"/>
      <c r="G19" s="178" t="n">
        <v>63</v>
      </c>
      <c r="H19" s="27"/>
      <c r="I19" s="27"/>
      <c r="J19" s="89"/>
      <c r="K19" s="89"/>
      <c r="L19" s="90"/>
      <c r="M19" s="91"/>
      <c r="N19" s="24"/>
      <c r="O19" s="32"/>
      <c r="P19" s="92" t="e">
        <f aca="false">M19/O19</f>
        <v>#DIV/0!</v>
      </c>
      <c r="Q19" s="93" t="n">
        <f aca="false">'$'!C110</f>
        <v>7.403641</v>
      </c>
      <c r="R19" s="35" t="n">
        <f aca="false">SUM(C19:E19)/Q19</f>
        <v>170.597142676151</v>
      </c>
      <c r="S19" s="94" t="e">
        <f aca="false">C19/Q19/M19</f>
        <v>#DIV/0!</v>
      </c>
      <c r="T19" s="94" t="e">
        <f aca="false">D19/Q19/M19</f>
        <v>#DIV/0!</v>
      </c>
      <c r="U19" s="36" t="e">
        <f aca="false">E19/Q19/M19</f>
        <v>#DIV/0!</v>
      </c>
      <c r="V19" s="36" t="e">
        <f aca="false">SUM(C19:E19)/Q19/M19</f>
        <v>#DIV/0!</v>
      </c>
      <c r="W19" s="36" t="e">
        <f aca="false">N19/Q19/M19</f>
        <v>#DIV/0!</v>
      </c>
      <c r="X19" s="180" t="e">
        <f aca="false">SUM(V19:W19)</f>
        <v>#DIV/0!</v>
      </c>
      <c r="Y19" s="181"/>
      <c r="Z19" s="38"/>
      <c r="AA19" s="39"/>
      <c r="AB19" s="40"/>
      <c r="AC19" s="40" t="n">
        <f aca="false">D19/G19</f>
        <v>20.048253968254</v>
      </c>
      <c r="AD19" s="40"/>
      <c r="AE19" s="40"/>
    </row>
    <row r="20" customFormat="false" ht="18.75" hidden="false" customHeight="true" outlineLevel="0" collapsed="false">
      <c r="A20" s="18" t="n">
        <v>2021</v>
      </c>
      <c r="B20" s="18" t="n">
        <v>2</v>
      </c>
      <c r="C20" s="24"/>
      <c r="D20" s="24" t="n">
        <v>1240.3</v>
      </c>
      <c r="E20" s="25"/>
      <c r="F20" s="26"/>
      <c r="G20" s="178" t="n">
        <v>56</v>
      </c>
      <c r="H20" s="27"/>
      <c r="I20" s="27"/>
      <c r="J20" s="89"/>
      <c r="K20" s="89"/>
      <c r="L20" s="90"/>
      <c r="M20" s="91"/>
      <c r="N20" s="24"/>
      <c r="O20" s="32"/>
      <c r="P20" s="92" t="e">
        <f aca="false">M20/O20</f>
        <v>#DIV/0!</v>
      </c>
      <c r="Q20" s="93" t="n">
        <f aca="false">'$'!C111</f>
        <v>7.099851</v>
      </c>
      <c r="R20" s="35" t="n">
        <f aca="false">SUM(C20:E20)/Q20</f>
        <v>174.69380695454</v>
      </c>
      <c r="S20" s="94" t="e">
        <f aca="false">C20/Q20/M20</f>
        <v>#DIV/0!</v>
      </c>
      <c r="T20" s="94" t="e">
        <f aca="false">D20/Q20/M20</f>
        <v>#DIV/0!</v>
      </c>
      <c r="U20" s="36" t="e">
        <f aca="false">E20/Q20/M20</f>
        <v>#DIV/0!</v>
      </c>
      <c r="V20" s="36" t="e">
        <f aca="false">SUM(C20:E20)/Q20/M20</f>
        <v>#DIV/0!</v>
      </c>
      <c r="W20" s="36" t="e">
        <f aca="false">N20/Q20/M20</f>
        <v>#DIV/0!</v>
      </c>
      <c r="X20" s="180" t="e">
        <f aca="false">SUM(V20:W20)</f>
        <v>#DIV/0!</v>
      </c>
      <c r="Y20" s="181"/>
      <c r="Z20" s="38"/>
      <c r="AA20" s="39"/>
      <c r="AB20" s="40"/>
      <c r="AC20" s="40" t="n">
        <f aca="false">D20/G20</f>
        <v>22.1482142857143</v>
      </c>
      <c r="AD20" s="40"/>
      <c r="AE20" s="40"/>
    </row>
    <row r="21" customFormat="false" ht="18.75" hidden="false" customHeight="true" outlineLevel="0" collapsed="false">
      <c r="A21" s="18" t="n">
        <v>2021</v>
      </c>
      <c r="B21" s="18" t="n">
        <v>3</v>
      </c>
      <c r="C21" s="24"/>
      <c r="D21" s="24" t="n">
        <v>1412.17</v>
      </c>
      <c r="E21" s="25" t="n">
        <v>2428.06</v>
      </c>
      <c r="F21" s="26"/>
      <c r="G21" s="178" t="n">
        <v>132</v>
      </c>
      <c r="H21" s="27" t="n">
        <v>2015.37</v>
      </c>
      <c r="I21" s="27"/>
      <c r="J21" s="89"/>
      <c r="K21" s="89"/>
      <c r="L21" s="90"/>
      <c r="M21" s="91"/>
      <c r="N21" s="24"/>
      <c r="O21" s="32"/>
      <c r="P21" s="92" t="e">
        <f aca="false">M21/O21</f>
        <v>#DIV/0!</v>
      </c>
      <c r="Q21" s="93" t="n">
        <f aca="false">'$'!C112</f>
        <v>7.64142</v>
      </c>
      <c r="R21" s="35" t="n">
        <f aca="false">SUM(C21:E21)/Q21</f>
        <v>502.554499032902</v>
      </c>
      <c r="S21" s="94" t="e">
        <f aca="false">C21/Q21/M21</f>
        <v>#DIV/0!</v>
      </c>
      <c r="T21" s="94" t="e">
        <f aca="false">D21/Q21/M21</f>
        <v>#DIV/0!</v>
      </c>
      <c r="U21" s="36" t="e">
        <f aca="false">E21/Q21/M21</f>
        <v>#DIV/0!</v>
      </c>
      <c r="V21" s="36" t="e">
        <f aca="false">SUM(C21:E21)/Q21/M21</f>
        <v>#DIV/0!</v>
      </c>
      <c r="W21" s="36" t="e">
        <f aca="false">N21/Q21/M21</f>
        <v>#DIV/0!</v>
      </c>
      <c r="X21" s="180" t="e">
        <f aca="false">SUM(V21:W21)</f>
        <v>#DIV/0!</v>
      </c>
      <c r="Y21" s="181"/>
      <c r="Z21" s="38"/>
      <c r="AA21" s="39"/>
      <c r="AB21" s="40"/>
      <c r="AC21" s="40" t="n">
        <f aca="false">D21/G21</f>
        <v>10.6982575757576</v>
      </c>
      <c r="AD21" s="40" t="n">
        <f aca="false">E21/H21</f>
        <v>1.20477133231119</v>
      </c>
      <c r="AE21" s="40"/>
    </row>
    <row r="22" customFormat="false" ht="18.75" hidden="false" customHeight="true" outlineLevel="0" collapsed="false">
      <c r="A22" s="18" t="n">
        <v>2021</v>
      </c>
      <c r="B22" s="18" t="n">
        <v>4</v>
      </c>
      <c r="C22" s="24"/>
      <c r="D22" s="24" t="n">
        <v>1725.74</v>
      </c>
      <c r="E22" s="25" t="n">
        <v>6697.27</v>
      </c>
      <c r="F22" s="26"/>
      <c r="G22" s="178" t="n">
        <v>277</v>
      </c>
      <c r="H22" s="27" t="n">
        <v>7677.81</v>
      </c>
      <c r="I22" s="27"/>
      <c r="J22" s="89"/>
      <c r="K22" s="89"/>
      <c r="L22" s="90"/>
      <c r="M22" s="91"/>
      <c r="N22" s="24"/>
      <c r="O22" s="32"/>
      <c r="P22" s="92" t="e">
        <f aca="false">M22/O22</f>
        <v>#DIV/0!</v>
      </c>
      <c r="Q22" s="93" t="n">
        <f aca="false">'$'!C113</f>
        <v>8.183046</v>
      </c>
      <c r="R22" s="35" t="n">
        <f aca="false">SUM(C22:E22)/Q22</f>
        <v>1029.32453269846</v>
      </c>
      <c r="S22" s="94" t="e">
        <f aca="false">C22/Q22/M22</f>
        <v>#DIV/0!</v>
      </c>
      <c r="T22" s="94" t="e">
        <f aca="false">D22/Q22/M22</f>
        <v>#DIV/0!</v>
      </c>
      <c r="U22" s="36" t="e">
        <f aca="false">E22/Q22/M22</f>
        <v>#DIV/0!</v>
      </c>
      <c r="V22" s="36" t="e">
        <f aca="false">SUM(C22:E22)/Q22/M22</f>
        <v>#DIV/0!</v>
      </c>
      <c r="W22" s="36" t="e">
        <f aca="false">N22/Q22/M22</f>
        <v>#DIV/0!</v>
      </c>
      <c r="X22" s="180" t="e">
        <f aca="false">SUM(V22:W22)</f>
        <v>#DIV/0!</v>
      </c>
      <c r="Y22" s="181"/>
      <c r="Z22" s="38"/>
      <c r="AA22" s="39"/>
      <c r="AB22" s="40"/>
      <c r="AC22" s="40" t="n">
        <f aca="false">D22/G22</f>
        <v>6.2301083032491</v>
      </c>
      <c r="AD22" s="40" t="n">
        <f aca="false">E22/H22</f>
        <v>0.872289103272938</v>
      </c>
      <c r="AE22" s="40"/>
    </row>
    <row r="23" customFormat="false" ht="18.75" hidden="false" customHeight="true" outlineLevel="0" collapsed="false">
      <c r="A23" s="18" t="n">
        <v>2021</v>
      </c>
      <c r="B23" s="18" t="n">
        <v>5</v>
      </c>
      <c r="C23" s="24"/>
      <c r="D23" s="24" t="n">
        <v>1340.31</v>
      </c>
      <c r="E23" s="25" t="n">
        <v>38407.28</v>
      </c>
      <c r="F23" s="26"/>
      <c r="G23" s="178" t="n">
        <v>99</v>
      </c>
      <c r="H23" s="27" t="n">
        <v>54869.22</v>
      </c>
      <c r="I23" s="27"/>
      <c r="J23" s="89"/>
      <c r="K23" s="89"/>
      <c r="L23" s="90"/>
      <c r="M23" s="91"/>
      <c r="N23" s="24"/>
      <c r="O23" s="32"/>
      <c r="P23" s="92" t="e">
        <f aca="false">M23/O23</f>
        <v>#DIV/0!</v>
      </c>
      <c r="Q23" s="93" t="n">
        <f aca="false">'$'!C114</f>
        <v>8.384721</v>
      </c>
      <c r="R23" s="35" t="n">
        <f aca="false">SUM(C23:E23)/Q23</f>
        <v>4740.47854424733</v>
      </c>
      <c r="S23" s="94" t="e">
        <f aca="false">C23/Q23/M23</f>
        <v>#DIV/0!</v>
      </c>
      <c r="T23" s="94" t="e">
        <f aca="false">D23/Q23/M23</f>
        <v>#DIV/0!</v>
      </c>
      <c r="U23" s="36" t="e">
        <f aca="false">E23/Q23/M23</f>
        <v>#DIV/0!</v>
      </c>
      <c r="V23" s="36" t="e">
        <f aca="false">SUM(C23:E23)/Q23/M23</f>
        <v>#DIV/0!</v>
      </c>
      <c r="W23" s="36" t="e">
        <f aca="false">N23/Q23/M23</f>
        <v>#DIV/0!</v>
      </c>
      <c r="X23" s="180" t="e">
        <f aca="false">SUM(V23:W23)</f>
        <v>#DIV/0!</v>
      </c>
      <c r="Y23" s="181"/>
      <c r="Z23" s="38"/>
      <c r="AA23" s="39"/>
      <c r="AB23" s="40"/>
      <c r="AC23" s="40" t="n">
        <f aca="false">D23/G23</f>
        <v>13.5384848484848</v>
      </c>
      <c r="AD23" s="40" t="n">
        <f aca="false">E23/H23</f>
        <v>0.699978603668869</v>
      </c>
      <c r="AE23" s="40"/>
    </row>
    <row r="24" customFormat="false" ht="18.75" hidden="false" customHeight="true" outlineLevel="0" collapsed="false">
      <c r="A24" s="18" t="n">
        <v>2021</v>
      </c>
      <c r="B24" s="18" t="n">
        <v>6</v>
      </c>
      <c r="C24" s="24"/>
      <c r="D24" s="24" t="n">
        <v>1951.87</v>
      </c>
      <c r="E24" s="25" t="n">
        <v>66675.75</v>
      </c>
      <c r="F24" s="26"/>
      <c r="G24" s="178" t="n">
        <v>373</v>
      </c>
      <c r="H24" s="27" t="n">
        <v>91939.68</v>
      </c>
      <c r="I24" s="27"/>
      <c r="J24" s="89"/>
      <c r="K24" s="89"/>
      <c r="L24" s="90"/>
      <c r="M24" s="91"/>
      <c r="N24" s="24"/>
      <c r="O24" s="32"/>
      <c r="P24" s="92" t="e">
        <f aca="false">M24/O24</f>
        <v>#DIV/0!</v>
      </c>
      <c r="Q24" s="93" t="n">
        <f aca="false">'$'!C115</f>
        <v>8.631709</v>
      </c>
      <c r="R24" s="35" t="n">
        <f aca="false">SUM(C24:E24)/Q24</f>
        <v>7950.64106076792</v>
      </c>
      <c r="S24" s="94" t="e">
        <f aca="false">C24/Q24/M24</f>
        <v>#DIV/0!</v>
      </c>
      <c r="T24" s="94" t="e">
        <f aca="false">D24/Q24/M24</f>
        <v>#DIV/0!</v>
      </c>
      <c r="U24" s="36" t="e">
        <f aca="false">E24/Q24/M24</f>
        <v>#DIV/0!</v>
      </c>
      <c r="V24" s="36" t="e">
        <f aca="false">SUM(C24:E24)/Q24/M24</f>
        <v>#DIV/0!</v>
      </c>
      <c r="W24" s="36" t="e">
        <f aca="false">N24/Q24/M24</f>
        <v>#DIV/0!</v>
      </c>
      <c r="X24" s="180" t="e">
        <f aca="false">SUM(V24:W24)</f>
        <v>#DIV/0!</v>
      </c>
      <c r="Y24" s="181"/>
      <c r="Z24" s="38"/>
      <c r="AA24" s="39"/>
      <c r="AB24" s="40"/>
      <c r="AC24" s="40" t="n">
        <f aca="false">D24/G24</f>
        <v>5.23289544235925</v>
      </c>
      <c r="AD24" s="40" t="n">
        <f aca="false">E24/H24</f>
        <v>0.725211899802131</v>
      </c>
      <c r="AE24" s="40"/>
    </row>
    <row r="25" customFormat="false" ht="18.75" hidden="false" customHeight="true" outlineLevel="0" collapsed="false">
      <c r="A25" s="18" t="n">
        <v>2021</v>
      </c>
      <c r="B25" s="18" t="n">
        <v>7</v>
      </c>
      <c r="C25" s="24"/>
      <c r="D25" s="24" t="n">
        <f aca="false">1480.57+67.15</f>
        <v>1547.72</v>
      </c>
      <c r="E25" s="25" t="n">
        <v>93124.43</v>
      </c>
      <c r="F25" s="26"/>
      <c r="G25" s="178" t="n">
        <f aca="false">161+5</f>
        <v>166</v>
      </c>
      <c r="H25" s="27" t="n">
        <v>111149.64</v>
      </c>
      <c r="I25" s="27"/>
      <c r="J25" s="89" t="n">
        <v>1314</v>
      </c>
      <c r="K25" s="89" t="n">
        <v>10685</v>
      </c>
      <c r="L25" s="90" t="n">
        <v>11999</v>
      </c>
      <c r="M25" s="91" t="n">
        <v>1313.9</v>
      </c>
      <c r="N25" s="24"/>
      <c r="O25" s="32"/>
      <c r="P25" s="92" t="e">
        <f aca="false">M25/O25</f>
        <v>#DIV/0!</v>
      </c>
      <c r="Q25" s="93" t="n">
        <f aca="false">'$'!C116</f>
        <v>8.605101</v>
      </c>
      <c r="R25" s="35" t="n">
        <f aca="false">SUM(C25:E25)/Q25</f>
        <v>11001.8638944505</v>
      </c>
      <c r="S25" s="94" t="n">
        <f aca="false">C25/Q25/M25</f>
        <v>0</v>
      </c>
      <c r="T25" s="94" t="n">
        <f aca="false">D25/Q25/M25</f>
        <v>0.13689075221351</v>
      </c>
      <c r="U25" s="36" t="n">
        <f aca="false">E25/Q25/M25</f>
        <v>8.23655006858755</v>
      </c>
      <c r="V25" s="36" t="n">
        <f aca="false">SUM(C25:E25)/Q25/M25</f>
        <v>8.37344082080106</v>
      </c>
      <c r="W25" s="36" t="n">
        <f aca="false">N25/Q25/M25</f>
        <v>0</v>
      </c>
      <c r="X25" s="180" t="n">
        <f aca="false">SUM(V25:W25)</f>
        <v>8.37344082080106</v>
      </c>
      <c r="Y25" s="181"/>
      <c r="Z25" s="38"/>
      <c r="AA25" s="39"/>
      <c r="AB25" s="40"/>
      <c r="AC25" s="40" t="n">
        <f aca="false">D25/G25</f>
        <v>9.32361445783133</v>
      </c>
      <c r="AD25" s="40" t="n">
        <f aca="false">E25/H25</f>
        <v>0.837829344296572</v>
      </c>
      <c r="AE25" s="40"/>
    </row>
    <row r="26" customFormat="false" ht="18.75" hidden="false" customHeight="true" outlineLevel="0" collapsed="false">
      <c r="A26" s="18" t="n">
        <v>2021</v>
      </c>
      <c r="B26" s="18" t="n">
        <v>8</v>
      </c>
      <c r="C26" s="24"/>
      <c r="D26" s="24" t="n">
        <f aca="false">1836.49+96.12</f>
        <v>1932.61</v>
      </c>
      <c r="E26" s="25" t="n">
        <v>100834.86</v>
      </c>
      <c r="F26" s="26"/>
      <c r="G26" s="178" t="n">
        <f aca="false">310+0</f>
        <v>310</v>
      </c>
      <c r="H26" s="27" t="n">
        <v>116185.86</v>
      </c>
      <c r="I26" s="27"/>
      <c r="J26" s="89" t="n">
        <v>32209</v>
      </c>
      <c r="K26" s="89" t="n">
        <v>32116</v>
      </c>
      <c r="L26" s="90" t="n">
        <v>64325</v>
      </c>
      <c r="M26" s="91" t="n">
        <v>32208.5</v>
      </c>
      <c r="N26" s="24"/>
      <c r="O26" s="32"/>
      <c r="P26" s="92" t="e">
        <f aca="false">M26/O26</f>
        <v>#DIV/0!</v>
      </c>
      <c r="Q26" s="93" t="n">
        <f aca="false">'$'!C117</f>
        <v>8.484798</v>
      </c>
      <c r="R26" s="35" t="n">
        <f aca="false">SUM(C26:E26)/Q26</f>
        <v>12111.9524589743</v>
      </c>
      <c r="S26" s="94" t="n">
        <f aca="false">C26/Q26/M26</f>
        <v>0</v>
      </c>
      <c r="T26" s="94" t="n">
        <f aca="false">D26/Q26/M26</f>
        <v>0.00707183656823413</v>
      </c>
      <c r="U26" s="36" t="n">
        <f aca="false">E26/Q26/M26</f>
        <v>0.36897648791053</v>
      </c>
      <c r="V26" s="36" t="n">
        <f aca="false">SUM(C26:E26)/Q26/M26</f>
        <v>0.376048324478764</v>
      </c>
      <c r="W26" s="36" t="n">
        <f aca="false">N26/Q26/M26</f>
        <v>0</v>
      </c>
      <c r="X26" s="180" t="n">
        <f aca="false">SUM(V26:W26)</f>
        <v>0.376048324478764</v>
      </c>
      <c r="Y26" s="181"/>
      <c r="Z26" s="38" t="n">
        <f aca="false">G26/M26</f>
        <v>0.00962478848751106</v>
      </c>
      <c r="AA26" s="39" t="n">
        <f aca="false">H26/M26</f>
        <v>3.60730428303088</v>
      </c>
      <c r="AB26" s="40"/>
      <c r="AC26" s="40" t="n">
        <f aca="false">D26/G26</f>
        <v>6.23422580645161</v>
      </c>
      <c r="AD26" s="40" t="n">
        <f aca="false">E26/H26</f>
        <v>0.867875488463054</v>
      </c>
      <c r="AE26" s="40"/>
    </row>
    <row r="27" customFormat="false" ht="18.75" hidden="false" customHeight="true" outlineLevel="0" collapsed="false">
      <c r="A27" s="18" t="n">
        <v>2021</v>
      </c>
      <c r="B27" s="18" t="n">
        <v>9</v>
      </c>
      <c r="C27" s="24"/>
      <c r="D27" s="24" t="n">
        <f aca="false">1642.11+237.87</f>
        <v>1879.98</v>
      </c>
      <c r="E27" s="25" t="n">
        <v>66288.18</v>
      </c>
      <c r="F27" s="26"/>
      <c r="G27" s="178" t="n">
        <f aca="false">222+17</f>
        <v>239</v>
      </c>
      <c r="H27" s="27" t="n">
        <v>108799</v>
      </c>
      <c r="I27" s="27" t="n">
        <v>106872</v>
      </c>
      <c r="J27" s="89" t="n">
        <v>58054</v>
      </c>
      <c r="K27" s="89" t="n">
        <v>49682</v>
      </c>
      <c r="L27" s="90" t="n">
        <v>107735</v>
      </c>
      <c r="M27" s="91" t="n">
        <v>58053.8</v>
      </c>
      <c r="N27" s="24"/>
      <c r="O27" s="32"/>
      <c r="P27" s="92" t="e">
        <f aca="false">M27/O27</f>
        <v>#DIV/0!</v>
      </c>
      <c r="Q27" s="93" t="n">
        <f aca="false">'$'!C118</f>
        <v>8.554109</v>
      </c>
      <c r="R27" s="35" t="n">
        <f aca="false">SUM(C27:E27)/Q27</f>
        <v>7969.05440414659</v>
      </c>
      <c r="S27" s="94" t="n">
        <f aca="false">C27/Q27/M27</f>
        <v>0</v>
      </c>
      <c r="T27" s="94" t="n">
        <f aca="false">D27/Q27/M27</f>
        <v>0.0037857139617385</v>
      </c>
      <c r="U27" s="36" t="n">
        <f aca="false">E27/Q27/M27</f>
        <v>0.13348444585806</v>
      </c>
      <c r="V27" s="36" t="n">
        <f aca="false">SUM(C27:E27)/Q27/M27</f>
        <v>0.137270159819798</v>
      </c>
      <c r="W27" s="36" t="n">
        <f aca="false">N27/Q27/M27</f>
        <v>0</v>
      </c>
      <c r="X27" s="180" t="n">
        <f aca="false">SUM(V27:W27)</f>
        <v>0.137270159819798</v>
      </c>
      <c r="Y27" s="181"/>
      <c r="Z27" s="38" t="n">
        <f aca="false">G27/M27</f>
        <v>0.00411687090250767</v>
      </c>
      <c r="AA27" s="39" t="n">
        <f aca="false">H27/M27</f>
        <v>1.87410643230934</v>
      </c>
      <c r="AB27" s="40"/>
      <c r="AC27" s="40" t="n">
        <f aca="false">D27/G27</f>
        <v>7.86602510460251</v>
      </c>
      <c r="AD27" s="40" t="n">
        <f aca="false">E27/H27</f>
        <v>0.609271960220223</v>
      </c>
      <c r="AE27" s="40"/>
    </row>
    <row r="28" customFormat="false" ht="18.75" hidden="false" customHeight="true" outlineLevel="0" collapsed="false">
      <c r="A28" s="18" t="n">
        <v>2021</v>
      </c>
      <c r="B28" s="18" t="n">
        <v>10</v>
      </c>
      <c r="C28" s="24"/>
      <c r="D28" s="24" t="n">
        <f aca="false">2275.42+183.91</f>
        <v>2459.33</v>
      </c>
      <c r="E28" s="25" t="n">
        <v>56773.84</v>
      </c>
      <c r="F28" s="26"/>
      <c r="G28" s="178" t="n">
        <f aca="false">298+13</f>
        <v>311</v>
      </c>
      <c r="H28" s="27" t="n">
        <v>187623</v>
      </c>
      <c r="I28" s="27" t="n">
        <v>132476</v>
      </c>
      <c r="J28" s="89" t="n">
        <v>53515</v>
      </c>
      <c r="K28" s="89" t="n">
        <v>55226</v>
      </c>
      <c r="L28" s="90" t="n">
        <v>108741</v>
      </c>
      <c r="M28" s="91" t="n">
        <v>53515</v>
      </c>
      <c r="N28" s="24" t="n">
        <v>142271</v>
      </c>
      <c r="O28" s="32" t="n">
        <v>60</v>
      </c>
      <c r="P28" s="92" t="n">
        <f aca="false">M28/O28</f>
        <v>891.916666666667</v>
      </c>
      <c r="Q28" s="93" t="n">
        <f aca="false">'$'!C119</f>
        <v>9.219938</v>
      </c>
      <c r="R28" s="35" t="n">
        <f aca="false">SUM(C28:E28)/Q28</f>
        <v>6424.46511028599</v>
      </c>
      <c r="S28" s="94" t="n">
        <f aca="false">C28/Q28/M28</f>
        <v>0</v>
      </c>
      <c r="T28" s="94" t="n">
        <f aca="false">D28/Q28/M28</f>
        <v>0.0049844044737495</v>
      </c>
      <c r="U28" s="36" t="n">
        <f aca="false">E28/Q28/M28</f>
        <v>0.115065396708835</v>
      </c>
      <c r="V28" s="36" t="n">
        <f aca="false">SUM(C28:E28)/Q28/M28</f>
        <v>0.120049801182584</v>
      </c>
      <c r="W28" s="36" t="n">
        <f aca="false">N28/Q28/M28</f>
        <v>0.288345284644523</v>
      </c>
      <c r="X28" s="180" t="n">
        <f aca="false">SUM(V28:W28)</f>
        <v>0.408395085827107</v>
      </c>
      <c r="Y28" s="181"/>
      <c r="Z28" s="38" t="n">
        <f aca="false">G28/M28</f>
        <v>0.00581145473231804</v>
      </c>
      <c r="AA28" s="39" t="n">
        <f aca="false">H28/M28</f>
        <v>3.50598897505372</v>
      </c>
      <c r="AB28" s="40"/>
      <c r="AC28" s="40" t="n">
        <f aca="false">D28/G28</f>
        <v>7.90781350482315</v>
      </c>
      <c r="AD28" s="40" t="n">
        <f aca="false">E28/H28</f>
        <v>0.302595310809442</v>
      </c>
      <c r="AE28" s="40" t="n">
        <f aca="false">E28/(H28-I28)</f>
        <v>1.02950006346673</v>
      </c>
    </row>
    <row r="29" customFormat="false" ht="18.75" hidden="false" customHeight="true" outlineLevel="0" collapsed="false">
      <c r="A29" s="18" t="n">
        <v>2021</v>
      </c>
      <c r="B29" s="18" t="n">
        <v>11</v>
      </c>
      <c r="C29" s="24"/>
      <c r="D29" s="24" t="n">
        <f aca="false">2051.24+201.88</f>
        <v>2253.12</v>
      </c>
      <c r="E29" s="25" t="n">
        <v>88437.78</v>
      </c>
      <c r="F29" s="26"/>
      <c r="G29" s="178" t="n">
        <f aca="false">214+12</f>
        <v>226</v>
      </c>
      <c r="H29" s="27" t="n">
        <v>160969</v>
      </c>
      <c r="I29" s="27" t="n">
        <v>85924</v>
      </c>
      <c r="J29" s="89" t="n">
        <v>43618</v>
      </c>
      <c r="K29" s="89" t="n">
        <v>30134</v>
      </c>
      <c r="L29" s="90" t="n">
        <v>73751</v>
      </c>
      <c r="M29" s="91" t="n">
        <v>43617.7</v>
      </c>
      <c r="N29" s="24" t="n">
        <v>142750</v>
      </c>
      <c r="O29" s="32" t="n">
        <v>65</v>
      </c>
      <c r="P29" s="92" t="n">
        <f aca="false">M29/O29</f>
        <v>671.041538461538</v>
      </c>
      <c r="Q29" s="93" t="n">
        <f aca="false">'$'!C120</f>
        <v>10.680956</v>
      </c>
      <c r="R29" s="35" t="n">
        <f aca="false">SUM(C29:E29)/Q29</f>
        <v>8490.89725676241</v>
      </c>
      <c r="S29" s="94" t="n">
        <f aca="false">C29/Q29/M29</f>
        <v>0</v>
      </c>
      <c r="T29" s="94" t="n">
        <f aca="false">D29/Q29/M29</f>
        <v>0.00483627998671288</v>
      </c>
      <c r="U29" s="36" t="n">
        <f aca="false">E29/Q29/M29</f>
        <v>0.189830042555796</v>
      </c>
      <c r="V29" s="36" t="n">
        <f aca="false">SUM(C29:E29)/Q29/M29</f>
        <v>0.194666322542509</v>
      </c>
      <c r="W29" s="36" t="n">
        <f aca="false">N29/Q29/M29</f>
        <v>0.306410208112867</v>
      </c>
      <c r="X29" s="180" t="n">
        <f aca="false">SUM(V29:W29)</f>
        <v>0.501076530655376</v>
      </c>
      <c r="Y29" s="181"/>
      <c r="Z29" s="38" t="n">
        <f aca="false">G29/M29</f>
        <v>0.00518138278726297</v>
      </c>
      <c r="AA29" s="39" t="n">
        <f aca="false">H29/M29</f>
        <v>3.6904513534643</v>
      </c>
      <c r="AB29" s="40"/>
      <c r="AC29" s="40" t="n">
        <f aca="false">D29/G29</f>
        <v>9.96955752212389</v>
      </c>
      <c r="AD29" s="40" t="n">
        <f aca="false">E29/H29</f>
        <v>0.549408768147904</v>
      </c>
      <c r="AE29" s="40" t="n">
        <f aca="false">E29/(H29-I29)</f>
        <v>1.1784633220068</v>
      </c>
    </row>
    <row r="30" customFormat="false" ht="18.75" hidden="false" customHeight="true" outlineLevel="0" collapsed="false">
      <c r="A30" s="18" t="n">
        <v>2021</v>
      </c>
      <c r="B30" s="18" t="n">
        <v>12</v>
      </c>
      <c r="C30" s="24"/>
      <c r="D30" s="24" t="n">
        <f aca="false">1951.71+191.79</f>
        <v>2143.5</v>
      </c>
      <c r="E30" s="25" t="n">
        <v>136055.11</v>
      </c>
      <c r="F30" s="26"/>
      <c r="G30" s="178" t="n">
        <f aca="false">223+10</f>
        <v>233</v>
      </c>
      <c r="H30" s="27" t="n">
        <v>164504</v>
      </c>
      <c r="I30" s="27" t="n">
        <v>63727</v>
      </c>
      <c r="J30" s="89" t="n">
        <v>49112</v>
      </c>
      <c r="K30" s="89"/>
      <c r="L30" s="90" t="n">
        <v>49112</v>
      </c>
      <c r="M30" s="91" t="n">
        <v>48310.1</v>
      </c>
      <c r="N30" s="24" t="n">
        <v>184721</v>
      </c>
      <c r="O30" s="32" t="n">
        <v>71</v>
      </c>
      <c r="P30" s="92" t="n">
        <f aca="false">M30/O30</f>
        <v>680.423943661972</v>
      </c>
      <c r="Q30" s="93" t="n">
        <f aca="false">'$'!C121</f>
        <v>13.466856</v>
      </c>
      <c r="R30" s="35" t="n">
        <f aca="false">SUM(C30:E30)/Q30</f>
        <v>10262.1287403682</v>
      </c>
      <c r="S30" s="94" t="n">
        <f aca="false">C30/Q30/M30</f>
        <v>0</v>
      </c>
      <c r="T30" s="94" t="n">
        <f aca="false">D30/Q30/M30</f>
        <v>0.00329472624283308</v>
      </c>
      <c r="U30" s="36" t="n">
        <f aca="false">E30/Q30/M30</f>
        <v>0.209127287794981</v>
      </c>
      <c r="V30" s="36" t="n">
        <f aca="false">SUM(C30:E30)/Q30/M30</f>
        <v>0.212422014037814</v>
      </c>
      <c r="W30" s="36" t="n">
        <f aca="false">N30/Q30/M30</f>
        <v>0.28393054644384</v>
      </c>
      <c r="X30" s="180" t="n">
        <f aca="false">SUM(V30:W30)</f>
        <v>0.496352560481654</v>
      </c>
      <c r="Y30" s="181"/>
      <c r="Z30" s="38" t="n">
        <f aca="false">G30/M30</f>
        <v>0.00482300802523696</v>
      </c>
      <c r="AA30" s="39" t="n">
        <f aca="false">H30/M30</f>
        <v>3.40516786344884</v>
      </c>
      <c r="AB30" s="40"/>
      <c r="AC30" s="40" t="n">
        <f aca="false">D30/G30</f>
        <v>9.19957081545064</v>
      </c>
      <c r="AD30" s="40" t="n">
        <f aca="false">E30/H30</f>
        <v>0.82706262461703</v>
      </c>
      <c r="AE30" s="40" t="n">
        <f aca="false">E30/(H30-I30)</f>
        <v>1.3500611250583</v>
      </c>
    </row>
    <row r="31" customFormat="false" ht="18.75" hidden="false" customHeight="true" outlineLevel="0" collapsed="false">
      <c r="A31" s="18" t="n">
        <v>2022</v>
      </c>
      <c r="B31" s="18" t="n">
        <v>1</v>
      </c>
      <c r="C31" s="24"/>
      <c r="D31" s="24" t="n">
        <f aca="false">1567.84+152.11</f>
        <v>1719.95</v>
      </c>
      <c r="E31" s="25" t="n">
        <v>111975.57</v>
      </c>
      <c r="F31" s="26"/>
      <c r="G31" s="178" t="n">
        <f aca="false">273+7</f>
        <v>280</v>
      </c>
      <c r="H31" s="27" t="n">
        <v>141411</v>
      </c>
      <c r="I31" s="27" t="n">
        <v>71109</v>
      </c>
      <c r="J31" s="89" t="n">
        <v>47266</v>
      </c>
      <c r="K31" s="89" t="n">
        <v>2514</v>
      </c>
      <c r="L31" s="90" t="n">
        <v>49780</v>
      </c>
      <c r="M31" s="91" t="n">
        <v>47262.4</v>
      </c>
      <c r="N31" s="24" t="n">
        <v>330239</v>
      </c>
      <c r="O31" s="32" t="n">
        <v>74</v>
      </c>
      <c r="P31" s="92" t="n">
        <f aca="false">M31/O31</f>
        <v>638.681081081081</v>
      </c>
      <c r="Q31" s="93" t="n">
        <f aca="false">'$'!C122</f>
        <v>13.535066</v>
      </c>
      <c r="R31" s="35" t="n">
        <f aca="false">SUM(C31:E31)/Q31</f>
        <v>8400.07134061999</v>
      </c>
      <c r="S31" s="94" t="n">
        <f aca="false">C31/Q31/M31</f>
        <v>0</v>
      </c>
      <c r="T31" s="94" t="n">
        <f aca="false">D31/Q31/M31</f>
        <v>0.00268868344174286</v>
      </c>
      <c r="U31" s="36" t="n">
        <f aca="false">E31/Q31/M31</f>
        <v>0.175043961126032</v>
      </c>
      <c r="V31" s="36" t="n">
        <f aca="false">SUM(C31:E31)/Q31/M31</f>
        <v>0.177732644567775</v>
      </c>
      <c r="W31" s="36" t="n">
        <f aca="false">N31/Q31/M31</f>
        <v>0.516240664622646</v>
      </c>
      <c r="X31" s="180" t="n">
        <f aca="false">SUM(V31:W31)</f>
        <v>0.69397330919042</v>
      </c>
      <c r="Y31" s="181"/>
      <c r="Z31" s="38" t="n">
        <f aca="false">G31/M31</f>
        <v>0.00592437117031721</v>
      </c>
      <c r="AA31" s="39" t="n">
        <f aca="false">H31/M31</f>
        <v>2.99204018416331</v>
      </c>
      <c r="AB31" s="40"/>
      <c r="AC31" s="40" t="n">
        <f aca="false">D31/G31</f>
        <v>6.14267857142857</v>
      </c>
      <c r="AD31" s="40" t="n">
        <f aca="false">E31/H31</f>
        <v>0.791844835267412</v>
      </c>
      <c r="AE31" s="40" t="n">
        <f aca="false">E31/(H31-I31)</f>
        <v>1.59277929504139</v>
      </c>
    </row>
    <row r="32" customFormat="false" ht="18.75" hidden="false" customHeight="true" outlineLevel="0" collapsed="false">
      <c r="A32" s="18" t="n">
        <v>2022</v>
      </c>
      <c r="B32" s="18" t="n">
        <v>2</v>
      </c>
      <c r="C32" s="24"/>
      <c r="D32" s="24" t="n">
        <f aca="false">1879.53+163.12</f>
        <v>2042.65</v>
      </c>
      <c r="E32" s="25" t="n">
        <v>115671.19</v>
      </c>
      <c r="F32" s="26"/>
      <c r="G32" s="178" t="n">
        <f aca="false">216+7</f>
        <v>223</v>
      </c>
      <c r="H32" s="27" t="n">
        <v>156622</v>
      </c>
      <c r="I32" s="27" t="n">
        <v>94997</v>
      </c>
      <c r="J32" s="89" t="n">
        <v>53821</v>
      </c>
      <c r="K32" s="89" t="n">
        <v>4272</v>
      </c>
      <c r="L32" s="90" t="n">
        <v>58094</v>
      </c>
      <c r="M32" s="91" t="n">
        <v>53821.5</v>
      </c>
      <c r="N32" s="24" t="n">
        <v>308398</v>
      </c>
      <c r="O32" s="32" t="n">
        <v>75</v>
      </c>
      <c r="P32" s="92" t="n">
        <f aca="false">M32/O32</f>
        <v>717.62</v>
      </c>
      <c r="Q32" s="93" t="n">
        <f aca="false">'$'!C123</f>
        <v>13.629202</v>
      </c>
      <c r="R32" s="35" t="n">
        <f aca="false">SUM(C32:E32)/Q32</f>
        <v>8636.88424311269</v>
      </c>
      <c r="S32" s="94" t="n">
        <f aca="false">C32/Q32/M32</f>
        <v>0</v>
      </c>
      <c r="T32" s="94" t="n">
        <f aca="false">D32/Q32/M32</f>
        <v>0.00278463150707581</v>
      </c>
      <c r="U32" s="36" t="n">
        <f aca="false">E32/Q32/M32</f>
        <v>0.157688120889507</v>
      </c>
      <c r="V32" s="36" t="n">
        <f aca="false">SUM(C32:E32)/Q32/M32</f>
        <v>0.160472752396583</v>
      </c>
      <c r="W32" s="36" t="n">
        <f aca="false">N32/Q32/M32</f>
        <v>0.420421896810107</v>
      </c>
      <c r="X32" s="180" t="n">
        <f aca="false">SUM(V32:W32)</f>
        <v>0.58089464920669</v>
      </c>
      <c r="Y32" s="181"/>
      <c r="Z32" s="38" t="n">
        <f aca="false">G32/M32</f>
        <v>0.00414332562266009</v>
      </c>
      <c r="AA32" s="39" t="n">
        <f aca="false">H32/M32</f>
        <v>2.91002666220748</v>
      </c>
      <c r="AB32" s="40"/>
      <c r="AC32" s="40" t="n">
        <f aca="false">D32/G32</f>
        <v>9.15986547085202</v>
      </c>
      <c r="AD32" s="40" t="n">
        <f aca="false">E32/H32</f>
        <v>0.738537306380968</v>
      </c>
      <c r="AE32" s="40" t="n">
        <f aca="false">E32/(H32-I32)</f>
        <v>1.87701728194726</v>
      </c>
    </row>
    <row r="33" customFormat="false" ht="18.75" hidden="false" customHeight="true" outlineLevel="0" collapsed="false">
      <c r="A33" s="18" t="n">
        <v>2022</v>
      </c>
      <c r="B33" s="18" t="n">
        <v>3</v>
      </c>
      <c r="C33" s="24"/>
      <c r="D33" s="24" t="n">
        <f aca="false">2135.44+219.98</f>
        <v>2355.42</v>
      </c>
      <c r="E33" s="25" t="n">
        <v>54683.76</v>
      </c>
      <c r="F33" s="26"/>
      <c r="G33" s="178" t="n">
        <f aca="false">277+9</f>
        <v>286</v>
      </c>
      <c r="H33" s="27" t="n">
        <v>178931</v>
      </c>
      <c r="I33" s="27" t="n">
        <v>156325</v>
      </c>
      <c r="J33" s="89" t="n">
        <v>60741</v>
      </c>
      <c r="K33" s="89" t="n">
        <v>11871</v>
      </c>
      <c r="L33" s="90" t="n">
        <v>72612</v>
      </c>
      <c r="M33" s="91" t="n">
        <v>60741</v>
      </c>
      <c r="N33" s="24" t="n">
        <v>394548</v>
      </c>
      <c r="O33" s="32" t="n">
        <v>88</v>
      </c>
      <c r="P33" s="92" t="n">
        <f aca="false">M33/O33</f>
        <v>690.238636363636</v>
      </c>
      <c r="Q33" s="93" t="n">
        <f aca="false">'$'!C124</f>
        <v>14.600894</v>
      </c>
      <c r="R33" s="35" t="n">
        <f aca="false">SUM(C33:E33)/Q33</f>
        <v>3906.55394114908</v>
      </c>
      <c r="S33" s="94" t="n">
        <f aca="false">C33/Q33/M33</f>
        <v>0</v>
      </c>
      <c r="T33" s="94" t="n">
        <f aca="false">D33/Q33/M33</f>
        <v>0.00265587097484035</v>
      </c>
      <c r="U33" s="36" t="n">
        <f aca="false">E33/Q33/M33</f>
        <v>0.0616590718339557</v>
      </c>
      <c r="V33" s="36" t="n">
        <f aca="false">SUM(C33:E33)/Q33/M33</f>
        <v>0.0643149428087961</v>
      </c>
      <c r="W33" s="36" t="n">
        <f aca="false">N33/Q33/M33</f>
        <v>0.444875470778593</v>
      </c>
      <c r="X33" s="180" t="n">
        <f aca="false">SUM(V33:W33)</f>
        <v>0.509190413587389</v>
      </c>
      <c r="Y33" s="181"/>
      <c r="Z33" s="38" t="n">
        <f aca="false">G33/M33</f>
        <v>0.00470851648803938</v>
      </c>
      <c r="AA33" s="39" t="n">
        <f aca="false">H33/M33</f>
        <v>2.94580267035446</v>
      </c>
      <c r="AB33" s="40"/>
      <c r="AC33" s="40" t="n">
        <f aca="false">D33/G33</f>
        <v>8.23573426573427</v>
      </c>
      <c r="AD33" s="44" t="n">
        <f aca="false">E33/H33</f>
        <v>0.305613672309438</v>
      </c>
      <c r="AE33" s="40" t="n">
        <f aca="false">E33/(H33-I33)</f>
        <v>2.4189931876493</v>
      </c>
    </row>
    <row r="34" customFormat="false" ht="18.75" hidden="false" customHeight="true" outlineLevel="0" collapsed="false">
      <c r="A34" s="18" t="n">
        <v>2022</v>
      </c>
      <c r="B34" s="18" t="n">
        <v>4</v>
      </c>
      <c r="C34" s="24"/>
      <c r="D34" s="24" t="n">
        <f aca="false">2320.91+292.73</f>
        <v>2613.64</v>
      </c>
      <c r="E34" s="25" t="n">
        <v>9267.46</v>
      </c>
      <c r="F34" s="26"/>
      <c r="G34" s="178" t="n">
        <f aca="false">299+10</f>
        <v>309</v>
      </c>
      <c r="H34" s="27" t="n">
        <v>169439</v>
      </c>
      <c r="I34" s="27" t="n">
        <v>172870</v>
      </c>
      <c r="J34" s="89" t="n">
        <v>53977</v>
      </c>
      <c r="K34" s="89" t="n">
        <v>171</v>
      </c>
      <c r="L34" s="90" t="n">
        <v>54148</v>
      </c>
      <c r="M34" s="91" t="n">
        <v>53971.4</v>
      </c>
      <c r="N34" s="24" t="n">
        <v>409965</v>
      </c>
      <c r="O34" s="32" t="n">
        <v>109</v>
      </c>
      <c r="P34" s="92" t="n">
        <f aca="false">M34/O34</f>
        <v>495.150458715596</v>
      </c>
      <c r="Q34" s="93" t="n">
        <f aca="false">'$'!C125</f>
        <v>14.709928</v>
      </c>
      <c r="R34" s="35" t="n">
        <f aca="false">SUM(C34:E34)/Q34</f>
        <v>807.692600534822</v>
      </c>
      <c r="S34" s="94" t="n">
        <f aca="false">C34/Q34/M34</f>
        <v>0</v>
      </c>
      <c r="T34" s="94" t="n">
        <f aca="false">D34/Q34/M34</f>
        <v>0.00329208877100557</v>
      </c>
      <c r="U34" s="36" t="n">
        <f aca="false">E34/Q34/M34</f>
        <v>0.0116731076206912</v>
      </c>
      <c r="V34" s="36" t="n">
        <f aca="false">SUM(C34:E34)/Q34/M34</f>
        <v>0.0149651963916968</v>
      </c>
      <c r="W34" s="36" t="n">
        <f aca="false">N34/Q34/M34</f>
        <v>0.516383730355099</v>
      </c>
      <c r="X34" s="180" t="n">
        <f aca="false">SUM(V34:W34)</f>
        <v>0.531348926746795</v>
      </c>
      <c r="Y34" s="181"/>
      <c r="Z34" s="38" t="n">
        <f aca="false">G34/M34</f>
        <v>0.00572525448663551</v>
      </c>
      <c r="AA34" s="39" t="n">
        <f aca="false">H34/M34</f>
        <v>3.13942199016516</v>
      </c>
      <c r="AB34" s="40"/>
      <c r="AC34" s="40" t="n">
        <f aca="false">D34/G34</f>
        <v>8.45838187702265</v>
      </c>
      <c r="AD34" s="40" t="n">
        <f aca="false">E34/H34</f>
        <v>0.0546949639693341</v>
      </c>
      <c r="AE34" s="40" t="n">
        <f aca="false">E34/(H34-I34)</f>
        <v>-2.70109589041096</v>
      </c>
    </row>
    <row r="35" customFormat="false" ht="18.75" hidden="false" customHeight="true" outlineLevel="0" collapsed="false">
      <c r="A35" s="18" t="n">
        <v>2022</v>
      </c>
      <c r="B35" s="18" t="n">
        <v>5</v>
      </c>
      <c r="C35" s="24"/>
      <c r="D35" s="24" t="n">
        <f aca="false">5700.7+438.22</f>
        <v>6138.92</v>
      </c>
      <c r="E35" s="25" t="n">
        <v>13523.7</v>
      </c>
      <c r="F35" s="26"/>
      <c r="G35" s="178" t="n">
        <f aca="false">457+10</f>
        <v>467</v>
      </c>
      <c r="H35" s="27" t="n">
        <v>198400</v>
      </c>
      <c r="I35" s="27" t="n">
        <v>211529</v>
      </c>
      <c r="J35" s="89"/>
      <c r="K35" s="89"/>
      <c r="L35" s="90"/>
      <c r="M35" s="91" t="n">
        <v>46051.2597999999</v>
      </c>
      <c r="N35" s="24" t="n">
        <v>535524</v>
      </c>
      <c r="O35" s="32" t="n">
        <v>105</v>
      </c>
      <c r="P35" s="92" t="n">
        <f aca="false">M35/O35</f>
        <v>438.583426666666</v>
      </c>
      <c r="Q35" s="93" t="n">
        <f aca="false">'$'!C126</f>
        <v>15.570749</v>
      </c>
      <c r="R35" s="35" t="n">
        <f aca="false">SUM(C35:E35)/Q35</f>
        <v>1262.79217525117</v>
      </c>
      <c r="S35" s="94" t="n">
        <f aca="false">C35/Q35/M35</f>
        <v>0</v>
      </c>
      <c r="T35" s="94" t="n">
        <f aca="false">D35/Q35/M35</f>
        <v>0.00856132442161819</v>
      </c>
      <c r="U35" s="36" t="n">
        <f aca="false">E35/Q35/M35</f>
        <v>0.0188601224776732</v>
      </c>
      <c r="V35" s="36" t="n">
        <f aca="false">SUM(C35:E35)/Q35/M35</f>
        <v>0.0274214468992914</v>
      </c>
      <c r="W35" s="36" t="n">
        <f aca="false">N35/Q35/M35</f>
        <v>0.746840600555579</v>
      </c>
      <c r="X35" s="180" t="n">
        <f aca="false">SUM(V35:W35)</f>
        <v>0.774262047454871</v>
      </c>
      <c r="Y35" s="181"/>
      <c r="Z35" s="38" t="n">
        <f aca="false">G35/M35</f>
        <v>0.0101408734967985</v>
      </c>
      <c r="AA35" s="39" t="n">
        <f aca="false">H35/M35</f>
        <v>4.30824261619875</v>
      </c>
      <c r="AB35" s="40"/>
      <c r="AC35" s="44" t="n">
        <f aca="false">D35/G35</f>
        <v>13.1454389721627</v>
      </c>
      <c r="AD35" s="40" t="n">
        <f aca="false">E35/H35</f>
        <v>0.068163810483871</v>
      </c>
      <c r="AE35" s="40" t="n">
        <f aca="false">E35/(H35-I35)</f>
        <v>-1.03006321882855</v>
      </c>
    </row>
    <row r="36" customFormat="false" ht="18.75" hidden="false" customHeight="true" outlineLevel="0" collapsed="false">
      <c r="A36" s="18" t="n">
        <v>2022</v>
      </c>
      <c r="B36" s="18" t="n">
        <v>6</v>
      </c>
      <c r="C36" s="24" t="n">
        <v>82.97</v>
      </c>
      <c r="D36" s="24" t="n">
        <f aca="false">4598.92+2108.53</f>
        <v>6707.45</v>
      </c>
      <c r="E36" s="25" t="n">
        <v>231776.71</v>
      </c>
      <c r="F36" s="26" t="n">
        <v>14.25</v>
      </c>
      <c r="G36" s="178" t="n">
        <f aca="false">454+67</f>
        <v>521</v>
      </c>
      <c r="H36" s="27" t="n">
        <v>280992</v>
      </c>
      <c r="I36" s="27" t="n">
        <v>205096</v>
      </c>
      <c r="J36" s="89"/>
      <c r="K36" s="89"/>
      <c r="L36" s="90"/>
      <c r="M36" s="91" t="n">
        <v>91404.3</v>
      </c>
      <c r="N36" s="24" t="n">
        <v>524693</v>
      </c>
      <c r="O36" s="32" t="n">
        <v>104</v>
      </c>
      <c r="P36" s="92" t="n">
        <f aca="false">M36/O36</f>
        <v>878.8875</v>
      </c>
      <c r="Q36" s="93" t="n">
        <f aca="false">'$'!C127</f>
        <v>16.965875</v>
      </c>
      <c r="R36" s="35" t="n">
        <f aca="false">SUM(C36:E36)/Q36</f>
        <v>14061.5871565716</v>
      </c>
      <c r="S36" s="94" t="n">
        <f aca="false">C36/Q36/M36</f>
        <v>5.35030081097144E-005</v>
      </c>
      <c r="T36" s="94" t="n">
        <f aca="false">D36/Q36/M36</f>
        <v>0.00432528325594195</v>
      </c>
      <c r="U36" s="36" t="n">
        <f aca="false">E36/Q36/M36</f>
        <v>0.149460662827202</v>
      </c>
      <c r="V36" s="36" t="n">
        <f aca="false">SUM(C36:E36)/Q36/M36</f>
        <v>0.153839449091253</v>
      </c>
      <c r="W36" s="36" t="n">
        <f aca="false">N36/Q36/M36</f>
        <v>0.3383470390998</v>
      </c>
      <c r="X36" s="180" t="n">
        <f aca="false">SUM(V36:W36)</f>
        <v>0.492186488191053</v>
      </c>
      <c r="Y36" s="181" t="n">
        <f aca="false">F36/M36</f>
        <v>0.000155900761780354</v>
      </c>
      <c r="Z36" s="38" t="n">
        <f aca="false">G36/M36</f>
        <v>0.00569995065877645</v>
      </c>
      <c r="AA36" s="39" t="n">
        <f aca="false">H36/M36</f>
        <v>3.07416609503054</v>
      </c>
      <c r="AB36" s="40" t="n">
        <f aca="false">C36/F36</f>
        <v>5.82245614035088</v>
      </c>
      <c r="AC36" s="40" t="n">
        <f aca="false">D36/G36</f>
        <v>12.8741842610365</v>
      </c>
      <c r="AD36" s="40" t="n">
        <f aca="false">E36/H36</f>
        <v>0.824851632786698</v>
      </c>
      <c r="AE36" s="40" t="n">
        <f aca="false">E36/(H36-I36)</f>
        <v>3.05387253610203</v>
      </c>
    </row>
    <row r="37" customFormat="false" ht="18.75" hidden="false" customHeight="true" outlineLevel="0" collapsed="false">
      <c r="A37" s="18" t="n">
        <v>2022</v>
      </c>
      <c r="B37" s="18" t="n">
        <v>7</v>
      </c>
      <c r="C37" s="24" t="n">
        <v>0.37</v>
      </c>
      <c r="D37" s="24" t="n">
        <f aca="false">4527.73+311.25</f>
        <v>4838.98</v>
      </c>
      <c r="E37" s="25" t="n">
        <v>36124.23</v>
      </c>
      <c r="F37" s="26" t="n">
        <v>0</v>
      </c>
      <c r="G37" s="178" t="n">
        <f aca="false">450+11</f>
        <v>461</v>
      </c>
      <c r="H37" s="27" t="n">
        <v>268526</v>
      </c>
      <c r="I37" s="27" t="n">
        <v>260288</v>
      </c>
      <c r="J37" s="89"/>
      <c r="K37" s="89"/>
      <c r="L37" s="90"/>
      <c r="M37" s="91" t="n">
        <v>81612</v>
      </c>
      <c r="N37" s="24" t="n">
        <v>802885</v>
      </c>
      <c r="O37" s="32" t="n">
        <v>157</v>
      </c>
      <c r="P37" s="92" t="n">
        <f aca="false">M37/O37</f>
        <v>519.821656050955</v>
      </c>
      <c r="Q37" s="93" t="n">
        <f aca="false">'$'!C128</f>
        <v>17.410362</v>
      </c>
      <c r="R37" s="35" t="n">
        <f aca="false">SUM(C37:E37)/Q37</f>
        <v>2352.82758623859</v>
      </c>
      <c r="S37" s="94" t="n">
        <f aca="false">C37/Q37/M37</f>
        <v>2.60399353712129E-007</v>
      </c>
      <c r="T37" s="94" t="n">
        <f aca="false">D37/Q37/M37</f>
        <v>0.00340558720169167</v>
      </c>
      <c r="U37" s="36" t="n">
        <f aca="false">E37/Q37/M37</f>
        <v>0.025423584176617</v>
      </c>
      <c r="V37" s="36" t="n">
        <f aca="false">SUM(C37:E37)/Q37/M37</f>
        <v>0.0288294317776624</v>
      </c>
      <c r="W37" s="36" t="n">
        <f aca="false">N37/Q37/M37</f>
        <v>0.565056040824764</v>
      </c>
      <c r="X37" s="180" t="n">
        <f aca="false">SUM(V37:W37)</f>
        <v>0.593885472602427</v>
      </c>
      <c r="Y37" s="181" t="n">
        <f aca="false">F37/M37</f>
        <v>0</v>
      </c>
      <c r="Z37" s="38" t="n">
        <f aca="false">G37/M37</f>
        <v>0.0056486791158163</v>
      </c>
      <c r="AA37" s="39" t="n">
        <f aca="false">H37/M37</f>
        <v>3.29027593981277</v>
      </c>
      <c r="AB37" s="40"/>
      <c r="AC37" s="40" t="n">
        <f aca="false">D37/G37</f>
        <v>10.4967028199566</v>
      </c>
      <c r="AD37" s="40" t="n">
        <f aca="false">E37/H37</f>
        <v>0.134527866947707</v>
      </c>
      <c r="AE37" s="40" t="n">
        <f aca="false">E37/(H37-I37)</f>
        <v>4.38507283321195</v>
      </c>
    </row>
    <row r="38" customFormat="false" ht="18.75" hidden="false" customHeight="true" outlineLevel="0" collapsed="false">
      <c r="A38" s="18" t="n">
        <v>2022</v>
      </c>
      <c r="B38" s="18" t="n">
        <v>8</v>
      </c>
      <c r="C38" s="24" t="n">
        <v>9470.49</v>
      </c>
      <c r="D38" s="24" t="n">
        <f aca="false">6114.18+81.55</f>
        <v>6195.73</v>
      </c>
      <c r="E38" s="25" t="n">
        <v>423740.83</v>
      </c>
      <c r="F38" s="26" t="n">
        <v>1625.88</v>
      </c>
      <c r="G38" s="178" t="n">
        <f aca="false">748+2</f>
        <v>750</v>
      </c>
      <c r="H38" s="27" t="n">
        <v>308212</v>
      </c>
      <c r="I38" s="27" t="n">
        <v>197667</v>
      </c>
      <c r="J38" s="89"/>
      <c r="K38" s="89"/>
      <c r="L38" s="90"/>
      <c r="M38" s="91" t="n">
        <v>106104.2736</v>
      </c>
      <c r="N38" s="24" t="n">
        <v>819983</v>
      </c>
      <c r="O38" s="32" t="n">
        <v>164</v>
      </c>
      <c r="P38" s="92" t="n">
        <f aca="false">M38/O38</f>
        <v>646.977278048781</v>
      </c>
      <c r="Q38" s="93" t="n">
        <f aca="false">'$'!C129</f>
        <v>18.018529</v>
      </c>
      <c r="R38" s="35" t="n">
        <f aca="false">SUM(C38:E38)/Q38</f>
        <v>24386.399688898</v>
      </c>
      <c r="S38" s="94" t="n">
        <f aca="false">C38/Q38/M38</f>
        <v>0.00495359207966599</v>
      </c>
      <c r="T38" s="94" t="n">
        <f aca="false">D38/Q38/M38</f>
        <v>0.00324071078220335</v>
      </c>
      <c r="U38" s="36" t="n">
        <f aca="false">E38/Q38/M38</f>
        <v>0.221639980541566</v>
      </c>
      <c r="V38" s="36" t="n">
        <f aca="false">SUM(C38:E38)/Q38/M38</f>
        <v>0.229834283403435</v>
      </c>
      <c r="W38" s="36" t="n">
        <f aca="false">N38/Q38/M38</f>
        <v>0.428896635154122</v>
      </c>
      <c r="X38" s="180" t="n">
        <f aca="false">SUM(V38:W38)</f>
        <v>0.658730918557557</v>
      </c>
      <c r="Y38" s="181" t="n">
        <f aca="false">F38/M38</f>
        <v>0.0153234167186269</v>
      </c>
      <c r="Z38" s="38" t="n">
        <f aca="false">G38/M38</f>
        <v>0.00706851830330046</v>
      </c>
      <c r="AA38" s="39" t="n">
        <f aca="false">H38/M38</f>
        <v>2.90480288439579</v>
      </c>
      <c r="AB38" s="40" t="n">
        <f aca="false">C38/F38</f>
        <v>5.82483947154772</v>
      </c>
      <c r="AC38" s="40" t="n">
        <f aca="false">D38/G38</f>
        <v>8.26097333333333</v>
      </c>
      <c r="AD38" s="44" t="n">
        <f aca="false">E38/H38</f>
        <v>1.37483560017131</v>
      </c>
      <c r="AE38" s="40" t="n">
        <f aca="false">E38/(H38-I38)</f>
        <v>3.83319761183229</v>
      </c>
    </row>
    <row r="39" customFormat="false" ht="18.75" hidden="false" customHeight="true" outlineLevel="0" collapsed="false">
      <c r="A39" s="18" t="n">
        <v>2022</v>
      </c>
      <c r="B39" s="18" t="n">
        <v>9</v>
      </c>
      <c r="C39" s="24" t="n">
        <v>10162.28</v>
      </c>
      <c r="D39" s="24" t="n">
        <f aca="false">8869.96+29.82</f>
        <v>8899.78</v>
      </c>
      <c r="E39" s="25" t="n">
        <v>767446.84</v>
      </c>
      <c r="F39" s="26" t="n">
        <v>1152.55</v>
      </c>
      <c r="G39" s="178" t="n">
        <f aca="false">1219+1</f>
        <v>1220</v>
      </c>
      <c r="H39" s="27" t="n">
        <v>322428</v>
      </c>
      <c r="I39" s="27" t="n">
        <v>163200</v>
      </c>
      <c r="J39" s="89"/>
      <c r="K39" s="89"/>
      <c r="L39" s="90" t="n">
        <v>114571</v>
      </c>
      <c r="M39" s="91" t="n">
        <v>105096</v>
      </c>
      <c r="N39" s="24" t="n">
        <v>1151344</v>
      </c>
      <c r="O39" s="32" t="n">
        <v>166</v>
      </c>
      <c r="P39" s="92" t="n">
        <f aca="false">M39/O39</f>
        <v>633.10843373494</v>
      </c>
      <c r="Q39" s="93" t="n">
        <f aca="false">'$'!C130</f>
        <v>18.301932</v>
      </c>
      <c r="R39" s="35" t="n">
        <f aca="false">SUM(C39:E39)/Q39</f>
        <v>42974.0914784297</v>
      </c>
      <c r="S39" s="94" t="n">
        <f aca="false">C39/Q39/M39</f>
        <v>0.00528333358448992</v>
      </c>
      <c r="T39" s="94" t="n">
        <f aca="false">D39/Q39/M39</f>
        <v>0.004626964280513</v>
      </c>
      <c r="U39" s="36" t="n">
        <f aca="false">E39/Q39/M39</f>
        <v>0.398992909473333</v>
      </c>
      <c r="V39" s="36" t="n">
        <f aca="false">SUM(C39:E39)/Q39/M39</f>
        <v>0.408903207338335</v>
      </c>
      <c r="W39" s="36" t="n">
        <f aca="false">N39/Q39/M39</f>
        <v>0.598579691024156</v>
      </c>
      <c r="X39" s="180" t="n">
        <f aca="false">SUM(V39:W39)</f>
        <v>1.00748289836249</v>
      </c>
      <c r="Y39" s="181" t="n">
        <f aca="false">F39/M39</f>
        <v>0.0109666400243587</v>
      </c>
      <c r="Z39" s="38" t="n">
        <f aca="false">G39/M39</f>
        <v>0.0116084341934993</v>
      </c>
      <c r="AA39" s="39" t="n">
        <f aca="false">H39/M39</f>
        <v>3.06793788536195</v>
      </c>
      <c r="AB39" s="40" t="n">
        <f aca="false">C39/F39</f>
        <v>8.81721400373086</v>
      </c>
      <c r="AC39" s="40" t="n">
        <f aca="false">D39/G39</f>
        <v>7.29490163934426</v>
      </c>
      <c r="AD39" s="44" t="n">
        <f aca="false">E39/H39</f>
        <v>2.38021152009131</v>
      </c>
      <c r="AE39" s="40" t="n">
        <f aca="false">E39/(H39-I39)</f>
        <v>4.81979827668501</v>
      </c>
    </row>
    <row r="40" customFormat="false" ht="18.75" hidden="false" customHeight="true" outlineLevel="0" collapsed="false">
      <c r="A40" s="18" t="n">
        <v>2022</v>
      </c>
      <c r="B40" s="18" t="n">
        <v>10</v>
      </c>
      <c r="C40" s="24" t="n">
        <v>6026.07</v>
      </c>
      <c r="D40" s="24" t="n">
        <v>10255.72</v>
      </c>
      <c r="E40" s="25" t="n">
        <v>498814.39</v>
      </c>
      <c r="F40" s="26" t="n">
        <v>683.39</v>
      </c>
      <c r="G40" s="178" t="n">
        <v>1066</v>
      </c>
      <c r="H40" s="27" t="n">
        <v>253339</v>
      </c>
      <c r="I40" s="27" t="n">
        <v>137508</v>
      </c>
      <c r="J40" s="89"/>
      <c r="K40" s="89"/>
      <c r="L40" s="90" t="n">
        <v>81832.49</v>
      </c>
      <c r="M40" s="91" t="n">
        <v>77817.83</v>
      </c>
      <c r="N40" s="24" t="n">
        <v>1368412</v>
      </c>
      <c r="O40" s="32" t="n">
        <v>181</v>
      </c>
      <c r="P40" s="92" t="n">
        <f aca="false">M40/O40</f>
        <v>429.932762430939</v>
      </c>
      <c r="Q40" s="93" t="n">
        <f aca="false">'$'!C131</f>
        <v>18.578678</v>
      </c>
      <c r="R40" s="35" t="n">
        <f aca="false">SUM(C40:E40)/Q40</f>
        <v>27725.1255444548</v>
      </c>
      <c r="S40" s="94" t="n">
        <f aca="false">C40/Q40/M40</f>
        <v>0.00416812033238739</v>
      </c>
      <c r="T40" s="94" t="n">
        <f aca="false">D40/Q40/M40</f>
        <v>0.00709369042431833</v>
      </c>
      <c r="U40" s="36" t="n">
        <f aca="false">E40/Q40/M40</f>
        <v>0.345020618918534</v>
      </c>
      <c r="V40" s="36" t="n">
        <f aca="false">SUM(C40:E40)/Q40/M40</f>
        <v>0.35628242967524</v>
      </c>
      <c r="W40" s="36" t="n">
        <f aca="false">N40/Q40/M40</f>
        <v>0.946505082131951</v>
      </c>
      <c r="X40" s="180" t="n">
        <f aca="false">SUM(V40:W40)</f>
        <v>1.30278751180719</v>
      </c>
      <c r="Y40" s="181" t="n">
        <f aca="false">F40/M40</f>
        <v>0.0087819205444305</v>
      </c>
      <c r="Z40" s="38" t="n">
        <f aca="false">G40/M40</f>
        <v>0.0136986600628673</v>
      </c>
      <c r="AA40" s="39" t="n">
        <f aca="false">H40/M40</f>
        <v>3.25553925109451</v>
      </c>
      <c r="AB40" s="40" t="n">
        <f aca="false">C40/F40</f>
        <v>8.817907783257</v>
      </c>
      <c r="AC40" s="40" t="n">
        <f aca="false">D40/G40</f>
        <v>9.62075046904315</v>
      </c>
      <c r="AD40" s="40" t="n">
        <f aca="false">E40/H40</f>
        <v>1.96896012852344</v>
      </c>
      <c r="AE40" s="40" t="n">
        <f aca="false">E40/(H40-I40)</f>
        <v>4.30639802816172</v>
      </c>
    </row>
    <row r="41" customFormat="false" ht="18.75" hidden="false" customHeight="true" outlineLevel="0" collapsed="false">
      <c r="A41" s="18" t="n">
        <v>2022</v>
      </c>
      <c r="B41" s="18" t="n">
        <v>11</v>
      </c>
      <c r="C41" s="24" t="n">
        <v>15125.53</v>
      </c>
      <c r="D41" s="24" t="n">
        <v>12139.7</v>
      </c>
      <c r="E41" s="25" t="n">
        <v>667675.87</v>
      </c>
      <c r="F41" s="26" t="n">
        <v>1749.73</v>
      </c>
      <c r="G41" s="178" t="n">
        <v>1297</v>
      </c>
      <c r="H41" s="27" t="n">
        <v>275191</v>
      </c>
      <c r="I41" s="27" t="n">
        <v>92453</v>
      </c>
      <c r="J41" s="89"/>
      <c r="K41" s="89"/>
      <c r="L41" s="90" t="n">
        <v>87926</v>
      </c>
      <c r="M41" s="91" t="n">
        <v>79329</v>
      </c>
      <c r="N41" s="24" t="n">
        <v>1327867</v>
      </c>
      <c r="O41" s="32" t="n">
        <v>186</v>
      </c>
      <c r="P41" s="92" t="n">
        <f aca="false">M41/O41</f>
        <v>426.5</v>
      </c>
      <c r="Q41" s="93" t="n">
        <f aca="false">'$'!C132</f>
        <v>18.598286</v>
      </c>
      <c r="R41" s="35" t="n">
        <f aca="false">SUM(C41:E41)/Q41</f>
        <v>37365.8680160096</v>
      </c>
      <c r="S41" s="94" t="n">
        <f aca="false">C41/Q41/M41</f>
        <v>0.0102519315938341</v>
      </c>
      <c r="T41" s="94" t="n">
        <f aca="false">D41/Q41/M41</f>
        <v>0.00822816615151124</v>
      </c>
      <c r="U41" s="36" t="n">
        <f aca="false">E41/Q41/M41</f>
        <v>0.452543966796117</v>
      </c>
      <c r="V41" s="36" t="n">
        <f aca="false">SUM(C41:E41)/Q41/M41</f>
        <v>0.471024064541462</v>
      </c>
      <c r="W41" s="36" t="n">
        <f aca="false">N41/Q41/M41</f>
        <v>0.900014852352923</v>
      </c>
      <c r="X41" s="180" t="n">
        <f aca="false">SUM(V41:W41)</f>
        <v>1.37103891689438</v>
      </c>
      <c r="Y41" s="181" t="n">
        <f aca="false">F41/M41</f>
        <v>0.0220566249416985</v>
      </c>
      <c r="Z41" s="38" t="n">
        <f aca="false">G41/M41</f>
        <v>0.016349632542954</v>
      </c>
      <c r="AA41" s="39" t="n">
        <f aca="false">H41/M41</f>
        <v>3.46898359994453</v>
      </c>
      <c r="AB41" s="40" t="n">
        <f aca="false">C41/F41</f>
        <v>8.64449372188852</v>
      </c>
      <c r="AC41" s="40" t="n">
        <f aca="false">D41/G41</f>
        <v>9.35983037779491</v>
      </c>
      <c r="AD41" s="44" t="n">
        <f aca="false">E41/H41</f>
        <v>2.42622712952095</v>
      </c>
      <c r="AE41" s="40" t="n">
        <f aca="false">E41/(H41-I41)</f>
        <v>3.65373304950257</v>
      </c>
    </row>
    <row r="42" customFormat="false" ht="18.75" hidden="false" customHeight="true" outlineLevel="0" collapsed="false">
      <c r="A42" s="18" t="n">
        <v>2022</v>
      </c>
      <c r="B42" s="18" t="n">
        <v>12</v>
      </c>
      <c r="C42" s="24" t="n">
        <v>11394.93</v>
      </c>
      <c r="D42" s="24" t="n">
        <v>17297.48</v>
      </c>
      <c r="E42" s="25" t="n">
        <v>1011639.57</v>
      </c>
      <c r="F42" s="26" t="n">
        <f aca="false">1317.91</f>
        <v>1317.91</v>
      </c>
      <c r="G42" s="178" t="n">
        <v>1947</v>
      </c>
      <c r="H42" s="27" t="n">
        <v>305125</v>
      </c>
      <c r="I42" s="27" t="n">
        <v>79448</v>
      </c>
      <c r="J42" s="89"/>
      <c r="K42" s="89"/>
      <c r="L42" s="90" t="n">
        <v>129357</v>
      </c>
      <c r="M42" s="91" t="n">
        <v>100076</v>
      </c>
      <c r="N42" s="24" t="n">
        <v>909256</v>
      </c>
      <c r="O42" s="32" t="n">
        <v>179</v>
      </c>
      <c r="P42" s="92" t="n">
        <f aca="false">M42/O42</f>
        <v>559.083798882682</v>
      </c>
      <c r="Q42" s="93" t="n">
        <f aca="false">'$'!C133</f>
        <v>18.653721</v>
      </c>
      <c r="R42" s="35" t="n">
        <f aca="false">SUM(C42:E42)/Q42</f>
        <v>55770.7483670416</v>
      </c>
      <c r="S42" s="94" t="n">
        <f aca="false">C42/Q42/M42</f>
        <v>0.00610402419437562</v>
      </c>
      <c r="T42" s="94" t="n">
        <f aca="false">D42/Q42/M42</f>
        <v>0.00926589601004381</v>
      </c>
      <c r="U42" s="36" t="n">
        <f aca="false">E42/Q42/M42</f>
        <v>0.541914027665615</v>
      </c>
      <c r="V42" s="36" t="n">
        <f aca="false">SUM(C42:E42)/Q42/M42</f>
        <v>0.557283947870035</v>
      </c>
      <c r="W42" s="36" t="n">
        <f aca="false">N42/Q42/M42</f>
        <v>0.487069303881744</v>
      </c>
      <c r="X42" s="180" t="n">
        <f aca="false">SUM(V42:W42)</f>
        <v>1.04435325175178</v>
      </c>
      <c r="Y42" s="181" t="n">
        <f aca="false">F42/M42</f>
        <v>0.0131690914904672</v>
      </c>
      <c r="Z42" s="38" t="n">
        <f aca="false">G42/M42</f>
        <v>0.0194552140373316</v>
      </c>
      <c r="AA42" s="39" t="n">
        <f aca="false">H42/M42</f>
        <v>3.04893281106359</v>
      </c>
      <c r="AB42" s="40" t="n">
        <f aca="false">C42/F42</f>
        <v>8.64621256383213</v>
      </c>
      <c r="AC42" s="40" t="n">
        <f aca="false">D42/G42</f>
        <v>8.88417051874679</v>
      </c>
      <c r="AD42" s="44" t="n">
        <f aca="false">E42/H42</f>
        <v>3.31549224088488</v>
      </c>
      <c r="AE42" s="40" t="n">
        <f aca="false">E42/(H42-I42)</f>
        <v>4.48268795668145</v>
      </c>
    </row>
    <row r="43" customFormat="false" ht="18.75" hidden="false" customHeight="true" outlineLevel="0" collapsed="false">
      <c r="A43" s="58" t="n">
        <v>2023</v>
      </c>
      <c r="B43" s="58" t="n">
        <v>1</v>
      </c>
      <c r="C43" s="59" t="n">
        <v>14037.13</v>
      </c>
      <c r="D43" s="59" t="n">
        <v>22514.25</v>
      </c>
      <c r="E43" s="60" t="n">
        <v>1093067.75</v>
      </c>
      <c r="F43" s="61" t="n">
        <v>1623.23</v>
      </c>
      <c r="G43" s="182" t="n">
        <v>1957</v>
      </c>
      <c r="H43" s="62" t="n">
        <v>335074</v>
      </c>
      <c r="I43" s="62" t="n">
        <v>80829</v>
      </c>
      <c r="J43" s="101"/>
      <c r="K43" s="101"/>
      <c r="L43" s="102" t="n">
        <v>140099</v>
      </c>
      <c r="M43" s="103" t="n">
        <v>120969</v>
      </c>
      <c r="N43" s="59" t="n">
        <v>2203088</v>
      </c>
      <c r="O43" s="67" t="n">
        <v>186</v>
      </c>
      <c r="P43" s="104" t="n">
        <f aca="false">M43/O43</f>
        <v>650.370967741936</v>
      </c>
      <c r="Q43" s="105" t="n">
        <f aca="false">'$'!C134</f>
        <v>18.779415</v>
      </c>
      <c r="R43" s="70" t="n">
        <f aca="false">SUM(C43:E43)/Q43</f>
        <v>60151.9871625394</v>
      </c>
      <c r="S43" s="106" t="n">
        <f aca="false">C43/Q43/M43</f>
        <v>0.0061790565819202</v>
      </c>
      <c r="T43" s="106" t="n">
        <f aca="false">D43/Q43/M43</f>
        <v>0.00991063163549079</v>
      </c>
      <c r="U43" s="71" t="n">
        <f aca="false">E43/Q43/M43</f>
        <v>0.481161567579855</v>
      </c>
      <c r="V43" s="71" t="n">
        <f aca="false">SUM(C43:E43)/Q43/M43</f>
        <v>0.497251255797265</v>
      </c>
      <c r="W43" s="71" t="n">
        <f aca="false">N43/Q43/M43</f>
        <v>0.969785519329764</v>
      </c>
      <c r="X43" s="180" t="n">
        <f aca="false">SUM(V43:W43)</f>
        <v>1.46703677512703</v>
      </c>
      <c r="Y43" s="183" t="n">
        <f aca="false">F43/M43</f>
        <v>0.0134185617802908</v>
      </c>
      <c r="Z43" s="73" t="n">
        <f aca="false">G43/M43</f>
        <v>0.0161776984186031</v>
      </c>
      <c r="AA43" s="74" t="n">
        <f aca="false">H43/M43</f>
        <v>2.76991625953757</v>
      </c>
      <c r="AB43" s="44" t="n">
        <f aca="false">C43/F43</f>
        <v>8.64765313603125</v>
      </c>
      <c r="AC43" s="44" t="n">
        <f aca="false">D43/G43</f>
        <v>11.5044711292795</v>
      </c>
      <c r="AD43" s="44" t="n">
        <f aca="false">E43/H43</f>
        <v>3.26216820761981</v>
      </c>
      <c r="AE43" s="44" t="n">
        <f aca="false">E43/(H43-I43)</f>
        <v>4.2992694054947</v>
      </c>
    </row>
    <row r="44" customFormat="false" ht="18.75" hidden="false" customHeight="true" outlineLevel="0" collapsed="false">
      <c r="A44" s="18" t="n">
        <v>2023</v>
      </c>
      <c r="B44" s="18" t="n">
        <v>2</v>
      </c>
      <c r="C44" s="24" t="n">
        <v>13551.92</v>
      </c>
      <c r="D44" s="24" t="n">
        <v>18084.41</v>
      </c>
      <c r="E44" s="25" t="n">
        <v>595341.74</v>
      </c>
      <c r="F44" s="26" t="n">
        <v>1563.82</v>
      </c>
      <c r="G44" s="178" t="n">
        <v>1519</v>
      </c>
      <c r="H44" s="27" t="n">
        <v>283172</v>
      </c>
      <c r="I44" s="27" t="n">
        <v>121396</v>
      </c>
      <c r="J44" s="89"/>
      <c r="K44" s="89"/>
      <c r="L44" s="90" t="n">
        <v>116222</v>
      </c>
      <c r="M44" s="91" t="n">
        <v>102113</v>
      </c>
      <c r="N44" s="24" t="n">
        <v>2007083</v>
      </c>
      <c r="O44" s="32" t="n">
        <v>193</v>
      </c>
      <c r="P44" s="92" t="n">
        <f aca="false">M44/O44</f>
        <v>529.082901554404</v>
      </c>
      <c r="Q44" s="93" t="n">
        <f aca="false">'$'!C135</f>
        <v>18.848094</v>
      </c>
      <c r="R44" s="35" t="n">
        <f aca="false">SUM(C44:E44)/Q44</f>
        <v>33264.7996131598</v>
      </c>
      <c r="S44" s="94" t="n">
        <f aca="false">C44/Q44/M44</f>
        <v>0.00704129199780483</v>
      </c>
      <c r="T44" s="94" t="n">
        <f aca="false">D44/Q44/M44</f>
        <v>0.0093962782703869</v>
      </c>
      <c r="U44" s="36" t="n">
        <f aca="false">E44/Q44/M44</f>
        <v>0.30932702006957</v>
      </c>
      <c r="V44" s="36" t="n">
        <f aca="false">SUM(C44:E44)/Q44/M44</f>
        <v>0.325764590337761</v>
      </c>
      <c r="W44" s="36" t="n">
        <f aca="false">N44/Q44/M44</f>
        <v>1.04283802345572</v>
      </c>
      <c r="X44" s="180" t="n">
        <f aca="false">SUM(V44:W44)</f>
        <v>1.36860261379349</v>
      </c>
      <c r="Y44" s="181" t="n">
        <f aca="false">F44/M44</f>
        <v>0.0153146024502267</v>
      </c>
      <c r="Z44" s="38" t="n">
        <f aca="false">G44/M44</f>
        <v>0.0148756769461283</v>
      </c>
      <c r="AA44" s="39" t="n">
        <f aca="false">H44/M44</f>
        <v>2.77312389215869</v>
      </c>
      <c r="AB44" s="40" t="n">
        <f aca="false">C44/F44</f>
        <v>8.66590784105588</v>
      </c>
      <c r="AC44" s="44" t="n">
        <f aca="false">D44/G44</f>
        <v>11.9054707044108</v>
      </c>
      <c r="AD44" s="40" t="n">
        <f aca="false">E44/H44</f>
        <v>2.10240327433503</v>
      </c>
      <c r="AE44" s="40" t="n">
        <f aca="false">E44/(H44-I44)</f>
        <v>3.68003745920285</v>
      </c>
    </row>
    <row r="45" customFormat="false" ht="18.75" hidden="false" customHeight="true" outlineLevel="0" collapsed="false">
      <c r="A45" s="18" t="n">
        <v>2023</v>
      </c>
      <c r="B45" s="18" t="n">
        <v>3</v>
      </c>
      <c r="C45" s="24" t="n">
        <v>15956.04</v>
      </c>
      <c r="D45" s="24" t="n">
        <f aca="false">16235.23+20.77</f>
        <v>16256</v>
      </c>
      <c r="E45" s="25" t="n">
        <v>631265.77</v>
      </c>
      <c r="F45" s="26" t="n">
        <v>1844.26</v>
      </c>
      <c r="G45" s="178" t="n">
        <f aca="false">1374+1</f>
        <v>1375</v>
      </c>
      <c r="H45" s="27" t="n">
        <v>366750</v>
      </c>
      <c r="I45" s="27" t="n">
        <v>140848</v>
      </c>
      <c r="J45" s="89"/>
      <c r="K45" s="89"/>
      <c r="L45" s="90" t="n">
        <v>167849</v>
      </c>
      <c r="M45" s="91" t="n">
        <v>149637</v>
      </c>
      <c r="N45" s="24" t="n">
        <v>2503543</v>
      </c>
      <c r="O45" s="32" t="n">
        <v>230</v>
      </c>
      <c r="P45" s="92" t="n">
        <f aca="false">M45/O45</f>
        <v>650.595652173913</v>
      </c>
      <c r="Q45" s="93" t="n">
        <f aca="false">'$'!C136</f>
        <v>18.992986</v>
      </c>
      <c r="R45" s="35" t="n">
        <f aca="false">SUM(C45:E45)/Q45</f>
        <v>34932.7804485298</v>
      </c>
      <c r="S45" s="94" t="n">
        <f aca="false">C45/Q45/M45</f>
        <v>0.00561426458112415</v>
      </c>
      <c r="T45" s="94" t="n">
        <f aca="false">D45/Q45/M45</f>
        <v>0.00571980798686605</v>
      </c>
      <c r="U45" s="36" t="n">
        <f aca="false">E45/Q45/M45</f>
        <v>0.222116079790917</v>
      </c>
      <c r="V45" s="36" t="n">
        <f aca="false">SUM(C45:E45)/Q45/M45</f>
        <v>0.233450152358907</v>
      </c>
      <c r="W45" s="36" t="n">
        <f aca="false">N45/Q45/M45</f>
        <v>0.880892301111134</v>
      </c>
      <c r="X45" s="180" t="n">
        <f aca="false">SUM(V45:W45)</f>
        <v>1.11434245347004</v>
      </c>
      <c r="Y45" s="181" t="n">
        <f aca="false">F45/M45</f>
        <v>0.0123248929075028</v>
      </c>
      <c r="Z45" s="38" t="n">
        <f aca="false">G45/M45</f>
        <v>0.0091889038138963</v>
      </c>
      <c r="AA45" s="39" t="n">
        <f aca="false">H45/M45</f>
        <v>2.45093125363379</v>
      </c>
      <c r="AB45" s="40" t="n">
        <f aca="false">C45/F45</f>
        <v>8.65173023326429</v>
      </c>
      <c r="AC45" s="40" t="n">
        <f aca="false">D45/G45</f>
        <v>11.8225454545455</v>
      </c>
      <c r="AD45" s="40" t="n">
        <f aca="false">E45/H45</f>
        <v>1.72124272665303</v>
      </c>
      <c r="AE45" s="40" t="n">
        <f aca="false">E45/(H45-I45)</f>
        <v>2.79442311267718</v>
      </c>
    </row>
    <row r="46" customFormat="false" ht="18.75" hidden="false" customHeight="true" outlineLevel="0" collapsed="false">
      <c r="A46" s="18" t="n">
        <v>2023</v>
      </c>
      <c r="B46" s="18" t="n">
        <v>4</v>
      </c>
      <c r="C46" s="24" t="n">
        <v>13850.58</v>
      </c>
      <c r="D46" s="24" t="n">
        <v>18885.8</v>
      </c>
      <c r="E46" s="25" t="n">
        <v>499358.58</v>
      </c>
      <c r="F46" s="26" t="n">
        <v>1600.58</v>
      </c>
      <c r="G46" s="178" t="n">
        <v>1580</v>
      </c>
      <c r="H46" s="27" t="n">
        <v>364201</v>
      </c>
      <c r="I46" s="27" t="n">
        <v>177817</v>
      </c>
      <c r="J46" s="89"/>
      <c r="K46" s="89"/>
      <c r="L46" s="90" t="n">
        <f aca="false">126383+17075</f>
        <v>143458</v>
      </c>
      <c r="M46" s="91" t="n">
        <v>123053.99</v>
      </c>
      <c r="N46" s="24" t="n">
        <v>2654734</v>
      </c>
      <c r="O46" s="32" t="n">
        <v>251</v>
      </c>
      <c r="P46" s="92" t="n">
        <f aca="false">M46/O46</f>
        <v>490.254940239044</v>
      </c>
      <c r="Q46" s="93" t="n">
        <f aca="false">'$'!C137</f>
        <v>19.335863</v>
      </c>
      <c r="R46" s="35" t="n">
        <f aca="false">SUM(C46:E46)/Q46</f>
        <v>27518.5524431984</v>
      </c>
      <c r="S46" s="94" t="n">
        <f aca="false">C46/Q46/M46</f>
        <v>0.00582114878319445</v>
      </c>
      <c r="T46" s="94" t="n">
        <f aca="false">D46/Q46/M46</f>
        <v>0.00793736086789533</v>
      </c>
      <c r="U46" s="36" t="n">
        <f aca="false">E46/Q46/M46</f>
        <v>0.209871398190163</v>
      </c>
      <c r="V46" s="36" t="n">
        <f aca="false">SUM(C46:E46)/Q46/M46</f>
        <v>0.223629907841253</v>
      </c>
      <c r="W46" s="36" t="n">
        <f aca="false">N46/Q46/M46</f>
        <v>1.11573678458266</v>
      </c>
      <c r="X46" s="180" t="n">
        <f aca="false">SUM(V46:W46)</f>
        <v>1.33936669242391</v>
      </c>
      <c r="Y46" s="181" t="n">
        <f aca="false">F46/M46</f>
        <v>0.0130071361359351</v>
      </c>
      <c r="Z46" s="38" t="n">
        <f aca="false">G46/M46</f>
        <v>0.0128398924732144</v>
      </c>
      <c r="AA46" s="39" t="n">
        <f aca="false">H46/M46</f>
        <v>2.95968460673238</v>
      </c>
      <c r="AB46" s="40" t="n">
        <f aca="false">C46/F46</f>
        <v>8.65347561508953</v>
      </c>
      <c r="AC46" s="40" t="n">
        <f aca="false">D46/G46</f>
        <v>11.9530379746835</v>
      </c>
      <c r="AD46" s="40" t="n">
        <f aca="false">E46/H46</f>
        <v>1.37110710843737</v>
      </c>
      <c r="AE46" s="40" t="n">
        <f aca="false">E46/(H46-I46)</f>
        <v>2.67919231264486</v>
      </c>
    </row>
    <row r="47" customFormat="false" ht="18.75" hidden="false" customHeight="true" outlineLevel="0" collapsed="false">
      <c r="A47" s="18" t="n">
        <v>2023</v>
      </c>
      <c r="B47" s="18" t="n">
        <v>5</v>
      </c>
      <c r="C47" s="24" t="n">
        <v>15290.51</v>
      </c>
      <c r="D47" s="24" t="n">
        <v>18595</v>
      </c>
      <c r="E47" s="25" t="n">
        <v>546420.98</v>
      </c>
      <c r="F47" s="26" t="n">
        <v>1766.71</v>
      </c>
      <c r="G47" s="178" t="n">
        <v>1612</v>
      </c>
      <c r="H47" s="27" t="n">
        <v>429870</v>
      </c>
      <c r="I47" s="27" t="n">
        <v>228470</v>
      </c>
      <c r="J47" s="89"/>
      <c r="K47" s="89"/>
      <c r="L47" s="90"/>
      <c r="M47" s="91" t="n">
        <v>174739.05</v>
      </c>
      <c r="N47" s="24" t="n">
        <v>3182021</v>
      </c>
      <c r="O47" s="32" t="n">
        <v>265</v>
      </c>
      <c r="P47" s="92" t="n">
        <f aca="false">M47/O47</f>
        <v>659.392641509434</v>
      </c>
      <c r="Q47" s="93" t="n">
        <f aca="false">'$'!C138</f>
        <v>19.735976</v>
      </c>
      <c r="R47" s="35" t="n">
        <f aca="false">SUM(C47:E47)/Q47</f>
        <v>29403.4857966994</v>
      </c>
      <c r="S47" s="94" t="n">
        <f aca="false">C47/Q47/M47</f>
        <v>0.00443377236838881</v>
      </c>
      <c r="T47" s="94" t="n">
        <f aca="false">D47/Q47/M47</f>
        <v>0.00539197169945214</v>
      </c>
      <c r="U47" s="36" t="n">
        <f aca="false">E47/Q47/M47</f>
        <v>0.158445090623657</v>
      </c>
      <c r="V47" s="36" t="n">
        <f aca="false">SUM(C47:E47)/Q47/M47</f>
        <v>0.168270834691498</v>
      </c>
      <c r="W47" s="36" t="n">
        <f aca="false">N47/Q47/M47</f>
        <v>0.922687129823199</v>
      </c>
      <c r="X47" s="180" t="n">
        <f aca="false">SUM(V47:W47)</f>
        <v>1.0909579645147</v>
      </c>
      <c r="Y47" s="181" t="n">
        <f aca="false">F47/M47</f>
        <v>0.0101105620066036</v>
      </c>
      <c r="Z47" s="38" t="n">
        <f aca="false">G47/M47</f>
        <v>0.00922518463960975</v>
      </c>
      <c r="AA47" s="39" t="n">
        <f aca="false">H47/M47</f>
        <v>2.46006831329345</v>
      </c>
      <c r="AB47" s="40" t="n">
        <f aca="false">C47/F47</f>
        <v>8.65479337299274</v>
      </c>
      <c r="AC47" s="40" t="n">
        <f aca="false">D47/G47</f>
        <v>11.5353598014888</v>
      </c>
      <c r="AD47" s="40" t="n">
        <f aca="false">E47/H47</f>
        <v>1.27113076046247</v>
      </c>
      <c r="AE47" s="40" t="n">
        <f aca="false">E47/(H47-I47)</f>
        <v>2.7131131082423</v>
      </c>
    </row>
    <row r="48" customFormat="false" ht="18.75" hidden="false" customHeight="true" outlineLevel="0" collapsed="false">
      <c r="A48" s="18" t="n">
        <v>2023</v>
      </c>
      <c r="B48" s="18" t="n">
        <v>6</v>
      </c>
      <c r="C48" s="24" t="n">
        <v>12057.41</v>
      </c>
      <c r="D48" s="24" t="n">
        <v>17660.81</v>
      </c>
      <c r="E48" s="25" t="n">
        <v>421578.95</v>
      </c>
      <c r="F48" s="26" t="n">
        <v>1392.92</v>
      </c>
      <c r="G48" s="178" t="n">
        <v>1798</v>
      </c>
      <c r="H48" s="27" t="n">
        <v>385933</v>
      </c>
      <c r="I48" s="27" t="n">
        <v>227728</v>
      </c>
      <c r="J48" s="89"/>
      <c r="K48" s="89"/>
      <c r="L48" s="90"/>
      <c r="M48" s="91" t="n">
        <v>171765.32</v>
      </c>
      <c r="N48" s="24" t="n">
        <v>2931481</v>
      </c>
      <c r="O48" s="32" t="n">
        <v>254</v>
      </c>
      <c r="P48" s="92" t="n">
        <f aca="false">M48/O48</f>
        <v>676.241417322835</v>
      </c>
      <c r="Q48" s="93" t="n">
        <f aca="false">'$'!C139</f>
        <v>23.541627</v>
      </c>
      <c r="R48" s="35" t="n">
        <f aca="false">SUM(C48:E48)/Q48</f>
        <v>19170.1775752373</v>
      </c>
      <c r="S48" s="94" t="n">
        <f aca="false">C48/Q48/M48</f>
        <v>0.00298182445171221</v>
      </c>
      <c r="T48" s="94" t="n">
        <f aca="false">D48/Q48/M48</f>
        <v>0.00436755780014477</v>
      </c>
      <c r="U48" s="36" t="n">
        <f aca="false">E48/Q48/M48</f>
        <v>0.104257416927612</v>
      </c>
      <c r="V48" s="36" t="n">
        <f aca="false">SUM(C48:E48)/Q48/M48</f>
        <v>0.111606799179469</v>
      </c>
      <c r="W48" s="36" t="n">
        <f aca="false">N48/Q48/M48</f>
        <v>0.724961805688765</v>
      </c>
      <c r="X48" s="180" t="n">
        <f aca="false">SUM(V48:W48)</f>
        <v>0.836568604868234</v>
      </c>
      <c r="Y48" s="181" t="n">
        <f aca="false">F48/M48</f>
        <v>0.00810943675941104</v>
      </c>
      <c r="Z48" s="38" t="n">
        <f aca="false">G48/M48</f>
        <v>0.0104677707933126</v>
      </c>
      <c r="AA48" s="39" t="n">
        <f aca="false">H48/M48</f>
        <v>2.24686217217771</v>
      </c>
      <c r="AB48" s="40" t="n">
        <f aca="false">C48/F48</f>
        <v>8.65621141199782</v>
      </c>
      <c r="AC48" s="40" t="n">
        <f aca="false">D48/G48</f>
        <v>9.82247497219132</v>
      </c>
      <c r="AD48" s="40" t="n">
        <f aca="false">E48/H48</f>
        <v>1.09236305265422</v>
      </c>
      <c r="AE48" s="40" t="n">
        <f aca="false">E48/(H48-I48)</f>
        <v>2.66476375588635</v>
      </c>
    </row>
    <row r="49" customFormat="false" ht="18.75" hidden="false" customHeight="true" outlineLevel="0" collapsed="false">
      <c r="A49" s="18" t="n">
        <v>2023</v>
      </c>
      <c r="B49" s="18" t="n">
        <v>7</v>
      </c>
      <c r="C49" s="24" t="n">
        <v>14475.37</v>
      </c>
      <c r="D49" s="24" t="n">
        <v>17436.41</v>
      </c>
      <c r="E49" s="25" t="n">
        <v>596738.22</v>
      </c>
      <c r="F49" s="26" t="n">
        <v>1632.87</v>
      </c>
      <c r="G49" s="178" t="n">
        <v>1649</v>
      </c>
      <c r="H49" s="27" t="n">
        <v>446418</v>
      </c>
      <c r="I49" s="27" t="n">
        <v>249167</v>
      </c>
      <c r="J49" s="89"/>
      <c r="K49" s="89"/>
      <c r="L49" s="90"/>
      <c r="M49" s="91" t="n">
        <v>185046.314</v>
      </c>
      <c r="N49" s="24" t="n">
        <v>4262898</v>
      </c>
      <c r="O49" s="32" t="n">
        <v>239</v>
      </c>
      <c r="P49" s="92" t="n">
        <f aca="false">M49/O49</f>
        <v>774.252359832636</v>
      </c>
      <c r="Q49" s="93" t="n">
        <f aca="false">'$'!C140</f>
        <v>26.43329</v>
      </c>
      <c r="R49" s="35" t="n">
        <f aca="false">SUM(C49:E49)/Q49</f>
        <v>23782.5106144562</v>
      </c>
      <c r="S49" s="94" t="n">
        <f aca="false">C49/Q49/M49</f>
        <v>0.00295936146300562</v>
      </c>
      <c r="T49" s="94" t="n">
        <f aca="false">D49/Q49/M49</f>
        <v>0.00356471992129844</v>
      </c>
      <c r="U49" s="36" t="n">
        <f aca="false">E49/Q49/M49</f>
        <v>0.121997855099425</v>
      </c>
      <c r="V49" s="36" t="n">
        <f aca="false">SUM(C49:E49)/Q49/M49</f>
        <v>0.128521936483729</v>
      </c>
      <c r="W49" s="36" t="n">
        <f aca="false">N49/Q49/M49</f>
        <v>0.871511820556139</v>
      </c>
      <c r="X49" s="180" t="n">
        <f aca="false">SUM(V49:W49)</f>
        <v>1.00003375703987</v>
      </c>
      <c r="Y49" s="181" t="n">
        <f aca="false">F49/M49</f>
        <v>0.00882411524284672</v>
      </c>
      <c r="Z49" s="38" t="n">
        <f aca="false">G49/M49</f>
        <v>0.00891128261003891</v>
      </c>
      <c r="AA49" s="39" t="n">
        <f aca="false">H49/M49</f>
        <v>2.41246631910755</v>
      </c>
      <c r="AB49" s="40" t="n">
        <f aca="false">C49/F49</f>
        <v>8.86498618996001</v>
      </c>
      <c r="AC49" s="40" t="n">
        <f aca="false">D49/G49</f>
        <v>10.573929654336</v>
      </c>
      <c r="AD49" s="40" t="n">
        <f aca="false">E49/H49</f>
        <v>1.33672526645431</v>
      </c>
      <c r="AE49" s="40" t="n">
        <f aca="false">E49/(H49-I49)</f>
        <v>3.0252734840381</v>
      </c>
    </row>
    <row r="50" customFormat="false" ht="18.75" hidden="false" customHeight="true" outlineLevel="0" collapsed="false">
      <c r="A50" s="18" t="n">
        <v>2023</v>
      </c>
      <c r="B50" s="18" t="n">
        <v>8</v>
      </c>
      <c r="C50" s="24" t="n">
        <v>14029.61</v>
      </c>
      <c r="D50" s="24" t="n">
        <v>19856.28</v>
      </c>
      <c r="E50" s="25" t="n">
        <v>834546.95</v>
      </c>
      <c r="F50" s="26" t="n">
        <v>1582.16</v>
      </c>
      <c r="G50" s="178" t="n">
        <v>1991</v>
      </c>
      <c r="H50" s="27" t="n">
        <v>472223</v>
      </c>
      <c r="I50" s="27" t="n">
        <v>203252</v>
      </c>
      <c r="J50" s="89"/>
      <c r="K50" s="89"/>
      <c r="L50" s="90"/>
      <c r="M50" s="91" t="n">
        <v>188382.99</v>
      </c>
      <c r="N50" s="24" t="n">
        <v>3886543</v>
      </c>
      <c r="O50" s="32" t="n">
        <v>243</v>
      </c>
      <c r="P50" s="92" t="n">
        <f aca="false">M50/O50</f>
        <v>775.238641975309</v>
      </c>
      <c r="Q50" s="93" t="n">
        <f aca="false">'$'!C141</f>
        <v>26.916173</v>
      </c>
      <c r="R50" s="35" t="n">
        <f aca="false">SUM(C50:E50)/Q50</f>
        <v>32264.3505077784</v>
      </c>
      <c r="S50" s="94" t="n">
        <f aca="false">C50/Q50/M50</f>
        <v>0.00276688176910735</v>
      </c>
      <c r="T50" s="94" t="n">
        <f aca="false">D50/Q50/M50</f>
        <v>0.00391600187990192</v>
      </c>
      <c r="U50" s="36" t="n">
        <f aca="false">E50/Q50/M50</f>
        <v>0.164587094111607</v>
      </c>
      <c r="V50" s="36" t="n">
        <f aca="false">SUM(C50:E50)/Q50/M50</f>
        <v>0.171269977760616</v>
      </c>
      <c r="W50" s="36" t="n">
        <f aca="false">N50/Q50/M50</f>
        <v>0.7664935070577</v>
      </c>
      <c r="X50" s="180" t="n">
        <f aca="false">SUM(V50:W50)</f>
        <v>0.937763484818315</v>
      </c>
      <c r="Y50" s="181" t="n">
        <f aca="false">F50/M50</f>
        <v>0.00839863514216438</v>
      </c>
      <c r="Z50" s="38" t="n">
        <f aca="false">G50/M50</f>
        <v>0.0105688947818484</v>
      </c>
      <c r="AA50" s="39" t="n">
        <f aca="false">H50/M50</f>
        <v>2.50671783052175</v>
      </c>
      <c r="AB50" s="40" t="n">
        <f aca="false">C50/F50</f>
        <v>8.86737750922789</v>
      </c>
      <c r="AC50" s="40" t="n">
        <f aca="false">D50/G50</f>
        <v>9.97301858362632</v>
      </c>
      <c r="AD50" s="40" t="n">
        <f aca="false">E50/H50</f>
        <v>1.76727298331509</v>
      </c>
      <c r="AE50" s="40" t="n">
        <f aca="false">E50/(H50-I50)</f>
        <v>3.10273951466887</v>
      </c>
    </row>
    <row r="51" customFormat="false" ht="18.75" hidden="false" customHeight="true" outlineLevel="0" collapsed="false">
      <c r="A51" s="18" t="n">
        <v>2023</v>
      </c>
      <c r="B51" s="18" t="n">
        <v>9</v>
      </c>
      <c r="C51" s="24" t="n">
        <v>11977.61</v>
      </c>
      <c r="D51" s="24" t="n">
        <f aca="false">16165.3+135.36</f>
        <v>16300.66</v>
      </c>
      <c r="E51" s="25" t="n">
        <v>922069.57</v>
      </c>
      <c r="F51" s="26" t="n">
        <v>1349.83</v>
      </c>
      <c r="G51" s="178" t="n">
        <f aca="false">3+1594</f>
        <v>1597</v>
      </c>
      <c r="H51" s="27" t="n">
        <v>473979.11</v>
      </c>
      <c r="I51" s="27" t="n">
        <v>166289</v>
      </c>
      <c r="J51" s="89"/>
      <c r="K51" s="89"/>
      <c r="L51" s="90"/>
      <c r="M51" s="91" t="n">
        <v>194985.58</v>
      </c>
      <c r="N51" s="24" t="n">
        <v>3800402</v>
      </c>
      <c r="O51" s="32" t="n">
        <v>254</v>
      </c>
      <c r="P51" s="92" t="n">
        <f aca="false">M51/O51</f>
        <v>767.659763779527</v>
      </c>
      <c r="Q51" s="93" t="n">
        <f aca="false">'$'!C142</f>
        <v>26.984571</v>
      </c>
      <c r="R51" s="35" t="n">
        <f aca="false">SUM(C51:E51)/Q51</f>
        <v>35218.1933891037</v>
      </c>
      <c r="S51" s="94" t="n">
        <f aca="false">C51/Q51/M51</f>
        <v>0.00227641875652058</v>
      </c>
      <c r="T51" s="94" t="n">
        <f aca="false">D51/Q51/M51</f>
        <v>0.00309804110900795</v>
      </c>
      <c r="U51" s="36" t="n">
        <f aca="false">E51/Q51/M51</f>
        <v>0.175245016657319</v>
      </c>
      <c r="V51" s="36" t="n">
        <f aca="false">SUM(C51:E51)/Q51/M51</f>
        <v>0.180619476522847</v>
      </c>
      <c r="W51" s="36" t="n">
        <f aca="false">N51/Q51/M51</f>
        <v>0.722289872112911</v>
      </c>
      <c r="X51" s="180" t="n">
        <f aca="false">SUM(V51:W51)</f>
        <v>0.902909348635758</v>
      </c>
      <c r="Y51" s="181" t="n">
        <f aca="false">F51/M51</f>
        <v>0.00692271705425601</v>
      </c>
      <c r="Z51" s="38" t="n">
        <f aca="false">G51/M51</f>
        <v>0.00819034925557059</v>
      </c>
      <c r="AA51" s="39" t="n">
        <f aca="false">H51/M51</f>
        <v>2.4308418602032</v>
      </c>
      <c r="AB51" s="40" t="n">
        <f aca="false">C51/F51</f>
        <v>8.87342109747153</v>
      </c>
      <c r="AC51" s="40" t="n">
        <f aca="false">D51/G51</f>
        <v>10.2070507201002</v>
      </c>
      <c r="AD51" s="40" t="n">
        <f aca="false">E51/H51</f>
        <v>1.94538018774709</v>
      </c>
      <c r="AE51" s="40" t="n">
        <f aca="false">E51/(H51-I51)</f>
        <v>2.99674750676907</v>
      </c>
    </row>
    <row r="52" customFormat="false" ht="18.75" hidden="false" customHeight="true" outlineLevel="0" collapsed="false">
      <c r="A52" s="18" t="n">
        <v>2023</v>
      </c>
      <c r="B52" s="18" t="n">
        <v>10</v>
      </c>
      <c r="C52" s="24" t="n">
        <v>14394.96</v>
      </c>
      <c r="D52" s="24" t="n">
        <v>23304.23</v>
      </c>
      <c r="E52" s="25" t="n">
        <v>1183975.9</v>
      </c>
      <c r="F52" s="26" t="n">
        <v>1355</v>
      </c>
      <c r="G52" s="178" t="n">
        <v>2404</v>
      </c>
      <c r="H52" s="27" t="n">
        <v>499113</v>
      </c>
      <c r="I52" s="27" t="n">
        <v>137837</v>
      </c>
      <c r="J52" s="89"/>
      <c r="K52" s="89"/>
      <c r="L52" s="90"/>
      <c r="M52" s="91" t="n">
        <v>205075</v>
      </c>
      <c r="N52" s="24" t="n">
        <v>4533849</v>
      </c>
      <c r="O52" s="32" t="n">
        <v>256</v>
      </c>
      <c r="P52" s="92" t="n">
        <f aca="false">M52/O52</f>
        <v>801.07421875</v>
      </c>
      <c r="Q52" s="93" t="n">
        <f aca="false">'$'!C143</f>
        <v>27.86033</v>
      </c>
      <c r="R52" s="35" t="n">
        <f aca="false">SUM(C52:E52)/Q52</f>
        <v>43849.9863425882</v>
      </c>
      <c r="S52" s="94" t="n">
        <f aca="false">C52/Q52/M52</f>
        <v>0.00251948331101823</v>
      </c>
      <c r="T52" s="94" t="n">
        <f aca="false">D52/Q52/M52</f>
        <v>0.00407883165782541</v>
      </c>
      <c r="U52" s="36" t="n">
        <f aca="false">E52/Q52/M52</f>
        <v>0.207225829088639</v>
      </c>
      <c r="V52" s="36" t="n">
        <f aca="false">SUM(C52:E52)/Q52/M52</f>
        <v>0.213824144057482</v>
      </c>
      <c r="W52" s="36" t="n">
        <f aca="false">N52/Q52/M52</f>
        <v>0.793538633672945</v>
      </c>
      <c r="X52" s="180" t="n">
        <f aca="false">SUM(V52:W52)</f>
        <v>1.00736277773043</v>
      </c>
      <c r="Y52" s="181" t="n">
        <f aca="false">F52/M52</f>
        <v>0.00660733877849567</v>
      </c>
      <c r="Z52" s="38" t="n">
        <f aca="false">G52/M52</f>
        <v>0.011722540533951</v>
      </c>
      <c r="AA52" s="39" t="n">
        <f aca="false">H52/M52</f>
        <v>2.4338071437279</v>
      </c>
      <c r="AB52" s="40" t="n">
        <f aca="false">C52/F52</f>
        <v>10.6235867158672</v>
      </c>
      <c r="AC52" s="40" t="n">
        <f aca="false">D52/G52</f>
        <v>9.69393926788685</v>
      </c>
      <c r="AD52" s="40" t="n">
        <f aca="false">E52/H52</f>
        <v>2.37216001186104</v>
      </c>
      <c r="AE52" s="40" t="n">
        <f aca="false">E52/(H52-I52)</f>
        <v>3.27720606959776</v>
      </c>
    </row>
    <row r="53" customFormat="false" ht="18.75" hidden="false" customHeight="true" outlineLevel="0" collapsed="false">
      <c r="A53" s="18" t="n">
        <v>2023</v>
      </c>
      <c r="B53" s="18" t="n">
        <v>11</v>
      </c>
      <c r="C53" s="24" t="n">
        <v>14744.03</v>
      </c>
      <c r="D53" s="24" t="n">
        <v>22210.52</v>
      </c>
      <c r="E53" s="25" t="n">
        <v>1077441.14</v>
      </c>
      <c r="F53" s="26" t="n">
        <v>1387.52</v>
      </c>
      <c r="G53" s="178" t="n">
        <v>2253</v>
      </c>
      <c r="H53" s="27" t="n">
        <v>458774</v>
      </c>
      <c r="I53" s="27" t="n">
        <v>92047</v>
      </c>
      <c r="J53" s="89"/>
      <c r="K53" s="89"/>
      <c r="L53" s="90"/>
      <c r="M53" s="91" t="n">
        <v>177783</v>
      </c>
      <c r="N53" s="24" t="n">
        <v>4111116</v>
      </c>
      <c r="O53" s="32" t="n">
        <v>255</v>
      </c>
      <c r="P53" s="92" t="n">
        <f aca="false">M53/O53</f>
        <v>697.188235294118</v>
      </c>
      <c r="Q53" s="93" t="n">
        <f aca="false">'$'!C144</f>
        <v>28.646301</v>
      </c>
      <c r="R53" s="35" t="n">
        <f aca="false">SUM(C53:E53)/Q53</f>
        <v>38901.9053454755</v>
      </c>
      <c r="S53" s="94" t="n">
        <f aca="false">C53/Q53/M53</f>
        <v>0.00289505903749946</v>
      </c>
      <c r="T53" s="94" t="n">
        <f aca="false">D53/Q53/M53</f>
        <v>0.00436113916300784</v>
      </c>
      <c r="U53" s="36" t="n">
        <f aca="false">E53/Q53/M53</f>
        <v>0.211560591624591</v>
      </c>
      <c r="V53" s="36" t="n">
        <f aca="false">SUM(C53:E53)/Q53/M53</f>
        <v>0.218816789825099</v>
      </c>
      <c r="W53" s="36" t="n">
        <f aca="false">N53/Q53/M53</f>
        <v>0.807236795503579</v>
      </c>
      <c r="X53" s="180" t="n">
        <f aca="false">SUM(V53:W53)</f>
        <v>1.02605358532868</v>
      </c>
      <c r="Y53" s="181" t="n">
        <f aca="false">F53/M53</f>
        <v>0.00780457074073449</v>
      </c>
      <c r="Z53" s="38" t="n">
        <f aca="false">G53/M53</f>
        <v>0.0126727527378883</v>
      </c>
      <c r="AA53" s="39" t="n">
        <f aca="false">H53/M53</f>
        <v>2.58052794699156</v>
      </c>
      <c r="AB53" s="40" t="n">
        <f aca="false">C53/F53</f>
        <v>10.6261747578413</v>
      </c>
      <c r="AC53" s="40" t="n">
        <f aca="false">D53/G53</f>
        <v>9.85819795827785</v>
      </c>
      <c r="AD53" s="40" t="n">
        <f aca="false">E53/H53</f>
        <v>2.34852267129349</v>
      </c>
      <c r="AE53" s="40" t="n">
        <f aca="false">E53/(H53-I53)</f>
        <v>2.93799240306822</v>
      </c>
    </row>
    <row r="54" customFormat="false" ht="18.75" hidden="false" customHeight="true" outlineLevel="0" collapsed="false">
      <c r="A54" s="18" t="n">
        <v>2023</v>
      </c>
      <c r="B54" s="18" t="n">
        <v>12</v>
      </c>
      <c r="C54" s="24" t="n">
        <v>15955.2</v>
      </c>
      <c r="D54" s="24" t="n">
        <f aca="false">15542.94+2271.6</f>
        <v>17814.54</v>
      </c>
      <c r="E54" s="25" t="n">
        <v>1257990.18</v>
      </c>
      <c r="F54" s="26" t="n">
        <v>1352.99</v>
      </c>
      <c r="G54" s="178" t="n">
        <v>1444</v>
      </c>
      <c r="H54" s="27" t="n">
        <v>475922</v>
      </c>
      <c r="I54" s="27" t="n">
        <v>72050</v>
      </c>
      <c r="J54" s="89"/>
      <c r="K54" s="89"/>
      <c r="L54" s="90"/>
      <c r="M54" s="91" t="n">
        <v>182161.04</v>
      </c>
      <c r="N54" s="24" t="n">
        <v>4550768</v>
      </c>
      <c r="O54" s="32" t="n">
        <v>248</v>
      </c>
      <c r="P54" s="92" t="n">
        <f aca="false">M54/O54</f>
        <v>734.520322580645</v>
      </c>
      <c r="Q54" s="93" t="n">
        <f aca="false">'$'!C145</f>
        <v>29.088107</v>
      </c>
      <c r="R54" s="35" t="n">
        <f aca="false">SUM(C54:E54)/Q54</f>
        <v>44408.5247623711</v>
      </c>
      <c r="S54" s="94" t="n">
        <f aca="false">C54/Q54/M54</f>
        <v>0.00301114241434179</v>
      </c>
      <c r="T54" s="94" t="n">
        <f aca="false">D54/Q54/M54</f>
        <v>0.00336204604053778</v>
      </c>
      <c r="U54" s="36" t="n">
        <f aca="false">E54/Q54/M54</f>
        <v>0.237413983392465</v>
      </c>
      <c r="V54" s="36" t="n">
        <f aca="false">SUM(C54:E54)/Q54/M54</f>
        <v>0.243787171847345</v>
      </c>
      <c r="W54" s="36" t="n">
        <f aca="false">N54/Q54/M54</f>
        <v>0.858842919087781</v>
      </c>
      <c r="X54" s="180" t="n">
        <f aca="false">SUM(V54:W54)</f>
        <v>1.10263009093513</v>
      </c>
      <c r="Y54" s="181" t="n">
        <f aca="false">F54/M54</f>
        <v>0.00742743892986118</v>
      </c>
      <c r="Z54" s="38" t="n">
        <f aca="false">G54/M54</f>
        <v>0.00792705179987993</v>
      </c>
      <c r="AA54" s="39" t="n">
        <f aca="false">H54/M54</f>
        <v>2.61264428441998</v>
      </c>
      <c r="AB54" s="40" t="n">
        <f aca="false">C54/F54</f>
        <v>11.7925483558637</v>
      </c>
      <c r="AC54" s="40" t="n">
        <f aca="false">D54/G54</f>
        <v>12.3369390581717</v>
      </c>
      <c r="AD54" s="40" t="n">
        <f aca="false">E54/H54</f>
        <v>2.6432696534306</v>
      </c>
      <c r="AE54" s="40" t="n">
        <f aca="false">E54/(H54-I54)</f>
        <v>3.11482395412408</v>
      </c>
    </row>
    <row r="55" customFormat="false" ht="18.75" hidden="false" customHeight="true" outlineLevel="0" collapsed="false">
      <c r="A55" s="58" t="n">
        <v>2024</v>
      </c>
      <c r="B55" s="58" t="n">
        <v>1</v>
      </c>
      <c r="C55" s="59" t="n">
        <v>24955.68</v>
      </c>
      <c r="D55" s="59" t="n">
        <v>14179.45</v>
      </c>
      <c r="E55" s="60" t="n">
        <v>1261526.56</v>
      </c>
      <c r="F55" s="61" t="n">
        <v>2342.26</v>
      </c>
      <c r="G55" s="182" t="n">
        <v>846</v>
      </c>
      <c r="H55" s="62" t="n">
        <v>505553</v>
      </c>
      <c r="I55" s="62" t="n">
        <v>71054</v>
      </c>
      <c r="J55" s="101"/>
      <c r="K55" s="101"/>
      <c r="L55" s="102"/>
      <c r="M55" s="103" t="n">
        <v>196604</v>
      </c>
      <c r="N55" s="59" t="n">
        <v>6638457</v>
      </c>
      <c r="O55" s="67" t="n">
        <v>246</v>
      </c>
      <c r="P55" s="104" t="n">
        <f aca="false">M55/O55</f>
        <v>799.20325203252</v>
      </c>
      <c r="Q55" s="105" t="n">
        <f aca="false">'$'!C146</f>
        <v>30.065751</v>
      </c>
      <c r="R55" s="70" t="n">
        <f aca="false">SUM(C55:E55)/Q55</f>
        <v>43260.5754634235</v>
      </c>
      <c r="S55" s="106" t="n">
        <f aca="false">C55/Q55/M55</f>
        <v>0.004221871418319</v>
      </c>
      <c r="T55" s="106" t="n">
        <f aca="false">D55/Q55/M55</f>
        <v>0.00239880518913864</v>
      </c>
      <c r="U55" s="71" t="n">
        <f aca="false">E55/Q55/M55</f>
        <v>0.213418465339926</v>
      </c>
      <c r="V55" s="71" t="n">
        <f aca="false">SUM(C55:E55)/Q55/M55</f>
        <v>0.220039141947384</v>
      </c>
      <c r="W55" s="71" t="n">
        <f aca="false">N55/Q55/M55</f>
        <v>1.12305943456719</v>
      </c>
      <c r="X55" s="180" t="n">
        <f aca="false">SUM(V55:W55)</f>
        <v>1.34309857651457</v>
      </c>
      <c r="Y55" s="183" t="n">
        <f aca="false">F55/M55</f>
        <v>0.0119135928058432</v>
      </c>
      <c r="Z55" s="73" t="n">
        <f aca="false">G55/M55</f>
        <v>0.00430306606172814</v>
      </c>
      <c r="AA55" s="74" t="n">
        <f aca="false">H55/M55</f>
        <v>2.57142784480479</v>
      </c>
      <c r="AB55" s="44" t="n">
        <f aca="false">C55/F55</f>
        <v>10.6545302400246</v>
      </c>
      <c r="AC55" s="44" t="n">
        <f aca="false">D55/G55</f>
        <v>16.7605791962175</v>
      </c>
      <c r="AD55" s="44" t="n">
        <f aca="false">E55/H55</f>
        <v>2.49533987534442</v>
      </c>
      <c r="AE55" s="44" t="n">
        <f aca="false">E55/(H55-I55)</f>
        <v>2.90340497906785</v>
      </c>
    </row>
    <row r="56" customFormat="false" ht="18.75" hidden="false" customHeight="true" outlineLevel="0" collapsed="false">
      <c r="A56" s="18" t="n">
        <v>2024</v>
      </c>
      <c r="B56" s="18" t="n">
        <v>2</v>
      </c>
      <c r="C56" s="24" t="n">
        <v>13910.6</v>
      </c>
      <c r="D56" s="24" t="n">
        <v>11355.11</v>
      </c>
      <c r="E56" s="25" t="n">
        <v>714895.19</v>
      </c>
      <c r="F56" s="26" t="n">
        <v>1305.3</v>
      </c>
      <c r="G56" s="178" t="n">
        <v>588</v>
      </c>
      <c r="H56" s="27" t="n">
        <v>338291</v>
      </c>
      <c r="I56" s="27" t="n">
        <v>109267</v>
      </c>
      <c r="J56" s="89"/>
      <c r="K56" s="89"/>
      <c r="L56" s="90"/>
      <c r="M56" s="91" t="n">
        <v>139051.03</v>
      </c>
      <c r="N56" s="24" t="n">
        <v>5545920</v>
      </c>
      <c r="O56" s="32" t="n">
        <v>245</v>
      </c>
      <c r="P56" s="92" t="n">
        <f aca="false">M56/O56</f>
        <v>567.555224489796</v>
      </c>
      <c r="Q56" s="93" t="n">
        <f aca="false">'$'!C147</f>
        <v>30.78419</v>
      </c>
      <c r="R56" s="35" t="n">
        <f aca="false">SUM(C56:E56)/Q56</f>
        <v>24043.5398819979</v>
      </c>
      <c r="S56" s="94" t="n">
        <f aca="false">C56/Q56/M56</f>
        <v>0.00324970487283958</v>
      </c>
      <c r="T56" s="94" t="n">
        <f aca="false">D56/Q56/M56</f>
        <v>0.00265270774076096</v>
      </c>
      <c r="U56" s="36" t="n">
        <f aca="false">E56/Q56/M56</f>
        <v>0.16700921473643</v>
      </c>
      <c r="V56" s="36" t="n">
        <f aca="false">SUM(C56:E56)/Q56/M56</f>
        <v>0.17291162735003</v>
      </c>
      <c r="W56" s="36" t="n">
        <f aca="false">N56/Q56/M56</f>
        <v>1.29560214860455</v>
      </c>
      <c r="X56" s="180" t="n">
        <f aca="false">SUM(V56:W56)</f>
        <v>1.46851377595458</v>
      </c>
      <c r="Y56" s="181" t="n">
        <f aca="false">F56/M56</f>
        <v>0.00938720123108761</v>
      </c>
      <c r="Z56" s="38" t="n">
        <f aca="false">G56/M56</f>
        <v>0.00422866339069908</v>
      </c>
      <c r="AA56" s="39" t="n">
        <f aca="false">H56/M56</f>
        <v>2.43285504609351</v>
      </c>
      <c r="AB56" s="40" t="n">
        <f aca="false">C56/F56</f>
        <v>10.6570137133226</v>
      </c>
      <c r="AC56" s="40" t="n">
        <f aca="false">D56/G56</f>
        <v>19.3114115646258</v>
      </c>
      <c r="AD56" s="40" t="n">
        <f aca="false">E56/H56</f>
        <v>2.11325512650351</v>
      </c>
      <c r="AE56" s="40" t="n">
        <f aca="false">E56/(H56-I56)</f>
        <v>3.12148591414</v>
      </c>
    </row>
    <row r="57" customFormat="false" ht="18.75" hidden="false" customHeight="true" outlineLevel="0" collapsed="false">
      <c r="A57" s="18" t="n">
        <v>2024</v>
      </c>
      <c r="B57" s="18" t="n">
        <v>3</v>
      </c>
      <c r="C57" s="24" t="n">
        <v>13076.09</v>
      </c>
      <c r="D57" s="24" t="n">
        <v>10560</v>
      </c>
      <c r="E57" s="25" t="n">
        <v>727377.32</v>
      </c>
      <c r="F57" s="26" t="n">
        <v>1226.32</v>
      </c>
      <c r="G57" s="178" t="n">
        <v>536</v>
      </c>
      <c r="H57" s="27" t="n">
        <v>371935</v>
      </c>
      <c r="I57" s="27" t="n">
        <v>165940</v>
      </c>
      <c r="J57" s="89"/>
      <c r="K57" s="89"/>
      <c r="L57" s="90"/>
      <c r="M57" s="91" t="n">
        <v>142748.9</v>
      </c>
      <c r="N57" s="24" t="n">
        <v>5953445</v>
      </c>
      <c r="O57" s="32" t="n">
        <v>240</v>
      </c>
      <c r="P57" s="92" t="n">
        <f aca="false">M57/O57</f>
        <v>594.787083333333</v>
      </c>
      <c r="Q57" s="93" t="n">
        <f aca="false">'$'!C148</f>
        <v>32.02692</v>
      </c>
      <c r="R57" s="35" t="n">
        <f aca="false">SUM(C57:E57)/Q57</f>
        <v>23449.4422192331</v>
      </c>
      <c r="S57" s="94" t="n">
        <f aca="false">C57/Q57/M57</f>
        <v>0.00286015754444484</v>
      </c>
      <c r="T57" s="94" t="n">
        <f aca="false">D57/Q57/M57</f>
        <v>0.00230980848780771</v>
      </c>
      <c r="U57" s="36" t="n">
        <f aca="false">E57/Q57/M57</f>
        <v>0.159100597308222</v>
      </c>
      <c r="V57" s="36" t="n">
        <f aca="false">SUM(C57:E57)/Q57/M57</f>
        <v>0.164270563340475</v>
      </c>
      <c r="W57" s="36" t="n">
        <f aca="false">N57/Q57/M57</f>
        <v>1.30220812430837</v>
      </c>
      <c r="X57" s="180" t="n">
        <f aca="false">SUM(V57:W57)</f>
        <v>1.46647868764884</v>
      </c>
      <c r="Y57" s="181" t="n">
        <f aca="false">F57/M57</f>
        <v>0.00859074921067693</v>
      </c>
      <c r="Z57" s="38" t="n">
        <f aca="false">G57/M57</f>
        <v>0.00375484504609142</v>
      </c>
      <c r="AA57" s="39" t="n">
        <f aca="false">H57/M57</f>
        <v>2.60551920189928</v>
      </c>
      <c r="AB57" s="40" t="n">
        <f aca="false">C57/F57</f>
        <v>10.6628693978733</v>
      </c>
      <c r="AC57" s="40" t="n">
        <f aca="false">D57/G57</f>
        <v>19.7014925373134</v>
      </c>
      <c r="AD57" s="40" t="n">
        <f aca="false">E57/H57</f>
        <v>1.95565709062067</v>
      </c>
      <c r="AE57" s="40" t="n">
        <f aca="false">E57/(H57-I57)</f>
        <v>3.53104356901867</v>
      </c>
    </row>
    <row r="58" customFormat="false" ht="18.75" hidden="false" customHeight="true" outlineLevel="0" collapsed="false">
      <c r="A58" s="18" t="n">
        <v>2024</v>
      </c>
      <c r="B58" s="18" t="n">
        <v>4</v>
      </c>
      <c r="C58" s="24" t="n">
        <v>10796.06</v>
      </c>
      <c r="D58" s="24" t="n">
        <v>10256.48</v>
      </c>
      <c r="E58" s="25" t="n">
        <v>323862.52</v>
      </c>
      <c r="F58" s="26" t="n">
        <v>1012.09</v>
      </c>
      <c r="G58" s="178" t="n">
        <v>519</v>
      </c>
      <c r="H58" s="27" t="n">
        <v>271999</v>
      </c>
      <c r="I58" s="27" t="n">
        <v>181255</v>
      </c>
      <c r="J58" s="89"/>
      <c r="K58" s="89"/>
      <c r="L58" s="90"/>
      <c r="M58" s="91" t="n">
        <v>108321</v>
      </c>
      <c r="N58" s="24" t="n">
        <v>6908244</v>
      </c>
      <c r="O58" s="32" t="n">
        <v>229</v>
      </c>
      <c r="P58" s="92" t="n">
        <f aca="false">M58/O58</f>
        <v>473.017467248908</v>
      </c>
      <c r="Q58" s="93" t="n">
        <f aca="false">'$'!C149</f>
        <v>32.366499</v>
      </c>
      <c r="R58" s="35" t="n">
        <f aca="false">SUM(C58:E58)/Q58</f>
        <v>10656.5452136173</v>
      </c>
      <c r="S58" s="94" t="n">
        <f aca="false">C58/Q58/M58</f>
        <v>0.00307933475284499</v>
      </c>
      <c r="T58" s="94" t="n">
        <f aca="false">D58/Q58/M58</f>
        <v>0.00292543162096724</v>
      </c>
      <c r="U58" s="36" t="n">
        <f aca="false">E58/Q58/M58</f>
        <v>0.0923745433963831</v>
      </c>
      <c r="V58" s="36" t="n">
        <f aca="false">SUM(C58:E58)/Q58/M58</f>
        <v>0.0983793097701953</v>
      </c>
      <c r="W58" s="36" t="n">
        <f aca="false">N58/Q58/M58</f>
        <v>1.97042215681766</v>
      </c>
      <c r="X58" s="180" t="n">
        <f aca="false">SUM(V58:W58)</f>
        <v>2.06880146658786</v>
      </c>
      <c r="Y58" s="181" t="n">
        <f aca="false">F58/M58</f>
        <v>0.0093434329446737</v>
      </c>
      <c r="Z58" s="38" t="n">
        <f aca="false">G58/M58</f>
        <v>0.00479131470352009</v>
      </c>
      <c r="AA58" s="39" t="n">
        <f aca="false">H58/M58</f>
        <v>2.51104587291476</v>
      </c>
      <c r="AB58" s="40" t="n">
        <f aca="false">C58/F58</f>
        <v>10.6670948235829</v>
      </c>
      <c r="AC58" s="40" t="n">
        <f aca="false">D58/G58</f>
        <v>19.7620038535645</v>
      </c>
      <c r="AD58" s="40" t="n">
        <f aca="false">E58/H58</f>
        <v>1.19067540689488</v>
      </c>
      <c r="AE58" s="40" t="n">
        <f aca="false">E58/(H58-I58)</f>
        <v>3.56896896764524</v>
      </c>
    </row>
    <row r="59" customFormat="false" ht="18.75" hidden="false" customHeight="true" outlineLevel="0" collapsed="false">
      <c r="A59" s="18" t="n">
        <v>2024</v>
      </c>
      <c r="B59" s="18" t="n">
        <v>5</v>
      </c>
      <c r="C59" s="24" t="n">
        <v>8945.46</v>
      </c>
      <c r="D59" s="24" t="n">
        <v>9930.83</v>
      </c>
      <c r="E59" s="25" t="n">
        <v>320381.27</v>
      </c>
      <c r="F59" s="26" t="n">
        <v>838.36</v>
      </c>
      <c r="G59" s="178" t="n">
        <v>500</v>
      </c>
      <c r="H59" s="27" t="n">
        <v>276089</v>
      </c>
      <c r="I59" s="27" t="n">
        <v>198363</v>
      </c>
      <c r="J59" s="89"/>
      <c r="K59" s="89"/>
      <c r="L59" s="90"/>
      <c r="M59" s="91" t="n">
        <v>107098</v>
      </c>
      <c r="N59" s="24" t="n">
        <v>6368976</v>
      </c>
      <c r="O59" s="32" t="n">
        <v>219</v>
      </c>
      <c r="P59" s="92" t="n">
        <f aca="false">M59/O59</f>
        <v>489.03196347032</v>
      </c>
      <c r="Q59" s="93" t="n">
        <f aca="false">'$'!C150</f>
        <v>32.26418</v>
      </c>
      <c r="R59" s="35" t="n">
        <f aca="false">SUM(C59:E59)/Q59</f>
        <v>10514.9909280199</v>
      </c>
      <c r="S59" s="94" t="n">
        <f aca="false">C59/Q59/M59</f>
        <v>0.00258881302802344</v>
      </c>
      <c r="T59" s="94" t="n">
        <f aca="false">D59/Q59/M59</f>
        <v>0.00287397876499208</v>
      </c>
      <c r="U59" s="36" t="n">
        <f aca="false">E59/Q59/M59</f>
        <v>0.0927182286557311</v>
      </c>
      <c r="V59" s="36" t="n">
        <f aca="false">SUM(C59:E59)/Q59/M59</f>
        <v>0.0981810204487466</v>
      </c>
      <c r="W59" s="36" t="n">
        <f aca="false">N59/Q59/M59</f>
        <v>1.84317945013098</v>
      </c>
      <c r="X59" s="180" t="n">
        <f aca="false">SUM(V59:W59)</f>
        <v>1.94136047057972</v>
      </c>
      <c r="Y59" s="181" t="n">
        <f aca="false">F59/M59</f>
        <v>0.0078279706437095</v>
      </c>
      <c r="Z59" s="38" t="n">
        <f aca="false">G59/M59</f>
        <v>0.00466862126276868</v>
      </c>
      <c r="AA59" s="39" t="n">
        <f aca="false">H59/M59</f>
        <v>2.57790995163308</v>
      </c>
      <c r="AB59" s="40" t="n">
        <f aca="false">C59/F59</f>
        <v>10.670189417434</v>
      </c>
      <c r="AC59" s="40" t="n">
        <f aca="false">D59/G59</f>
        <v>19.86166</v>
      </c>
      <c r="AD59" s="40" t="n">
        <f aca="false">E59/H59</f>
        <v>1.160427507072</v>
      </c>
      <c r="AE59" s="40" t="n">
        <f aca="false">E59/(H59-I59)</f>
        <v>4.12193178601755</v>
      </c>
    </row>
    <row r="60" customFormat="false" ht="18.75" hidden="false" customHeight="true" outlineLevel="0" collapsed="false">
      <c r="A60" s="18" t="n">
        <v>2024</v>
      </c>
      <c r="B60" s="18" t="n">
        <v>6</v>
      </c>
      <c r="C60" s="24" t="n">
        <v>7508.48</v>
      </c>
      <c r="D60" s="24" t="n">
        <v>8095.62</v>
      </c>
      <c r="E60" s="25" t="n">
        <v>30206.75</v>
      </c>
      <c r="F60" s="26" t="n">
        <v>476.03</v>
      </c>
      <c r="G60" s="178" t="n">
        <v>358</v>
      </c>
      <c r="H60" s="27" t="n">
        <v>193809</v>
      </c>
      <c r="I60" s="27" t="n">
        <v>212913</v>
      </c>
      <c r="J60" s="89"/>
      <c r="K60" s="89"/>
      <c r="L60" s="90"/>
      <c r="M60" s="91" t="n">
        <v>72031.11</v>
      </c>
      <c r="N60" s="24" t="n">
        <v>5152707</v>
      </c>
      <c r="O60" s="32" t="n">
        <v>186</v>
      </c>
      <c r="P60" s="92" t="n">
        <f aca="false">M60/O60</f>
        <v>387.264032258064</v>
      </c>
      <c r="Q60" s="93" t="n">
        <f aca="false">'$'!C151</f>
        <v>32.591018</v>
      </c>
      <c r="R60" s="35" t="n">
        <f aca="false">SUM(C60:E60)/Q60</f>
        <v>1405.62807826377</v>
      </c>
      <c r="S60" s="94" t="n">
        <f aca="false">C60/Q60/M60</f>
        <v>0.00319840897069108</v>
      </c>
      <c r="T60" s="94" t="n">
        <f aca="false">D60/Q60/M60</f>
        <v>0.0034485146968902</v>
      </c>
      <c r="U60" s="36" t="n">
        <f aca="false">E60/Q60/M60</f>
        <v>0.0128672567783923</v>
      </c>
      <c r="V60" s="36" t="n">
        <f aca="false">SUM(C60:E60)/Q60/M60</f>
        <v>0.0195141804459736</v>
      </c>
      <c r="W60" s="36" t="n">
        <f aca="false">N60/Q60/M60</f>
        <v>2.19491352339525</v>
      </c>
      <c r="X60" s="180" t="n">
        <f aca="false">SUM(V60:W60)</f>
        <v>2.21442770384122</v>
      </c>
      <c r="Y60" s="181" t="n">
        <f aca="false">F60/M60</f>
        <v>0.00660867228062986</v>
      </c>
      <c r="Z60" s="38" t="n">
        <f aca="false">G60/M60</f>
        <v>0.00497007473576348</v>
      </c>
      <c r="AA60" s="39" t="n">
        <f aca="false">H60/M60</f>
        <v>2.6906290906804</v>
      </c>
      <c r="AB60" s="40" t="n">
        <f aca="false">C60/F60</f>
        <v>15.7731235426339</v>
      </c>
      <c r="AC60" s="40" t="n">
        <f aca="false">D60/G60</f>
        <v>22.6134636871508</v>
      </c>
      <c r="AD60" s="40" t="n">
        <f aca="false">E60/H60</f>
        <v>0.155858345071694</v>
      </c>
      <c r="AE60" s="40" t="s">
        <v>54</v>
      </c>
    </row>
    <row r="61" customFormat="false" ht="18.75" hidden="false" customHeight="true" outlineLevel="0" collapsed="false">
      <c r="A61" s="18" t="n">
        <v>2024</v>
      </c>
      <c r="B61" s="18" t="n">
        <v>7</v>
      </c>
      <c r="C61" s="24" t="n">
        <v>3483</v>
      </c>
      <c r="D61" s="24" t="n">
        <v>11526</v>
      </c>
      <c r="E61" s="25" t="n">
        <v>116463</v>
      </c>
      <c r="F61" s="26" t="n">
        <v>320.88</v>
      </c>
      <c r="G61" s="178" t="n">
        <v>610</v>
      </c>
      <c r="H61" s="27" t="n">
        <v>234830</v>
      </c>
      <c r="I61" s="27" t="n">
        <v>211643</v>
      </c>
      <c r="J61" s="89"/>
      <c r="K61" s="89"/>
      <c r="L61" s="90"/>
      <c r="M61" s="91" t="n">
        <v>85092</v>
      </c>
      <c r="N61" s="24" t="n">
        <v>5313034</v>
      </c>
      <c r="O61" s="32" t="n">
        <v>188</v>
      </c>
      <c r="P61" s="92" t="n">
        <f aca="false">M61/O61</f>
        <v>452.617021276596</v>
      </c>
      <c r="Q61" s="93" t="n">
        <f aca="false">'$'!C152</f>
        <v>32.911131</v>
      </c>
      <c r="R61" s="35" t="n">
        <f aca="false">SUM(C61:E61)/Q61</f>
        <v>3994.75788297886</v>
      </c>
      <c r="S61" s="94" t="n">
        <f aca="false">C61/Q61/M61</f>
        <v>0.00124371804591929</v>
      </c>
      <c r="T61" s="94" t="n">
        <f aca="false">D61/Q61/M61</f>
        <v>0.00411573189700422</v>
      </c>
      <c r="U61" s="36" t="n">
        <f aca="false">E61/Q61/M61</f>
        <v>0.0415868891133786</v>
      </c>
      <c r="V61" s="36" t="n">
        <f aca="false">SUM(C61:E61)/Q61/M61</f>
        <v>0.0469463390563022</v>
      </c>
      <c r="W61" s="36" t="n">
        <f aca="false">N61/Q61/M61</f>
        <v>1.89719100326808</v>
      </c>
      <c r="X61" s="180" t="n">
        <f aca="false">SUM(V61:W61)</f>
        <v>1.94413734232438</v>
      </c>
      <c r="Y61" s="181" t="n">
        <f aca="false">F61/M61</f>
        <v>0.00377097729516288</v>
      </c>
      <c r="Z61" s="38" t="n">
        <f aca="false">G61/M61</f>
        <v>0.00716871151224557</v>
      </c>
      <c r="AA61" s="39" t="n">
        <f aca="false">H61/M61</f>
        <v>2.75971889249283</v>
      </c>
      <c r="AB61" s="40" t="n">
        <f aca="false">C61/F61</f>
        <v>10.8545250560957</v>
      </c>
      <c r="AC61" s="40" t="n">
        <f aca="false">D61/G61</f>
        <v>18.8950819672131</v>
      </c>
      <c r="AD61" s="40" t="n">
        <f aca="false">E61/H61</f>
        <v>0.495946003491888</v>
      </c>
      <c r="AE61" s="40" t="n">
        <f aca="false">E61/(H61-I61)</f>
        <v>5.02277138051494</v>
      </c>
    </row>
    <row r="62" customFormat="false" ht="18.75" hidden="false" customHeight="true" outlineLevel="0" collapsed="false">
      <c r="A62" s="18" t="n">
        <v>2024</v>
      </c>
      <c r="B62" s="18" t="n">
        <v>8</v>
      </c>
      <c r="C62" s="24" t="n">
        <v>3791.47</v>
      </c>
      <c r="D62" s="24" t="n">
        <v>10939.77</v>
      </c>
      <c r="E62" s="25" t="n">
        <v>305207.15</v>
      </c>
      <c r="F62" s="26" t="n">
        <v>267.19</v>
      </c>
      <c r="G62" s="178" t="n">
        <v>581</v>
      </c>
      <c r="H62" s="27" t="n">
        <v>273211</v>
      </c>
      <c r="I62" s="27" t="n">
        <v>195608</v>
      </c>
      <c r="J62" s="89"/>
      <c r="K62" s="89"/>
      <c r="L62" s="90"/>
      <c r="M62" s="91" t="n">
        <v>98211</v>
      </c>
      <c r="N62" s="24" t="n">
        <v>5079818</v>
      </c>
      <c r="O62" s="32" t="n">
        <v>189</v>
      </c>
      <c r="P62" s="92" t="n">
        <f aca="false">M62/O62</f>
        <v>519.634920634921</v>
      </c>
      <c r="Q62" s="93" t="n">
        <f aca="false">'$'!C153</f>
        <v>33.678</v>
      </c>
      <c r="R62" s="35" t="n">
        <f aca="false">SUM(C62:E62)/Q62</f>
        <v>9499.92250133619</v>
      </c>
      <c r="S62" s="94" t="n">
        <f aca="false">C62/Q62/M62</f>
        <v>0.00114630766988077</v>
      </c>
      <c r="T62" s="94" t="n">
        <f aca="false">D62/Q62/M62</f>
        <v>0.00330751456762986</v>
      </c>
      <c r="U62" s="36" t="n">
        <f aca="false">E62/Q62/M62</f>
        <v>0.0922758974612623</v>
      </c>
      <c r="V62" s="36" t="n">
        <f aca="false">SUM(C62:E62)/Q62/M62</f>
        <v>0.0967297196987729</v>
      </c>
      <c r="W62" s="36" t="n">
        <f aca="false">N62/Q62/M62</f>
        <v>1.53582497949302</v>
      </c>
      <c r="X62" s="180" t="n">
        <f aca="false">SUM(V62:W62)</f>
        <v>1.6325546991918</v>
      </c>
      <c r="Y62" s="181" t="n">
        <f aca="false">F62/M62</f>
        <v>0.0027205710154667</v>
      </c>
      <c r="Z62" s="38" t="n">
        <f aca="false">G62/M62</f>
        <v>0.00591583427518302</v>
      </c>
      <c r="AA62" s="39" t="n">
        <f aca="false">H62/M62</f>
        <v>2.78187779372983</v>
      </c>
      <c r="AB62" s="40" t="n">
        <f aca="false">C62/F62</f>
        <v>14.1901643025562</v>
      </c>
      <c r="AC62" s="40" t="n">
        <f aca="false">D62/G62</f>
        <v>18.8292082616179</v>
      </c>
      <c r="AD62" s="40" t="n">
        <f aca="false">E62/H62</f>
        <v>1.11711149990301</v>
      </c>
      <c r="AE62" s="40" t="n">
        <f aca="false">E62/(H62-I62)</f>
        <v>3.93292978364239</v>
      </c>
    </row>
    <row r="63" customFormat="false" ht="18.75" hidden="false" customHeight="true" outlineLevel="0" collapsed="false">
      <c r="A63" s="18" t="n">
        <v>2024</v>
      </c>
      <c r="B63" s="18" t="n">
        <v>9</v>
      </c>
      <c r="C63" s="24" t="n">
        <v>29625</v>
      </c>
      <c r="D63" s="24" t="n">
        <v>10940</v>
      </c>
      <c r="E63" s="25" t="n">
        <v>369555</v>
      </c>
      <c r="F63" s="26" t="n">
        <v>2055</v>
      </c>
      <c r="G63" s="178" t="n">
        <v>559</v>
      </c>
      <c r="H63" s="27" t="n">
        <v>263322</v>
      </c>
      <c r="I63" s="27" t="n">
        <v>163992</v>
      </c>
      <c r="J63" s="89"/>
      <c r="K63" s="89"/>
      <c r="L63" s="90"/>
      <c r="M63" s="91" t="n">
        <v>115212</v>
      </c>
      <c r="N63" s="24" t="n">
        <v>4912246</v>
      </c>
      <c r="O63" s="32" t="n">
        <v>191</v>
      </c>
      <c r="P63" s="92" t="n">
        <f aca="false">M63/O63</f>
        <v>603.204188481675</v>
      </c>
      <c r="Q63" s="93" t="n">
        <f aca="false">'$'!C154</f>
        <v>34.062282</v>
      </c>
      <c r="R63" s="35" t="n">
        <f aca="false">SUM(C63:E63)/Q63</f>
        <v>12040.2972413886</v>
      </c>
      <c r="S63" s="94" t="n">
        <f aca="false">C63/Q63/M63</f>
        <v>0.00754895615835467</v>
      </c>
      <c r="T63" s="94" t="n">
        <f aca="false">D63/Q63/M63</f>
        <v>0.00278769891552405</v>
      </c>
      <c r="U63" s="36" t="n">
        <f aca="false">E63/Q63/M63</f>
        <v>0.0941689280371564</v>
      </c>
      <c r="V63" s="36" t="n">
        <f aca="false">SUM(C63:E63)/Q63/M63</f>
        <v>0.104505583111035</v>
      </c>
      <c r="W63" s="36" t="n">
        <f aca="false">N63/Q63/M63</f>
        <v>1.25172420904821</v>
      </c>
      <c r="X63" s="180" t="n">
        <f aca="false">SUM(V63:W63)</f>
        <v>1.35622979215924</v>
      </c>
      <c r="Y63" s="181" t="n">
        <f aca="false">F63/M63</f>
        <v>0.0178366836787835</v>
      </c>
      <c r="Z63" s="38" t="n">
        <f aca="false">G63/M63</f>
        <v>0.00485192514668611</v>
      </c>
      <c r="AA63" s="39" t="n">
        <f aca="false">H63/M63</f>
        <v>2.28554317258619</v>
      </c>
      <c r="AB63" s="40" t="n">
        <f aca="false">C63/F63</f>
        <v>14.4160583941606</v>
      </c>
      <c r="AC63" s="40" t="n">
        <f aca="false">D63/G63</f>
        <v>19.5706618962433</v>
      </c>
      <c r="AD63" s="40" t="n">
        <f aca="false">E63/H63</f>
        <v>1.40343381867068</v>
      </c>
      <c r="AE63" s="40" t="n">
        <f aca="false">E63/(H63-I63)</f>
        <v>3.72047719722138</v>
      </c>
    </row>
    <row r="64" customFormat="false" ht="18.75" hidden="false" customHeight="true" outlineLevel="0" collapsed="false">
      <c r="A64" s="18" t="n">
        <v>2024</v>
      </c>
      <c r="B64" s="18" t="n">
        <v>10</v>
      </c>
      <c r="C64" s="24" t="n">
        <v>19320.53</v>
      </c>
      <c r="D64" s="24" t="n">
        <v>9513.64</v>
      </c>
      <c r="E64" s="25" t="n">
        <v>448332.08</v>
      </c>
      <c r="F64" s="26" t="n">
        <v>1342.24</v>
      </c>
      <c r="G64" s="178" t="n">
        <v>449</v>
      </c>
      <c r="H64" s="27" t="n">
        <v>263023</v>
      </c>
      <c r="I64" s="27" t="n">
        <v>144178</v>
      </c>
      <c r="J64" s="89"/>
      <c r="K64" s="89"/>
      <c r="L64" s="90"/>
      <c r="M64" s="91" t="n">
        <v>116403</v>
      </c>
      <c r="N64" s="24" t="n">
        <v>5023578</v>
      </c>
      <c r="O64" s="32" t="n">
        <v>187</v>
      </c>
      <c r="P64" s="92" t="n">
        <f aca="false">M64/O64</f>
        <v>622.475935828877</v>
      </c>
      <c r="Q64" s="93" t="n">
        <f aca="false">'$'!C155</f>
        <v>34.2626</v>
      </c>
      <c r="R64" s="35" t="n">
        <f aca="false">SUM(C64:E64)/Q64</f>
        <v>13926.7379008015</v>
      </c>
      <c r="S64" s="94" t="n">
        <f aca="false">C64/Q64/M64</f>
        <v>0.00484433921773874</v>
      </c>
      <c r="T64" s="94" t="n">
        <f aca="false">D64/Q64/M64</f>
        <v>0.00238540554298707</v>
      </c>
      <c r="U64" s="36" t="n">
        <f aca="false">E64/Q64/M64</f>
        <v>0.11241268628316</v>
      </c>
      <c r="V64" s="36" t="n">
        <f aca="false">SUM(C64:E64)/Q64/M64</f>
        <v>0.119642431043886</v>
      </c>
      <c r="W64" s="36" t="n">
        <f aca="false">N64/Q64/M64</f>
        <v>1.25958842323526</v>
      </c>
      <c r="X64" s="180" t="n">
        <f aca="false">SUM(V64:W64)</f>
        <v>1.37923085427915</v>
      </c>
      <c r="Y64" s="181" t="n">
        <f aca="false">F64/M64</f>
        <v>0.0115309742876043</v>
      </c>
      <c r="Z64" s="38" t="n">
        <f aca="false">G64/M64</f>
        <v>0.00385728890148879</v>
      </c>
      <c r="AA64" s="39" t="n">
        <f aca="false">H64/M64</f>
        <v>2.25958952947948</v>
      </c>
      <c r="AB64" s="40" t="n">
        <f aca="false">C64/F64</f>
        <v>14.3942439504113</v>
      </c>
      <c r="AC64" s="40" t="n">
        <f aca="false">D64/G64</f>
        <v>21.1885077951002</v>
      </c>
      <c r="AD64" s="40" t="n">
        <f aca="false">E64/H64</f>
        <v>1.70453564897366</v>
      </c>
      <c r="AE64" s="40" t="n">
        <f aca="false">E64/(H64-I64)</f>
        <v>3.77241011401405</v>
      </c>
    </row>
    <row r="65" customFormat="false" ht="18.75" hidden="false" customHeight="true" outlineLevel="0" collapsed="false">
      <c r="A65" s="18" t="n">
        <v>2024</v>
      </c>
      <c r="B65" s="18" t="n">
        <v>11</v>
      </c>
      <c r="C65" s="24" t="n">
        <v>17216</v>
      </c>
      <c r="D65" s="24" t="n">
        <v>8936</v>
      </c>
      <c r="E65" s="25" t="n">
        <v>622035</v>
      </c>
      <c r="F65" s="26" t="n">
        <v>1195.58</v>
      </c>
      <c r="G65" s="178" t="n">
        <v>400</v>
      </c>
      <c r="H65" s="27" t="n">
        <v>255146</v>
      </c>
      <c r="I65" s="27" t="n">
        <v>86376</v>
      </c>
      <c r="J65" s="89"/>
      <c r="K65" s="89"/>
      <c r="L65" s="90"/>
      <c r="M65" s="91" t="n">
        <v>120471</v>
      </c>
      <c r="N65" s="24" t="n">
        <v>4276539</v>
      </c>
      <c r="O65" s="32" t="n">
        <v>188</v>
      </c>
      <c r="P65" s="92" t="n">
        <f aca="false">M65/O65</f>
        <v>640.803191489362</v>
      </c>
      <c r="Q65" s="93" t="n">
        <f aca="false">'$'!C156</f>
        <v>34.46339</v>
      </c>
      <c r="R65" s="35" t="n">
        <f aca="false">SUM(C65:E65)/Q65</f>
        <v>18807.9872583632</v>
      </c>
      <c r="S65" s="94" t="n">
        <f aca="false">C65/Q65/M65</f>
        <v>0.00414659618663668</v>
      </c>
      <c r="T65" s="94" t="n">
        <f aca="false">D65/Q65/M65</f>
        <v>0.00215229922884441</v>
      </c>
      <c r="U65" s="36" t="n">
        <f aca="false">E65/Q65/M65</f>
        <v>0.149821558954144</v>
      </c>
      <c r="V65" s="36" t="n">
        <f aca="false">SUM(C65:E65)/Q65/M65</f>
        <v>0.156120454369625</v>
      </c>
      <c r="W65" s="36" t="n">
        <f aca="false">N65/Q65/M65</f>
        <v>1.03003486927295</v>
      </c>
      <c r="X65" s="180" t="n">
        <f aca="false">SUM(V65:W65)</f>
        <v>1.18615532364257</v>
      </c>
      <c r="Y65" s="181" t="n">
        <f aca="false">F65/M65</f>
        <v>0.00992421412622125</v>
      </c>
      <c r="Z65" s="38" t="n">
        <f aca="false">G65/M65</f>
        <v>0.00332030115131442</v>
      </c>
      <c r="AA65" s="39" t="n">
        <f aca="false">H65/M65</f>
        <v>2.11790389388318</v>
      </c>
      <c r="AB65" s="40" t="n">
        <f aca="false">C65/F65</f>
        <v>14.3997055822279</v>
      </c>
      <c r="AC65" s="40" t="n">
        <f aca="false">D65/G65</f>
        <v>22.34</v>
      </c>
      <c r="AD65" s="40" t="n">
        <f aca="false">E65/H65</f>
        <v>2.43795709123404</v>
      </c>
      <c r="AE65" s="40" t="n">
        <f aca="false">E65/(H65-I65)</f>
        <v>3.68569651004325</v>
      </c>
    </row>
    <row r="66" customFormat="false" ht="18.75" hidden="false" customHeight="true" outlineLevel="0" collapsed="false">
      <c r="A66" s="18" t="n">
        <v>2024</v>
      </c>
      <c r="B66" s="18" t="n">
        <v>12</v>
      </c>
      <c r="C66" s="24" t="n">
        <v>18299</v>
      </c>
      <c r="D66" s="24" t="n">
        <v>8027</v>
      </c>
      <c r="E66" s="25" t="n">
        <v>657690</v>
      </c>
      <c r="F66" s="26" t="n">
        <v>1270</v>
      </c>
      <c r="G66" s="178" t="n">
        <v>354</v>
      </c>
      <c r="H66" s="27" t="n">
        <v>257272</v>
      </c>
      <c r="I66" s="27" t="n">
        <v>66817</v>
      </c>
      <c r="J66" s="89"/>
      <c r="K66" s="89"/>
      <c r="L66" s="90"/>
      <c r="M66" s="91" t="n">
        <v>125005</v>
      </c>
      <c r="N66" s="24" t="n">
        <v>4147507</v>
      </c>
      <c r="O66" s="32" t="n">
        <v>185</v>
      </c>
      <c r="P66" s="92" t="n">
        <f aca="false">M66/O66</f>
        <v>675.702702702703</v>
      </c>
      <c r="Q66" s="93" t="n">
        <f aca="false">'$'!C157</f>
        <v>34.9875</v>
      </c>
      <c r="R66" s="35" t="n">
        <f aca="false">SUM(C66:E66)/Q66</f>
        <v>19550.2965344766</v>
      </c>
      <c r="S66" s="94" t="n">
        <f aca="false">C66/Q66/M66</f>
        <v>0.00418395554281437</v>
      </c>
      <c r="T66" s="94" t="n">
        <f aca="false">D66/Q66/M66</f>
        <v>0.00183532494355817</v>
      </c>
      <c r="U66" s="36" t="n">
        <f aca="false">E66/Q66/M66</f>
        <v>0.150376835944783</v>
      </c>
      <c r="V66" s="36" t="n">
        <f aca="false">SUM(C66:E66)/Q66/M66</f>
        <v>0.156396116431156</v>
      </c>
      <c r="W66" s="36" t="n">
        <f aca="false">N66/Q66/M66</f>
        <v>0.948302360867337</v>
      </c>
      <c r="X66" s="180" t="n">
        <f aca="false">SUM(V66:W66)</f>
        <v>1.10469847729849</v>
      </c>
      <c r="Y66" s="181" t="n">
        <f aca="false">F66/M66</f>
        <v>0.0101595936162554</v>
      </c>
      <c r="Z66" s="38" t="n">
        <f aca="false">G66/M66</f>
        <v>0.00283188672453102</v>
      </c>
      <c r="AA66" s="39" t="n">
        <f aca="false">H66/M66</f>
        <v>2.05809367625295</v>
      </c>
      <c r="AB66" s="40" t="n">
        <f aca="false">C66/F66</f>
        <v>14.4086614173228</v>
      </c>
      <c r="AC66" s="40" t="n">
        <f aca="false">D66/G66</f>
        <v>22.6751412429379</v>
      </c>
      <c r="AD66" s="40" t="n">
        <f aca="false">E66/H66</f>
        <v>2.5563994527193</v>
      </c>
      <c r="AE66" s="40" t="n">
        <f aca="false">E66/(H66-I66)</f>
        <v>3.45325667480507</v>
      </c>
    </row>
    <row r="67" customFormat="false" ht="18.75" hidden="false" customHeight="true" outlineLevel="0" collapsed="false">
      <c r="A67" s="58" t="n">
        <v>2025</v>
      </c>
      <c r="B67" s="58" t="n">
        <v>1</v>
      </c>
      <c r="C67" s="59" t="n">
        <v>20702</v>
      </c>
      <c r="D67" s="59" t="n">
        <v>15230</v>
      </c>
      <c r="E67" s="60" t="n">
        <v>712917</v>
      </c>
      <c r="F67" s="61" t="n">
        <v>1270</v>
      </c>
      <c r="G67" s="182" t="n">
        <v>324</v>
      </c>
      <c r="H67" s="62" t="n">
        <v>290267</v>
      </c>
      <c r="I67" s="62" t="n">
        <v>94772</v>
      </c>
      <c r="J67" s="101"/>
      <c r="K67" s="101"/>
      <c r="L67" s="102"/>
      <c r="M67" s="103" t="n">
        <v>139334</v>
      </c>
      <c r="N67" s="59" t="n">
        <v>5491760</v>
      </c>
      <c r="O67" s="67" t="n">
        <v>188</v>
      </c>
      <c r="P67" s="104" t="n">
        <f aca="false">M67/O67</f>
        <v>741.13829787234</v>
      </c>
      <c r="Q67" s="105" t="n">
        <f aca="false">'$'!C158</f>
        <v>35.5237</v>
      </c>
      <c r="R67" s="70" t="n">
        <f aca="false">SUM(C67:E67)/Q67</f>
        <v>21080.2647246768</v>
      </c>
      <c r="S67" s="106" t="n">
        <f aca="false">C67/Q67/M67</f>
        <v>0.00418251016835994</v>
      </c>
      <c r="T67" s="106" t="n">
        <f aca="false">D67/Q67/M67</f>
        <v>0.00307697951232354</v>
      </c>
      <c r="U67" s="71" t="n">
        <f aca="false">E67/Q67/M67</f>
        <v>0.144033552395743</v>
      </c>
      <c r="V67" s="71" t="n">
        <f aca="false">SUM(C67:E67)/Q67/M67</f>
        <v>0.151293042076426</v>
      </c>
      <c r="W67" s="71" t="n">
        <f aca="false">N67/Q67/M67</f>
        <v>1.10952285007209</v>
      </c>
      <c r="X67" s="180" t="n">
        <f aca="false">SUM(V67:W67)</f>
        <v>1.26081589214852</v>
      </c>
      <c r="Y67" s="183" t="n">
        <f aca="false">F67/M67</f>
        <v>0.00911478892445491</v>
      </c>
      <c r="Z67" s="73" t="n">
        <f aca="false">G67/M67</f>
        <v>0.00232534772560897</v>
      </c>
      <c r="AA67" s="74" t="n">
        <f aca="false">H67/M67</f>
        <v>2.08324601317697</v>
      </c>
      <c r="AB67" s="44" t="n">
        <f aca="false">C67/F67</f>
        <v>16.3007874015748</v>
      </c>
      <c r="AC67" s="44" t="n">
        <f aca="false">D67/G67</f>
        <v>47.0061728395062</v>
      </c>
      <c r="AD67" s="44" t="n">
        <f aca="false">E67/H67</f>
        <v>2.45607320156959</v>
      </c>
      <c r="AE67" s="44" t="n">
        <f aca="false">E67/(H67-I67)</f>
        <v>3.64672753778869</v>
      </c>
    </row>
    <row r="68" customFormat="false" ht="18.75" hidden="false" customHeight="true" outlineLevel="0" collapsed="false">
      <c r="A68" s="18" t="n">
        <v>2025</v>
      </c>
      <c r="B68" s="18" t="n">
        <v>2</v>
      </c>
      <c r="C68" s="24" t="n">
        <v>18593</v>
      </c>
      <c r="D68" s="24" t="n">
        <v>17925</v>
      </c>
      <c r="E68" s="25" t="n">
        <v>617906</v>
      </c>
      <c r="F68" s="26" t="n">
        <v>1124</v>
      </c>
      <c r="G68" s="178" t="n">
        <v>422</v>
      </c>
      <c r="H68" s="27" t="n">
        <v>269315</v>
      </c>
      <c r="I68" s="27" t="n">
        <v>97946</v>
      </c>
      <c r="J68" s="89"/>
      <c r="K68" s="89"/>
      <c r="L68" s="90"/>
      <c r="M68" s="91" t="n">
        <v>116689</v>
      </c>
      <c r="N68" s="24" t="n">
        <v>6388246</v>
      </c>
      <c r="O68" s="32" t="n">
        <v>202</v>
      </c>
      <c r="P68" s="92" t="n">
        <f aca="false">M68/O68</f>
        <v>577.668316831683</v>
      </c>
      <c r="Q68" s="93" t="n">
        <f aca="false">'$'!C159</f>
        <v>36.169082</v>
      </c>
      <c r="R68" s="35" t="n">
        <f aca="false">SUM(C68:E68)/Q68</f>
        <v>18093.4644678015</v>
      </c>
      <c r="S68" s="94" t="n">
        <f aca="false">C68/Q68/M68</f>
        <v>0.00440536670434543</v>
      </c>
      <c r="T68" s="94" t="n">
        <f aca="false">D68/Q68/M68</f>
        <v>0.00424709289385208</v>
      </c>
      <c r="U68" s="36" t="n">
        <f aca="false">E68/Q68/M68</f>
        <v>0.146404696327396</v>
      </c>
      <c r="V68" s="36" t="n">
        <f aca="false">SUM(C68:E68)/Q68/M68</f>
        <v>0.155057155925593</v>
      </c>
      <c r="W68" s="36" t="n">
        <f aca="false">N68/Q68/M68</f>
        <v>1.51361083351626</v>
      </c>
      <c r="X68" s="180" t="n">
        <f aca="false">SUM(V68:W68)</f>
        <v>1.66866798944186</v>
      </c>
      <c r="Y68" s="181" t="n">
        <f aca="false">F68/M68</f>
        <v>0.00963244178971454</v>
      </c>
      <c r="Z68" s="38" t="n">
        <f aca="false">G68/M68</f>
        <v>0.00361645056517752</v>
      </c>
      <c r="AA68" s="39" t="n">
        <f aca="false">H68/M68</f>
        <v>2.30797247384072</v>
      </c>
      <c r="AB68" s="40" t="n">
        <f aca="false">C68/F68</f>
        <v>16.5418149466192</v>
      </c>
      <c r="AC68" s="40" t="n">
        <f aca="false">D68/G68</f>
        <v>42.4763033175355</v>
      </c>
      <c r="AD68" s="40" t="n">
        <f aca="false">E68/H68</f>
        <v>2.29436162114995</v>
      </c>
      <c r="AE68" s="40" t="n">
        <f aca="false">E68/(H68-I68)</f>
        <v>3.60570464903221</v>
      </c>
    </row>
    <row r="69" customFormat="false" ht="18.75" hidden="false" customHeight="true" outlineLevel="0" collapsed="false">
      <c r="A69" s="18" t="n">
        <v>2025</v>
      </c>
      <c r="B69" s="18" t="n">
        <v>3</v>
      </c>
      <c r="C69" s="24" t="n">
        <v>14144</v>
      </c>
      <c r="D69" s="24" t="n">
        <v>20164</v>
      </c>
      <c r="E69" s="25" t="n">
        <v>389510</v>
      </c>
      <c r="F69" s="26" t="n">
        <v>981</v>
      </c>
      <c r="G69" s="178" t="n">
        <v>521</v>
      </c>
      <c r="H69" s="27" t="n">
        <v>257017</v>
      </c>
      <c r="I69" s="27" t="n">
        <v>158225</v>
      </c>
      <c r="J69" s="89"/>
      <c r="K69" s="89"/>
      <c r="L69" s="90"/>
      <c r="M69" s="91" t="n">
        <v>143775</v>
      </c>
      <c r="N69" s="24" t="n">
        <v>4768738</v>
      </c>
      <c r="O69" s="32" t="n">
        <v>203</v>
      </c>
      <c r="P69" s="92" t="n">
        <f aca="false">M69/O69</f>
        <v>708.251231527094</v>
      </c>
      <c r="Q69" s="93" t="n">
        <f aca="false">'$'!C160</f>
        <v>37.092994</v>
      </c>
      <c r="R69" s="35" t="n">
        <f aca="false">SUM(C69:E69)/Q69</f>
        <v>11425.823431778</v>
      </c>
      <c r="S69" s="94" t="n">
        <f aca="false">C69/Q69/M69</f>
        <v>0.00265214327589911</v>
      </c>
      <c r="T69" s="94" t="n">
        <f aca="false">D69/Q69/M69</f>
        <v>0.00378095425729848</v>
      </c>
      <c r="U69" s="36" t="n">
        <f aca="false">E69/Q69/M69</f>
        <v>0.0730370706586159</v>
      </c>
      <c r="V69" s="36" t="n">
        <f aca="false">SUM(C69:E69)/Q69/M69</f>
        <v>0.0794701681918135</v>
      </c>
      <c r="W69" s="36" t="n">
        <f aca="false">N69/Q69/M69</f>
        <v>0.89418668136486</v>
      </c>
      <c r="X69" s="180" t="n">
        <f aca="false">SUM(V69:W69)</f>
        <v>0.973656849556673</v>
      </c>
      <c r="Y69" s="181" t="n">
        <f aca="false">F69/M69</f>
        <v>0.00682316118935837</v>
      </c>
      <c r="Z69" s="38" t="n">
        <f aca="false">G69/M69</f>
        <v>0.00362371761432794</v>
      </c>
      <c r="AA69" s="39" t="n">
        <f aca="false">H69/M69</f>
        <v>1.7876334550513</v>
      </c>
      <c r="AB69" s="40" t="n">
        <f aca="false">C69/F69</f>
        <v>14.4179408766565</v>
      </c>
      <c r="AC69" s="40" t="n">
        <f aca="false">D69/G69</f>
        <v>38.7024952015355</v>
      </c>
      <c r="AD69" s="40" t="n">
        <f aca="false">E69/H69</f>
        <v>1.5155028655692</v>
      </c>
      <c r="AE69" s="40" t="n">
        <f aca="false">E69/(H69-I69)</f>
        <v>3.942728156126</v>
      </c>
    </row>
    <row r="70" customFormat="false" ht="18.75" hidden="false" customHeight="true" outlineLevel="0" collapsed="false">
      <c r="A70" s="18" t="n">
        <v>2025</v>
      </c>
      <c r="B70" s="18" t="n">
        <v>4</v>
      </c>
      <c r="C70" s="24" t="n">
        <v>22895</v>
      </c>
      <c r="D70" s="24" t="n">
        <v>17762</v>
      </c>
      <c r="E70" s="25" t="n">
        <v>502049</v>
      </c>
      <c r="F70" s="26" t="n">
        <v>1310</v>
      </c>
      <c r="G70" s="178" t="n">
        <v>419</v>
      </c>
      <c r="H70" s="27" t="n">
        <v>301990</v>
      </c>
      <c r="I70" s="27" t="n">
        <v>183718</v>
      </c>
      <c r="J70" s="89"/>
      <c r="K70" s="89"/>
      <c r="L70" s="90"/>
      <c r="M70" s="91" t="n">
        <v>152513</v>
      </c>
      <c r="N70" s="24" t="n">
        <v>7032000</v>
      </c>
      <c r="O70" s="32" t="n">
        <v>200</v>
      </c>
      <c r="P70" s="92" t="n">
        <f aca="false">M70/O70</f>
        <v>762.565</v>
      </c>
      <c r="Q70" s="93" t="n">
        <f aca="false">'$'!C161</f>
        <v>38.131488</v>
      </c>
      <c r="R70" s="35" t="n">
        <f aca="false">SUM(C70:E70)/Q70</f>
        <v>14232.4894323557</v>
      </c>
      <c r="S70" s="94" t="n">
        <f aca="false">C70/Q70/M70</f>
        <v>0.00393686054336083</v>
      </c>
      <c r="T70" s="94" t="n">
        <f aca="false">D70/Q70/M70</f>
        <v>0.00305422655475759</v>
      </c>
      <c r="U70" s="36" t="n">
        <f aca="false">E70/Q70/M70</f>
        <v>0.0863287573240341</v>
      </c>
      <c r="V70" s="36" t="n">
        <f aca="false">SUM(C70:E70)/Q70/M70</f>
        <v>0.0933198444221525</v>
      </c>
      <c r="W70" s="36" t="n">
        <f aca="false">N70/Q70/M70</f>
        <v>1.20917245428755</v>
      </c>
      <c r="X70" s="180" t="n">
        <f aca="false">SUM(V70:W70)</f>
        <v>1.3024922987097</v>
      </c>
      <c r="Y70" s="181" t="n">
        <f aca="false">F70/M70</f>
        <v>0.00858943172057464</v>
      </c>
      <c r="Z70" s="38" t="n">
        <f aca="false">G70/M70</f>
        <v>0.00274730678696242</v>
      </c>
      <c r="AA70" s="39" t="n">
        <f aca="false">H70/M70</f>
        <v>1.98009350022621</v>
      </c>
      <c r="AB70" s="40" t="n">
        <f aca="false">C70/F70</f>
        <v>17.4770992366412</v>
      </c>
      <c r="AC70" s="40" t="n">
        <f aca="false">D70/G70</f>
        <v>42.3914081145585</v>
      </c>
      <c r="AD70" s="40" t="n">
        <f aca="false">E70/H70</f>
        <v>1.66246895592569</v>
      </c>
      <c r="AE70" s="40" t="n">
        <f aca="false">E70/(H70-I70)</f>
        <v>4.24486776244589</v>
      </c>
    </row>
    <row r="71" customFormat="false" ht="18.75" hidden="false" customHeight="true" outlineLevel="0" collapsed="false">
      <c r="A71" s="18" t="n">
        <v>2025</v>
      </c>
      <c r="B71" s="18" t="n">
        <v>5</v>
      </c>
      <c r="C71" s="24" t="n">
        <v>18883</v>
      </c>
      <c r="D71" s="24" t="n">
        <v>16678</v>
      </c>
      <c r="E71" s="25" t="n">
        <v>356675</v>
      </c>
      <c r="F71" s="26" t="n">
        <v>1080</v>
      </c>
      <c r="G71" s="178" t="n">
        <v>380</v>
      </c>
      <c r="H71" s="27" t="n">
        <v>312401</v>
      </c>
      <c r="I71" s="27" t="n">
        <v>222481</v>
      </c>
      <c r="J71" s="89"/>
      <c r="K71" s="89"/>
      <c r="L71" s="90"/>
      <c r="M71" s="91" t="n">
        <v>134313</v>
      </c>
      <c r="N71" s="24" t="n">
        <v>7840204</v>
      </c>
      <c r="O71" s="32" t="n">
        <v>194</v>
      </c>
      <c r="P71" s="92" t="n">
        <f aca="false">M71/O71</f>
        <v>692.335051546392</v>
      </c>
      <c r="Q71" s="93" t="n">
        <f aca="false">'$'!C162</f>
        <v>38.826157</v>
      </c>
      <c r="R71" s="35" t="n">
        <f aca="false">SUM(C71:E71)/Q71</f>
        <v>10102.3647537406</v>
      </c>
      <c r="S71" s="94" t="n">
        <f aca="false">C71/Q71/M71</f>
        <v>0.00362100010342841</v>
      </c>
      <c r="T71" s="94" t="n">
        <f aca="false">D71/Q71/M71</f>
        <v>0.00319816976777943</v>
      </c>
      <c r="U71" s="36" t="n">
        <f aca="false">E71/Q71/M71</f>
        <v>0.0683959228878001</v>
      </c>
      <c r="V71" s="36" t="n">
        <f aca="false">SUM(C71:E71)/Q71/M71</f>
        <v>0.0752150927590079</v>
      </c>
      <c r="W71" s="36" t="n">
        <f aca="false">N71/Q71/M71</f>
        <v>1.50343586797118</v>
      </c>
      <c r="X71" s="180" t="n">
        <f aca="false">SUM(V71:W71)</f>
        <v>1.57865096073019</v>
      </c>
      <c r="Y71" s="181" t="n">
        <f aca="false">F71/M71</f>
        <v>0.00804091934511179</v>
      </c>
      <c r="Z71" s="38" t="n">
        <f aca="false">G71/M71</f>
        <v>0.00282921236216896</v>
      </c>
      <c r="AA71" s="39" t="n">
        <f aca="false">H71/M71</f>
        <v>2.32591781882617</v>
      </c>
      <c r="AB71" s="40" t="n">
        <f aca="false">C71/F71</f>
        <v>17.4842592592593</v>
      </c>
      <c r="AC71" s="40" t="n">
        <f aca="false">D71/G71</f>
        <v>43.8894736842105</v>
      </c>
      <c r="AD71" s="40" t="n">
        <f aca="false">E71/H71</f>
        <v>1.14172169743375</v>
      </c>
      <c r="AE71" s="40" t="n">
        <f aca="false">E71/(H71-I71)</f>
        <v>3.96658140569395</v>
      </c>
    </row>
    <row r="72" customFormat="false" ht="18.75" hidden="false" customHeight="true" outlineLevel="0" collapsed="false">
      <c r="A72" s="18" t="n">
        <v>2025</v>
      </c>
      <c r="B72" s="18" t="n">
        <v>6</v>
      </c>
      <c r="C72" s="24" t="n">
        <v>15816</v>
      </c>
      <c r="D72" s="24" t="n">
        <v>15940</v>
      </c>
      <c r="E72" s="25" t="n">
        <v>35045</v>
      </c>
      <c r="F72" s="26" t="n">
        <v>905</v>
      </c>
      <c r="G72" s="178" t="n">
        <v>331</v>
      </c>
      <c r="H72" s="27" t="n">
        <v>249079</v>
      </c>
      <c r="I72" s="27" t="n">
        <v>256567</v>
      </c>
      <c r="J72" s="89"/>
      <c r="K72" s="89"/>
      <c r="L72" s="90"/>
      <c r="M72" s="91" t="n">
        <v>129965</v>
      </c>
      <c r="N72" s="24" t="n">
        <v>6373314</v>
      </c>
      <c r="O72" s="32" t="n">
        <v>184</v>
      </c>
      <c r="P72" s="92" t="n">
        <f aca="false">M72/O72</f>
        <v>706.33152173913</v>
      </c>
      <c r="Q72" s="93" t="n">
        <f aca="false">'$'!C163</f>
        <v>39.477254</v>
      </c>
      <c r="R72" s="35" t="n">
        <f aca="false">SUM(C72:E72)/Q72</f>
        <v>1692.13897197612</v>
      </c>
      <c r="S72" s="94" t="n">
        <f aca="false">C72/Q72/M72</f>
        <v>0.00308264354739975</v>
      </c>
      <c r="T72" s="94" t="n">
        <f aca="false">D72/Q72/M72</f>
        <v>0.00310681197177238</v>
      </c>
      <c r="U72" s="36" t="n">
        <f aca="false">E72/Q72/M72</f>
        <v>0.00683050348499142</v>
      </c>
      <c r="V72" s="36" t="n">
        <f aca="false">SUM(C72:E72)/Q72/M72</f>
        <v>0.0130199590041635</v>
      </c>
      <c r="W72" s="36" t="n">
        <f aca="false">N72/Q72/M72</f>
        <v>1.24220126945198</v>
      </c>
      <c r="X72" s="180" t="n">
        <f aca="false">SUM(V72:W72)</f>
        <v>1.25522122845614</v>
      </c>
      <c r="Y72" s="181" t="n">
        <f aca="false">F72/M72</f>
        <v>0.00696341322663794</v>
      </c>
      <c r="Z72" s="38" t="n">
        <f aca="false">G72/M72</f>
        <v>0.00254683953372062</v>
      </c>
      <c r="AA72" s="39" t="n">
        <f aca="false">H72/M72</f>
        <v>1.91650829069365</v>
      </c>
      <c r="AB72" s="40" t="n">
        <f aca="false">C72/F72</f>
        <v>17.4762430939227</v>
      </c>
      <c r="AC72" s="40" t="n">
        <f aca="false">D72/G72</f>
        <v>48.1570996978852</v>
      </c>
      <c r="AD72" s="40" t="n">
        <f aca="false">E72/H72</f>
        <v>0.14069833265751</v>
      </c>
      <c r="AE72" s="40" t="n">
        <f aca="false">E72/(H72-I72)</f>
        <v>-4.68015491452992</v>
      </c>
    </row>
    <row r="73" customFormat="false" ht="18.75" hidden="false" customHeight="true" outlineLevel="0" collapsed="false">
      <c r="A73" s="18" t="n">
        <v>2025</v>
      </c>
      <c r="B73" s="18" t="n">
        <v>7</v>
      </c>
      <c r="C73" s="24" t="n">
        <v>23110</v>
      </c>
      <c r="D73" s="24" t="n">
        <v>17243</v>
      </c>
      <c r="E73" s="25" t="n">
        <v>212173</v>
      </c>
      <c r="F73" s="26" t="n">
        <v>1221</v>
      </c>
      <c r="G73" s="178" t="n">
        <v>398</v>
      </c>
      <c r="H73" s="27" t="n">
        <v>268249</v>
      </c>
      <c r="I73" s="27" t="n">
        <v>224547</v>
      </c>
      <c r="J73" s="89"/>
      <c r="K73" s="89"/>
      <c r="L73" s="90"/>
      <c r="M73" s="91" t="n">
        <v>120735</v>
      </c>
      <c r="N73" s="24" t="n">
        <v>6562736</v>
      </c>
      <c r="O73" s="32" t="n">
        <v>179</v>
      </c>
      <c r="P73" s="92" t="n">
        <f aca="false">M73/O73</f>
        <v>674.497206703911</v>
      </c>
      <c r="Q73" s="93" t="n">
        <f aca="false">'$'!C164</f>
        <v>40.244021</v>
      </c>
      <c r="R73" s="35" t="n">
        <f aca="false">SUM(C73:E73)/Q73</f>
        <v>6274.86999870117</v>
      </c>
      <c r="S73" s="94" t="n">
        <f aca="false">C73/Q73/M73</f>
        <v>0.00475625786294471</v>
      </c>
      <c r="T73" s="94" t="n">
        <f aca="false">D73/Q73/M73</f>
        <v>0.0035487734457272</v>
      </c>
      <c r="U73" s="36" t="n">
        <f aca="false">E73/Q73/M73</f>
        <v>0.0436672219625516</v>
      </c>
      <c r="V73" s="36" t="n">
        <f aca="false">SUM(C73:E73)/Q73/M73</f>
        <v>0.0519722532712235</v>
      </c>
      <c r="W73" s="36" t="n">
        <f aca="false">N73/Q73/M73</f>
        <v>1.35067350508136</v>
      </c>
      <c r="X73" s="180" t="n">
        <f aca="false">SUM(V73:W73)</f>
        <v>1.40264575835259</v>
      </c>
      <c r="Y73" s="181" t="n">
        <f aca="false">F73/M73</f>
        <v>0.0101130575226736</v>
      </c>
      <c r="Z73" s="38" t="n">
        <f aca="false">G73/M73</f>
        <v>0.00329647575268149</v>
      </c>
      <c r="AA73" s="39" t="n">
        <f aca="false">H73/M73</f>
        <v>2.22179980950014</v>
      </c>
      <c r="AB73" s="40" t="n">
        <f aca="false">C73/F73</f>
        <v>18.9271089271089</v>
      </c>
      <c r="AC73" s="40" t="n">
        <f aca="false">D73/G73</f>
        <v>43.3241206030151</v>
      </c>
      <c r="AD73" s="40" t="n">
        <f aca="false">E73/H73</f>
        <v>0.790955418286741</v>
      </c>
      <c r="AE73" s="40" t="n">
        <f aca="false">E73/(H73-I73)</f>
        <v>4.85499519472793</v>
      </c>
    </row>
    <row r="74" customFormat="false" ht="18.75" hidden="false" customHeight="true" outlineLevel="0" collapsed="false">
      <c r="A74" s="18" t="n">
        <v>2025</v>
      </c>
      <c r="B74" s="18" t="n">
        <v>8</v>
      </c>
      <c r="C74" s="24" t="n">
        <v>21728</v>
      </c>
      <c r="D74" s="24" t="n">
        <v>18784</v>
      </c>
      <c r="E74" s="25" t="n">
        <v>207500</v>
      </c>
      <c r="F74" s="26" t="n">
        <v>1146</v>
      </c>
      <c r="G74" s="178" t="n">
        <v>455</v>
      </c>
      <c r="H74" s="27" t="n">
        <v>215871</v>
      </c>
      <c r="I74" s="27" t="n">
        <v>171657</v>
      </c>
      <c r="J74" s="89"/>
      <c r="K74" s="89"/>
      <c r="L74" s="90"/>
      <c r="M74" s="91" t="n">
        <v>101763</v>
      </c>
      <c r="N74" s="24" t="n">
        <v>7107913</v>
      </c>
      <c r="O74" s="32" t="n">
        <v>137</v>
      </c>
      <c r="P74" s="92" t="n">
        <f aca="false">M74/O74</f>
        <v>742.795620437956</v>
      </c>
      <c r="Q74" s="93" t="n">
        <f aca="false">'$'!C165</f>
        <v>40.85612</v>
      </c>
      <c r="R74" s="35" t="n">
        <f aca="false">SUM(C74:E74)/Q74</f>
        <v>6070.37574786837</v>
      </c>
      <c r="S74" s="94" t="n">
        <f aca="false">C74/Q74/M74</f>
        <v>0.00522604001294144</v>
      </c>
      <c r="T74" s="94" t="n">
        <f aca="false">D74/Q74/M74</f>
        <v>0.00451794622621005</v>
      </c>
      <c r="U74" s="36" t="n">
        <f aca="false">E74/Q74/M74</f>
        <v>0.0499081048732211</v>
      </c>
      <c r="V74" s="36" t="n">
        <f aca="false">SUM(C74:E74)/Q74/M74</f>
        <v>0.0596520911123726</v>
      </c>
      <c r="W74" s="36" t="n">
        <f aca="false">N74/Q74/M74</f>
        <v>1.70960225269268</v>
      </c>
      <c r="X74" s="180" t="n">
        <f aca="false">SUM(V74:W74)</f>
        <v>1.76925434380506</v>
      </c>
      <c r="Y74" s="181" t="n">
        <f aca="false">F74/M74</f>
        <v>0.0112614604522272</v>
      </c>
      <c r="Z74" s="38" t="n">
        <f aca="false">G74/M74</f>
        <v>0.00447117321619842</v>
      </c>
      <c r="AA74" s="39" t="n">
        <f aca="false">H74/M74</f>
        <v>2.12131128209664</v>
      </c>
      <c r="AB74" s="40" t="n">
        <f aca="false">C74/F74</f>
        <v>18.9598603839442</v>
      </c>
      <c r="AC74" s="40" t="n">
        <f aca="false">D74/G74</f>
        <v>41.2835164835165</v>
      </c>
      <c r="AD74" s="40" t="n">
        <f aca="false">E74/H74</f>
        <v>0.961222211413298</v>
      </c>
      <c r="AE74" s="40" t="n">
        <f aca="false">E74/(H74-I74)</f>
        <v>4.69308363866649</v>
      </c>
    </row>
    <row r="75" customFormat="false" ht="18.75" hidden="false" customHeight="true" outlineLevel="0" collapsed="false">
      <c r="A75" s="18" t="n">
        <v>2025</v>
      </c>
      <c r="B75" s="18" t="n">
        <v>9</v>
      </c>
      <c r="C75" s="24" t="n">
        <v>19785</v>
      </c>
      <c r="D75" s="24" t="n">
        <v>15985</v>
      </c>
      <c r="E75" s="25" t="n">
        <v>417844</v>
      </c>
      <c r="F75" s="26" t="n">
        <v>1044</v>
      </c>
      <c r="G75" s="178" t="n">
        <v>351</v>
      </c>
      <c r="H75" s="27" t="n">
        <v>233217</v>
      </c>
      <c r="I75" s="27" t="n">
        <v>137961</v>
      </c>
      <c r="J75" s="89"/>
      <c r="K75" s="89"/>
      <c r="L75" s="90"/>
      <c r="M75" s="91" t="n">
        <v>110603</v>
      </c>
      <c r="N75" s="24" t="n">
        <v>6868537</v>
      </c>
      <c r="O75" s="32" t="n">
        <v>166</v>
      </c>
      <c r="P75" s="92" t="n">
        <f aca="false">M75/O75</f>
        <v>666.283132530121</v>
      </c>
      <c r="Q75" s="93" t="n">
        <f aca="false">'$'!C166</f>
        <v>41.347521</v>
      </c>
      <c r="R75" s="35" t="n">
        <f aca="false">SUM(C75:E75)/Q75</f>
        <v>10970.7665424488</v>
      </c>
      <c r="S75" s="94" t="n">
        <f aca="false">C75/Q75/M75</f>
        <v>0.00432633028001412</v>
      </c>
      <c r="T75" s="94" t="n">
        <f aca="false">D75/Q75/M75</f>
        <v>0.00349539497225301</v>
      </c>
      <c r="U75" s="36" t="n">
        <f aca="false">E75/Q75/M75</f>
        <v>0.0913687717726673</v>
      </c>
      <c r="V75" s="36" t="n">
        <f aca="false">SUM(C75:E75)/Q75/M75</f>
        <v>0.0991904970249344</v>
      </c>
      <c r="W75" s="36" t="n">
        <f aca="false">N75/Q75/M75</f>
        <v>1.50192365946411</v>
      </c>
      <c r="X75" s="180" t="n">
        <f aca="false">SUM(V75:W75)</f>
        <v>1.60111415648904</v>
      </c>
      <c r="Y75" s="181" t="n">
        <f aca="false">F75/M75</f>
        <v>0.0094391653029303</v>
      </c>
      <c r="Z75" s="38" t="n">
        <f aca="false">G75/M75</f>
        <v>0.00317351247253691</v>
      </c>
      <c r="AA75" s="39" t="n">
        <f aca="false">H75/M75</f>
        <v>2.10859560771408</v>
      </c>
      <c r="AB75" s="40" t="n">
        <f aca="false">C75/F75</f>
        <v>18.9511494252874</v>
      </c>
      <c r="AC75" s="40" t="n">
        <f aca="false">D75/G75</f>
        <v>45.5413105413105</v>
      </c>
      <c r="AD75" s="40" t="n">
        <f aca="false">E75/H75</f>
        <v>1.7916532671289</v>
      </c>
      <c r="AE75" s="40" t="n">
        <f aca="false">E75/(H75-I75)</f>
        <v>4.38653733098178</v>
      </c>
    </row>
    <row r="76" customFormat="false" ht="18.75" hidden="false" customHeight="true" outlineLevel="0" collapsed="false">
      <c r="A76" s="18" t="n">
        <v>2025</v>
      </c>
      <c r="B76" s="18" t="n">
        <v>10</v>
      </c>
      <c r="C76" s="24" t="n">
        <v>22503</v>
      </c>
      <c r="D76" s="24" t="n">
        <v>15636</v>
      </c>
      <c r="E76" s="25" t="n">
        <v>417724</v>
      </c>
      <c r="F76" s="26" t="n">
        <v>1187</v>
      </c>
      <c r="G76" s="178" t="n">
        <v>335</v>
      </c>
      <c r="H76" s="27" t="n">
        <v>228701</v>
      </c>
      <c r="I76" s="27" t="n">
        <v>136285</v>
      </c>
      <c r="J76" s="89"/>
      <c r="K76" s="89"/>
      <c r="L76" s="90"/>
      <c r="M76" s="91" t="n">
        <v>119968</v>
      </c>
      <c r="N76" s="24" t="n">
        <v>7136445</v>
      </c>
      <c r="O76" s="32" t="n">
        <v>165</v>
      </c>
      <c r="P76" s="92" t="n">
        <f aca="false">M76/O76</f>
        <v>727.078787878788</v>
      </c>
      <c r="Q76" s="93" t="n">
        <f aca="false">'$'!C167</f>
        <v>41.847826</v>
      </c>
      <c r="R76" s="35" t="n">
        <f aca="false">SUM(C76:E76)/Q76</f>
        <v>10893.3496330251</v>
      </c>
      <c r="S76" s="94" t="n">
        <f aca="false">C76/Q76/M76</f>
        <v>0.00448231217567514</v>
      </c>
      <c r="T76" s="94" t="n">
        <f aca="false">D76/Q76/M76</f>
        <v>0.00311449287556577</v>
      </c>
      <c r="U76" s="36" t="n">
        <f aca="false">E76/Q76/M76</f>
        <v>0.0832053224579711</v>
      </c>
      <c r="V76" s="36" t="n">
        <f aca="false">SUM(C76:E76)/Q76/M76</f>
        <v>0.090802127509212</v>
      </c>
      <c r="W76" s="36" t="n">
        <f aca="false">N76/Q76/M76</f>
        <v>1.42148932651362</v>
      </c>
      <c r="X76" s="180" t="n">
        <f aca="false">SUM(V76:W76)</f>
        <v>1.51229145402283</v>
      </c>
      <c r="Y76" s="181" t="n">
        <f aca="false">F76/M76</f>
        <v>0.00989430514803948</v>
      </c>
      <c r="Z76" s="38" t="n">
        <f aca="false">G76/M76</f>
        <v>0.00279241130968258</v>
      </c>
      <c r="AA76" s="39" t="n">
        <f aca="false">H76/M76</f>
        <v>1.90635002667378</v>
      </c>
      <c r="AB76" s="40" t="n">
        <f aca="false">C76/F76</f>
        <v>18.9578770008425</v>
      </c>
      <c r="AC76" s="40" t="n">
        <f aca="false">D76/G76</f>
        <v>46.6746268656716</v>
      </c>
      <c r="AD76" s="40" t="n">
        <f aca="false">E76/H76</f>
        <v>1.82650709878837</v>
      </c>
      <c r="AE76" s="40" t="n">
        <f aca="false">E76/(H76-I76)</f>
        <v>4.5200398199446</v>
      </c>
    </row>
    <row r="77" customFormat="false" ht="18.75" hidden="false" customHeight="true" outlineLevel="0" collapsed="false">
      <c r="A77" s="18" t="n">
        <v>2025</v>
      </c>
      <c r="B77" s="18" t="n">
        <v>11</v>
      </c>
      <c r="C77" s="24"/>
      <c r="D77" s="24"/>
      <c r="E77" s="25"/>
      <c r="F77" s="26"/>
      <c r="G77" s="178"/>
      <c r="H77" s="27"/>
      <c r="I77" s="27"/>
      <c r="J77" s="89"/>
      <c r="K77" s="89"/>
      <c r="L77" s="90"/>
      <c r="M77" s="91"/>
      <c r="N77" s="24"/>
      <c r="O77" s="32"/>
      <c r="P77" s="92" t="e">
        <f aca="false">M77/O77</f>
        <v>#DIV/0!</v>
      </c>
      <c r="Q77" s="93" t="n">
        <f aca="false">'$'!C168</f>
        <v>43.1816648593448</v>
      </c>
      <c r="R77" s="35" t="n">
        <f aca="false">SUM(C77:E77)/Q77</f>
        <v>0</v>
      </c>
      <c r="S77" s="94" t="e">
        <f aca="false">C77/Q77/M77</f>
        <v>#DIV/0!</v>
      </c>
      <c r="T77" s="94" t="e">
        <f aca="false">D77/Q77/M77</f>
        <v>#DIV/0!</v>
      </c>
      <c r="U77" s="36" t="e">
        <f aca="false">E77/Q77/M77</f>
        <v>#DIV/0!</v>
      </c>
      <c r="V77" s="36" t="e">
        <f aca="false">SUM(C77:E77)/Q77/M77</f>
        <v>#DIV/0!</v>
      </c>
      <c r="W77" s="36" t="e">
        <f aca="false">N77/Q77/M77</f>
        <v>#DIV/0!</v>
      </c>
      <c r="X77" s="180" t="e">
        <f aca="false">SUM(V77:W77)</f>
        <v>#DIV/0!</v>
      </c>
      <c r="Y77" s="181" t="e">
        <f aca="false">F77/M77</f>
        <v>#DIV/0!</v>
      </c>
      <c r="Z77" s="38" t="e">
        <f aca="false">G77/M77</f>
        <v>#DIV/0!</v>
      </c>
      <c r="AA77" s="39" t="e">
        <f aca="false">H77/M77</f>
        <v>#DIV/0!</v>
      </c>
      <c r="AB77" s="40" t="e">
        <f aca="false">C77/F77</f>
        <v>#DIV/0!</v>
      </c>
      <c r="AC77" s="40" t="e">
        <f aca="false">D77/G77</f>
        <v>#DIV/0!</v>
      </c>
      <c r="AD77" s="40" t="e">
        <f aca="false">E77/H77</f>
        <v>#DIV/0!</v>
      </c>
      <c r="AE77" s="40" t="e">
        <f aca="false">E77/(H77-I77)</f>
        <v>#DIV/0!</v>
      </c>
    </row>
    <row r="78" customFormat="false" ht="18.75" hidden="false" customHeight="true" outlineLevel="0" collapsed="false">
      <c r="A78" s="18" t="n">
        <v>2025</v>
      </c>
      <c r="B78" s="18" t="n">
        <v>12</v>
      </c>
      <c r="C78" s="24"/>
      <c r="D78" s="24"/>
      <c r="E78" s="25"/>
      <c r="F78" s="26"/>
      <c r="G78" s="178"/>
      <c r="H78" s="27"/>
      <c r="I78" s="27"/>
      <c r="J78" s="89"/>
      <c r="K78" s="89"/>
      <c r="L78" s="90"/>
      <c r="M78" s="91"/>
      <c r="N78" s="24"/>
      <c r="O78" s="32"/>
      <c r="P78" s="92" t="e">
        <f aca="false">M78/O78</f>
        <v>#DIV/0!</v>
      </c>
      <c r="Q78" s="93" t="n">
        <f aca="false">'$'!C169</f>
        <v>45.2043004238843</v>
      </c>
      <c r="R78" s="35" t="n">
        <f aca="false">SUM(C78:E78)/Q78</f>
        <v>0</v>
      </c>
      <c r="S78" s="94" t="e">
        <f aca="false">C78/Q78/M78</f>
        <v>#DIV/0!</v>
      </c>
      <c r="T78" s="94" t="e">
        <f aca="false">D78/Q78/M78</f>
        <v>#DIV/0!</v>
      </c>
      <c r="U78" s="36" t="e">
        <f aca="false">E78/Q78/M78</f>
        <v>#DIV/0!</v>
      </c>
      <c r="V78" s="36" t="e">
        <f aca="false">SUM(C78:E78)/Q78/M78</f>
        <v>#DIV/0!</v>
      </c>
      <c r="W78" s="36" t="e">
        <f aca="false">N78/Q78/M78</f>
        <v>#DIV/0!</v>
      </c>
      <c r="X78" s="180" t="e">
        <f aca="false">SUM(V78:W78)</f>
        <v>#DIV/0!</v>
      </c>
      <c r="Y78" s="181" t="e">
        <f aca="false">F78/M78</f>
        <v>#DIV/0!</v>
      </c>
      <c r="Z78" s="38" t="e">
        <f aca="false">G78/M78</f>
        <v>#DIV/0!</v>
      </c>
      <c r="AA78" s="39" t="e">
        <f aca="false">H78/M78</f>
        <v>#DIV/0!</v>
      </c>
      <c r="AB78" s="40" t="e">
        <f aca="false">C78/F78</f>
        <v>#DIV/0!</v>
      </c>
      <c r="AC78" s="40" t="e">
        <f aca="false">D78/G78</f>
        <v>#DIV/0!</v>
      </c>
      <c r="AD78" s="40" t="e">
        <f aca="false">E78/H78</f>
        <v>#DIV/0!</v>
      </c>
      <c r="AE78" s="40" t="e">
        <f aca="false">E78/(H78-I78)</f>
        <v>#DIV/0!</v>
      </c>
    </row>
  </sheetData>
  <mergeCells count="15">
    <mergeCell ref="A1:A2"/>
    <mergeCell ref="B1:B2"/>
    <mergeCell ref="C1:E1"/>
    <mergeCell ref="F1:H1"/>
    <mergeCell ref="J1:J2"/>
    <mergeCell ref="K1:K2"/>
    <mergeCell ref="L1:L2"/>
    <mergeCell ref="M1:M2"/>
    <mergeCell ref="N1:N2"/>
    <mergeCell ref="O1:O2"/>
    <mergeCell ref="P1:P2"/>
    <mergeCell ref="Q1:Q2"/>
    <mergeCell ref="S1:W1"/>
    <mergeCell ref="Y1:AA1"/>
    <mergeCell ref="AB1:AE1"/>
  </mergeCells>
  <hyperlinks>
    <hyperlink ref="I1" r:id="rId2" display="GES Üretim"/>
    <hyperlink ref="M1" r:id="rId3" display="∑ Paket. Miktarı"/>
    <hyperlink ref="N1" r:id="rId4" display="∑ İşçilik 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&amp;LYÜN İPLİK (SAMTEKS)</oddHeader>
    <oddFooter>&amp;CPage &amp;P of</oddFooter>
  </headerFooter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25" min="3" style="0" width="11.56"/>
  </cols>
  <sheetData>
    <row r="1" customFormat="false" ht="18.75" hidden="false" customHeight="true" outlineLevel="0" collapsed="false">
      <c r="A1" s="1" t="s">
        <v>0</v>
      </c>
      <c r="B1" s="1" t="s">
        <v>1</v>
      </c>
      <c r="C1" s="80" t="s">
        <v>2</v>
      </c>
      <c r="D1" s="80"/>
      <c r="E1" s="80"/>
      <c r="F1" s="1" t="s">
        <v>3</v>
      </c>
      <c r="G1" s="1"/>
      <c r="H1" s="1"/>
      <c r="I1" s="3" t="s">
        <v>4</v>
      </c>
      <c r="J1" s="82" t="s">
        <v>45</v>
      </c>
      <c r="K1" s="82" t="s">
        <v>46</v>
      </c>
      <c r="L1" s="6" t="s">
        <v>47</v>
      </c>
      <c r="M1" s="7" t="s">
        <v>9</v>
      </c>
      <c r="N1" s="80" t="s">
        <v>10</v>
      </c>
      <c r="O1" s="11" t="s">
        <v>11</v>
      </c>
      <c r="P1" s="11" t="s">
        <v>16</v>
      </c>
      <c r="Q1" s="13" t="s">
        <v>103</v>
      </c>
      <c r="R1" s="13"/>
      <c r="S1" s="14" t="s">
        <v>49</v>
      </c>
      <c r="T1" s="14"/>
      <c r="U1" s="14"/>
      <c r="V1" s="15" t="s">
        <v>21</v>
      </c>
      <c r="W1" s="15"/>
      <c r="X1" s="15"/>
      <c r="Y1" s="15"/>
    </row>
    <row r="2" customFormat="false" ht="18.75" hidden="false" customHeight="true" outlineLevel="0" collapsed="false">
      <c r="A2" s="1"/>
      <c r="B2" s="1"/>
      <c r="C2" s="17" t="s">
        <v>30</v>
      </c>
      <c r="D2" s="17" t="s">
        <v>104</v>
      </c>
      <c r="E2" s="2" t="s">
        <v>105</v>
      </c>
      <c r="F2" s="18" t="s">
        <v>25</v>
      </c>
      <c r="G2" s="18" t="s">
        <v>26</v>
      </c>
      <c r="H2" s="19" t="s">
        <v>28</v>
      </c>
      <c r="I2" s="19" t="s">
        <v>28</v>
      </c>
      <c r="J2" s="82"/>
      <c r="K2" s="82"/>
      <c r="L2" s="82"/>
      <c r="M2" s="7"/>
      <c r="N2" s="80"/>
      <c r="O2" s="11"/>
      <c r="P2" s="11"/>
      <c r="Q2" s="12" t="s">
        <v>29</v>
      </c>
      <c r="R2" s="86" t="s">
        <v>53</v>
      </c>
      <c r="S2" s="22" t="s">
        <v>25</v>
      </c>
      <c r="T2" s="22" t="s">
        <v>36</v>
      </c>
      <c r="U2" s="87" t="s">
        <v>28</v>
      </c>
      <c r="V2" s="23" t="s">
        <v>37</v>
      </c>
      <c r="W2" s="23" t="s">
        <v>38</v>
      </c>
      <c r="X2" s="23" t="s">
        <v>39</v>
      </c>
      <c r="Y2" s="23" t="s">
        <v>40</v>
      </c>
    </row>
    <row r="3" customFormat="false" ht="18.75" hidden="false" customHeight="true" outlineLevel="0" collapsed="false">
      <c r="A3" s="18" t="n">
        <v>2020</v>
      </c>
      <c r="B3" s="18" t="n">
        <v>9</v>
      </c>
      <c r="C3" s="24"/>
      <c r="D3" s="24" t="n">
        <v>575</v>
      </c>
      <c r="E3" s="25"/>
      <c r="F3" s="26"/>
      <c r="G3" s="26"/>
      <c r="H3" s="27"/>
      <c r="I3" s="27"/>
      <c r="J3" s="89"/>
      <c r="K3" s="89"/>
      <c r="L3" s="28"/>
      <c r="M3" s="179"/>
      <c r="N3" s="24"/>
      <c r="O3" s="184"/>
      <c r="P3" s="34"/>
      <c r="Q3" s="36"/>
      <c r="R3" s="37"/>
      <c r="S3" s="38"/>
      <c r="T3" s="38"/>
      <c r="U3" s="39"/>
      <c r="V3" s="40"/>
      <c r="W3" s="40"/>
      <c r="X3" s="40"/>
      <c r="Y3" s="40"/>
    </row>
    <row r="4" customFormat="false" ht="18.75" hidden="false" customHeight="true" outlineLevel="0" collapsed="false">
      <c r="A4" s="18" t="n">
        <v>2020</v>
      </c>
      <c r="B4" s="18" t="n">
        <v>10</v>
      </c>
      <c r="C4" s="24"/>
      <c r="D4" s="24" t="n">
        <v>577.32</v>
      </c>
      <c r="E4" s="25"/>
      <c r="F4" s="26"/>
      <c r="G4" s="26"/>
      <c r="H4" s="27"/>
      <c r="I4" s="27"/>
      <c r="J4" s="89"/>
      <c r="K4" s="89"/>
      <c r="L4" s="28"/>
      <c r="M4" s="179"/>
      <c r="N4" s="24"/>
      <c r="O4" s="184"/>
      <c r="P4" s="34"/>
      <c r="Q4" s="36"/>
      <c r="R4" s="37"/>
      <c r="S4" s="38"/>
      <c r="T4" s="38"/>
      <c r="U4" s="39"/>
      <c r="V4" s="40"/>
      <c r="W4" s="40"/>
      <c r="X4" s="40"/>
      <c r="Y4" s="40"/>
    </row>
    <row r="5" customFormat="false" ht="18.75" hidden="false" customHeight="true" outlineLevel="0" collapsed="false">
      <c r="A5" s="18" t="n">
        <v>2020</v>
      </c>
      <c r="B5" s="18" t="n">
        <v>11</v>
      </c>
      <c r="C5" s="24"/>
      <c r="D5" s="24" t="n">
        <v>641.47</v>
      </c>
      <c r="E5" s="25"/>
      <c r="F5" s="26"/>
      <c r="G5" s="26" t="n">
        <v>34</v>
      </c>
      <c r="H5" s="27"/>
      <c r="I5" s="27"/>
      <c r="J5" s="89"/>
      <c r="K5" s="89"/>
      <c r="L5" s="90"/>
      <c r="M5" s="91"/>
      <c r="N5" s="24"/>
      <c r="O5" s="184"/>
      <c r="P5" s="34"/>
      <c r="Q5" s="36"/>
      <c r="R5" s="37"/>
      <c r="S5" s="38"/>
      <c r="T5" s="38"/>
      <c r="U5" s="39"/>
      <c r="V5" s="40"/>
      <c r="W5" s="40" t="n">
        <f aca="false">D5/G5</f>
        <v>18.8667647058824</v>
      </c>
      <c r="X5" s="40"/>
      <c r="Y5" s="40"/>
    </row>
    <row r="6" customFormat="false" ht="18.75" hidden="false" customHeight="true" outlineLevel="0" collapsed="false">
      <c r="A6" s="18" t="n">
        <v>2020</v>
      </c>
      <c r="B6" s="18" t="n">
        <v>12</v>
      </c>
      <c r="C6" s="24"/>
      <c r="D6" s="24" t="n">
        <v>674.39</v>
      </c>
      <c r="E6" s="25"/>
      <c r="F6" s="26"/>
      <c r="G6" s="26" t="n">
        <v>48</v>
      </c>
      <c r="H6" s="27"/>
      <c r="I6" s="27"/>
      <c r="J6" s="89"/>
      <c r="K6" s="89"/>
      <c r="L6" s="90"/>
      <c r="M6" s="91"/>
      <c r="N6" s="24"/>
      <c r="O6" s="184"/>
      <c r="P6" s="34"/>
      <c r="Q6" s="36"/>
      <c r="R6" s="37"/>
      <c r="S6" s="38"/>
      <c r="T6" s="38"/>
      <c r="U6" s="39"/>
      <c r="V6" s="40"/>
      <c r="W6" s="40" t="n">
        <f aca="false">D6/G6</f>
        <v>14.0497916666667</v>
      </c>
      <c r="X6" s="40"/>
      <c r="Y6" s="40"/>
    </row>
    <row r="7" customFormat="false" ht="18.75" hidden="false" customHeight="true" outlineLevel="0" collapsed="false">
      <c r="A7" s="18" t="n">
        <v>2021</v>
      </c>
      <c r="B7" s="18" t="n">
        <v>1</v>
      </c>
      <c r="C7" s="24"/>
      <c r="D7" s="24" t="n">
        <v>1206.47</v>
      </c>
      <c r="E7" s="25"/>
      <c r="F7" s="26"/>
      <c r="G7" s="26" t="n">
        <v>37</v>
      </c>
      <c r="H7" s="27"/>
      <c r="I7" s="27"/>
      <c r="J7" s="89"/>
      <c r="K7" s="89"/>
      <c r="L7" s="90"/>
      <c r="M7" s="91"/>
      <c r="N7" s="24"/>
      <c r="O7" s="184"/>
      <c r="P7" s="34"/>
      <c r="Q7" s="36"/>
      <c r="R7" s="37"/>
      <c r="S7" s="38"/>
      <c r="T7" s="38"/>
      <c r="U7" s="39"/>
      <c r="V7" s="40"/>
      <c r="W7" s="40" t="n">
        <f aca="false">D7/G7</f>
        <v>32.6072972972973</v>
      </c>
      <c r="X7" s="40"/>
      <c r="Y7" s="40"/>
    </row>
    <row r="8" customFormat="false" ht="18.75" hidden="false" customHeight="true" outlineLevel="0" collapsed="false">
      <c r="A8" s="18" t="n">
        <v>2021</v>
      </c>
      <c r="B8" s="18" t="n">
        <v>2</v>
      </c>
      <c r="C8" s="24"/>
      <c r="D8" s="24" t="n">
        <f aca="false">1138.72+50.59</f>
        <v>1189.31</v>
      </c>
      <c r="E8" s="25"/>
      <c r="F8" s="26"/>
      <c r="G8" s="26" t="n">
        <f aca="false">8+4</f>
        <v>12</v>
      </c>
      <c r="H8" s="27"/>
      <c r="I8" s="27"/>
      <c r="J8" s="89"/>
      <c r="K8" s="89"/>
      <c r="L8" s="90"/>
      <c r="M8" s="91"/>
      <c r="N8" s="24"/>
      <c r="O8" s="184"/>
      <c r="P8" s="34"/>
      <c r="Q8" s="36"/>
      <c r="R8" s="37"/>
      <c r="S8" s="38"/>
      <c r="T8" s="38"/>
      <c r="U8" s="39"/>
      <c r="V8" s="40"/>
      <c r="W8" s="40" t="n">
        <f aca="false">D8/G8</f>
        <v>99.1091666666667</v>
      </c>
      <c r="X8" s="40"/>
      <c r="Y8" s="40"/>
    </row>
    <row r="9" customFormat="false" ht="18.75" hidden="false" customHeight="true" outlineLevel="0" collapsed="false">
      <c r="A9" s="18" t="n">
        <v>2021</v>
      </c>
      <c r="B9" s="18" t="n">
        <v>3</v>
      </c>
      <c r="C9" s="24"/>
      <c r="D9" s="24" t="n">
        <f aca="false">1134.36+77.28</f>
        <v>1211.64</v>
      </c>
      <c r="E9" s="25"/>
      <c r="F9" s="26"/>
      <c r="G9" s="26" t="n">
        <f aca="false">6+6</f>
        <v>12</v>
      </c>
      <c r="H9" s="27"/>
      <c r="I9" s="27"/>
      <c r="J9" s="89"/>
      <c r="K9" s="89"/>
      <c r="L9" s="90"/>
      <c r="M9" s="91"/>
      <c r="N9" s="24"/>
      <c r="O9" s="184"/>
      <c r="P9" s="34"/>
      <c r="Q9" s="36"/>
      <c r="R9" s="37"/>
      <c r="S9" s="38"/>
      <c r="T9" s="38"/>
      <c r="U9" s="39"/>
      <c r="V9" s="40"/>
      <c r="W9" s="40" t="n">
        <f aca="false">D9/G9</f>
        <v>100.97</v>
      </c>
      <c r="X9" s="40"/>
      <c r="Y9" s="40"/>
    </row>
    <row r="10" customFormat="false" ht="18.75" hidden="false" customHeight="true" outlineLevel="0" collapsed="false">
      <c r="A10" s="18" t="n">
        <v>2021</v>
      </c>
      <c r="B10" s="18" t="n">
        <v>4</v>
      </c>
      <c r="C10" s="24"/>
      <c r="D10" s="24" t="n">
        <f aca="false">1145.1+142.4</f>
        <v>1287.5</v>
      </c>
      <c r="E10" s="25"/>
      <c r="F10" s="26"/>
      <c r="G10" s="26" t="n">
        <f aca="false">11+11</f>
        <v>22</v>
      </c>
      <c r="H10" s="27"/>
      <c r="I10" s="27"/>
      <c r="J10" s="89"/>
      <c r="K10" s="89"/>
      <c r="L10" s="90"/>
      <c r="M10" s="91"/>
      <c r="N10" s="24"/>
      <c r="O10" s="184"/>
      <c r="P10" s="34"/>
      <c r="Q10" s="36"/>
      <c r="R10" s="37"/>
      <c r="S10" s="38"/>
      <c r="T10" s="38"/>
      <c r="U10" s="39"/>
      <c r="V10" s="40"/>
      <c r="W10" s="40" t="n">
        <f aca="false">D10/G10</f>
        <v>58.5227272727273</v>
      </c>
      <c r="X10" s="40"/>
      <c r="Y10" s="40"/>
    </row>
    <row r="11" customFormat="false" ht="18.75" hidden="false" customHeight="true" outlineLevel="0" collapsed="false">
      <c r="A11" s="18" t="n">
        <v>2021</v>
      </c>
      <c r="B11" s="18" t="n">
        <v>5</v>
      </c>
      <c r="C11" s="24"/>
      <c r="D11" s="24" t="n">
        <f aca="false">1150.18+275.63</f>
        <v>1425.81</v>
      </c>
      <c r="E11" s="25"/>
      <c r="F11" s="26"/>
      <c r="G11" s="26" t="n">
        <f aca="false">13+21</f>
        <v>34</v>
      </c>
      <c r="H11" s="27"/>
      <c r="I11" s="27"/>
      <c r="J11" s="89"/>
      <c r="K11" s="89"/>
      <c r="L11" s="90"/>
      <c r="M11" s="91"/>
      <c r="N11" s="24"/>
      <c r="O11" s="184"/>
      <c r="P11" s="34"/>
      <c r="Q11" s="36"/>
      <c r="R11" s="37"/>
      <c r="S11" s="38"/>
      <c r="T11" s="38"/>
      <c r="U11" s="39"/>
      <c r="V11" s="40"/>
      <c r="W11" s="40" t="n">
        <f aca="false">D11/G11</f>
        <v>41.9355882352941</v>
      </c>
      <c r="X11" s="40"/>
      <c r="Y11" s="40"/>
    </row>
    <row r="12" customFormat="false" ht="18.75" hidden="false" customHeight="true" outlineLevel="0" collapsed="false">
      <c r="A12" s="18" t="n">
        <v>2021</v>
      </c>
      <c r="B12" s="18" t="n">
        <v>6</v>
      </c>
      <c r="C12" s="24"/>
      <c r="D12" s="24" t="n">
        <f aca="false">1123.87+199.57</f>
        <v>1323.44</v>
      </c>
      <c r="E12" s="25"/>
      <c r="F12" s="26"/>
      <c r="G12" s="26" t="n">
        <f aca="false">1+15</f>
        <v>16</v>
      </c>
      <c r="H12" s="27"/>
      <c r="I12" s="27"/>
      <c r="J12" s="89"/>
      <c r="K12" s="89"/>
      <c r="L12" s="90"/>
      <c r="M12" s="91"/>
      <c r="N12" s="24"/>
      <c r="O12" s="184"/>
      <c r="P12" s="34"/>
      <c r="Q12" s="36"/>
      <c r="R12" s="37"/>
      <c r="S12" s="38"/>
      <c r="T12" s="38"/>
      <c r="U12" s="39"/>
      <c r="V12" s="40"/>
      <c r="W12" s="40" t="n">
        <f aca="false">D12/G12</f>
        <v>82.715</v>
      </c>
      <c r="X12" s="40"/>
      <c r="Y12" s="40"/>
    </row>
    <row r="13" customFormat="false" ht="18.75" hidden="false" customHeight="true" outlineLevel="0" collapsed="false">
      <c r="A13" s="18" t="n">
        <v>2021</v>
      </c>
      <c r="B13" s="18" t="n">
        <v>7</v>
      </c>
      <c r="C13" s="24"/>
      <c r="D13" s="24" t="n">
        <f aca="false">1121.23+174.58</f>
        <v>1295.81</v>
      </c>
      <c r="E13" s="25"/>
      <c r="F13" s="26"/>
      <c r="G13" s="26" t="n">
        <f aca="false">0+13</f>
        <v>13</v>
      </c>
      <c r="H13" s="27"/>
      <c r="I13" s="27"/>
      <c r="J13" s="89"/>
      <c r="K13" s="89"/>
      <c r="L13" s="90"/>
      <c r="M13" s="91"/>
      <c r="N13" s="24"/>
      <c r="O13" s="184"/>
      <c r="P13" s="34"/>
      <c r="Q13" s="36"/>
      <c r="R13" s="37"/>
      <c r="S13" s="38"/>
      <c r="T13" s="38"/>
      <c r="U13" s="39"/>
      <c r="V13" s="40"/>
      <c r="W13" s="40" t="n">
        <f aca="false">D13/G13</f>
        <v>99.6776923076923</v>
      </c>
      <c r="X13" s="40"/>
      <c r="Y13" s="40"/>
    </row>
    <row r="14" customFormat="false" ht="18.75" hidden="false" customHeight="true" outlineLevel="0" collapsed="false">
      <c r="A14" s="18" t="n">
        <v>2021</v>
      </c>
      <c r="B14" s="18" t="n">
        <v>8</v>
      </c>
      <c r="C14" s="24"/>
      <c r="D14" s="24" t="n">
        <f aca="false">1188.74+13.72</f>
        <v>1202.46</v>
      </c>
      <c r="E14" s="25" t="n">
        <v>1700.26</v>
      </c>
      <c r="F14" s="26"/>
      <c r="G14" s="26" t="n">
        <f aca="false">29+0</f>
        <v>29</v>
      </c>
      <c r="H14" s="27" t="n">
        <v>882</v>
      </c>
      <c r="I14" s="27"/>
      <c r="J14" s="89"/>
      <c r="K14" s="89"/>
      <c r="L14" s="90"/>
      <c r="M14" s="91"/>
      <c r="N14" s="24"/>
      <c r="O14" s="184"/>
      <c r="P14" s="34"/>
      <c r="Q14" s="36"/>
      <c r="R14" s="37"/>
      <c r="S14" s="38"/>
      <c r="T14" s="38"/>
      <c r="U14" s="39"/>
      <c r="V14" s="40"/>
      <c r="W14" s="40" t="n">
        <f aca="false">D14/G14</f>
        <v>41.4641379310345</v>
      </c>
      <c r="X14" s="40" t="n">
        <f aca="false">E14/H14</f>
        <v>1.92773242630386</v>
      </c>
      <c r="Y14" s="40"/>
    </row>
    <row r="15" customFormat="false" ht="18.75" hidden="false" customHeight="true" outlineLevel="0" collapsed="false">
      <c r="A15" s="18" t="n">
        <v>2021</v>
      </c>
      <c r="B15" s="18" t="n">
        <v>9</v>
      </c>
      <c r="C15" s="24"/>
      <c r="D15" s="24" t="n">
        <f aca="false">1272.02+13.98</f>
        <v>1286</v>
      </c>
      <c r="E15" s="25" t="n">
        <v>22790.2</v>
      </c>
      <c r="F15" s="26"/>
      <c r="G15" s="26" t="n">
        <f aca="false">64+1</f>
        <v>65</v>
      </c>
      <c r="H15" s="27" t="n">
        <v>24462.9</v>
      </c>
      <c r="I15" s="27"/>
      <c r="J15" s="89"/>
      <c r="K15" s="89"/>
      <c r="L15" s="90"/>
      <c r="M15" s="91"/>
      <c r="N15" s="24"/>
      <c r="O15" s="184"/>
      <c r="P15" s="34" t="n">
        <f aca="false">'$'!C118</f>
        <v>8.554109</v>
      </c>
      <c r="Q15" s="36"/>
      <c r="R15" s="37"/>
      <c r="S15" s="38"/>
      <c r="T15" s="38"/>
      <c r="U15" s="39"/>
      <c r="V15" s="40"/>
      <c r="W15" s="40" t="n">
        <f aca="false">D15/G15</f>
        <v>19.7846153846154</v>
      </c>
      <c r="X15" s="40" t="n">
        <f aca="false">E15/H15</f>
        <v>0.931622988280212</v>
      </c>
      <c r="Y15" s="40"/>
    </row>
    <row r="16" customFormat="false" ht="18.75" hidden="false" customHeight="true" outlineLevel="0" collapsed="false">
      <c r="A16" s="18" t="n">
        <v>2021</v>
      </c>
      <c r="B16" s="18" t="n">
        <v>10</v>
      </c>
      <c r="C16" s="24"/>
      <c r="D16" s="24" t="n">
        <f aca="false">3567.4+14.15</f>
        <v>3581.55</v>
      </c>
      <c r="E16" s="25" t="n">
        <v>31704.95</v>
      </c>
      <c r="F16" s="26"/>
      <c r="G16" s="26" t="n">
        <f aca="false">1028+1</f>
        <v>1029</v>
      </c>
      <c r="H16" s="27" t="n">
        <v>31449.6</v>
      </c>
      <c r="I16" s="27"/>
      <c r="J16" s="89" t="n">
        <v>14224</v>
      </c>
      <c r="K16" s="89" t="n">
        <v>6469</v>
      </c>
      <c r="L16" s="90" t="n">
        <v>20693</v>
      </c>
      <c r="M16" s="91"/>
      <c r="N16" s="24"/>
      <c r="O16" s="184"/>
      <c r="P16" s="34" t="n">
        <f aca="false">'$'!C119</f>
        <v>9.219938</v>
      </c>
      <c r="Q16" s="36" t="e">
        <f aca="false">100*SUM(C16:E16)/P16/M16</f>
        <v>#DIV/0!</v>
      </c>
      <c r="R16" s="37"/>
      <c r="S16" s="38"/>
      <c r="T16" s="38" t="e">
        <f aca="false">G16/M16</f>
        <v>#DIV/0!</v>
      </c>
      <c r="U16" s="39" t="e">
        <f aca="false">H16/M16</f>
        <v>#DIV/0!</v>
      </c>
      <c r="V16" s="40"/>
      <c r="W16" s="40" t="n">
        <f aca="false">D16/G16</f>
        <v>3.48061224489796</v>
      </c>
      <c r="X16" s="40" t="n">
        <f aca="false">E16/H16</f>
        <v>1.00811934015059</v>
      </c>
      <c r="Y16" s="40"/>
    </row>
    <row r="17" customFormat="false" ht="18.75" hidden="false" customHeight="true" outlineLevel="0" collapsed="false">
      <c r="A17" s="18" t="n">
        <v>2021</v>
      </c>
      <c r="B17" s="18" t="n">
        <v>11</v>
      </c>
      <c r="C17" s="24"/>
      <c r="D17" s="24" t="n">
        <f aca="false">2674.6+16.82</f>
        <v>2691.42</v>
      </c>
      <c r="E17" s="25" t="n">
        <v>72316.95</v>
      </c>
      <c r="F17" s="26"/>
      <c r="G17" s="26" t="n">
        <f aca="false">639+1</f>
        <v>640</v>
      </c>
      <c r="H17" s="27" t="n">
        <v>65208.15</v>
      </c>
      <c r="I17" s="27"/>
      <c r="J17" s="89" t="n">
        <v>25309</v>
      </c>
      <c r="K17" s="89" t="n">
        <v>41047</v>
      </c>
      <c r="L17" s="90" t="n">
        <v>66357</v>
      </c>
      <c r="M17" s="91" t="n">
        <v>11714.8</v>
      </c>
      <c r="N17" s="24"/>
      <c r="O17" s="184"/>
      <c r="P17" s="34" t="n">
        <f aca="false">'$'!C120</f>
        <v>10.680956</v>
      </c>
      <c r="Q17" s="36" t="n">
        <f aca="false">100*SUM(C17:E17)/P17/M17</f>
        <v>59.946623081948</v>
      </c>
      <c r="R17" s="37" t="n">
        <f aca="false">100*N17/P17/M17</f>
        <v>0</v>
      </c>
      <c r="S17" s="38"/>
      <c r="T17" s="38" t="n">
        <f aca="false">G17/M17</f>
        <v>0.0546317478744836</v>
      </c>
      <c r="U17" s="39" t="n">
        <f aca="false">H17/M17</f>
        <v>5.56630501587735</v>
      </c>
      <c r="V17" s="40"/>
      <c r="W17" s="40" t="n">
        <f aca="false">D17/G17</f>
        <v>4.20534375</v>
      </c>
      <c r="X17" s="40" t="n">
        <f aca="false">E17/H17</f>
        <v>1.10901704771566</v>
      </c>
      <c r="Y17" s="40"/>
    </row>
    <row r="18" customFormat="false" ht="18.75" hidden="false" customHeight="true" outlineLevel="0" collapsed="false">
      <c r="A18" s="18" t="n">
        <v>2021</v>
      </c>
      <c r="B18" s="18" t="n">
        <v>12</v>
      </c>
      <c r="C18" s="24"/>
      <c r="D18" s="24" t="n">
        <f aca="false">2820.99+76.72</f>
        <v>2897.71</v>
      </c>
      <c r="E18" s="25" t="n">
        <v>127692.58</v>
      </c>
      <c r="F18" s="26"/>
      <c r="G18" s="26" t="n">
        <f aca="false">743+4</f>
        <v>747</v>
      </c>
      <c r="H18" s="27" t="n">
        <v>95586.75</v>
      </c>
      <c r="I18" s="27"/>
      <c r="J18" s="89"/>
      <c r="K18" s="89"/>
      <c r="L18" s="90"/>
      <c r="M18" s="91" t="n">
        <v>72100.3</v>
      </c>
      <c r="N18" s="24" t="n">
        <v>604967</v>
      </c>
      <c r="O18" s="184" t="n">
        <v>94</v>
      </c>
      <c r="P18" s="34" t="n">
        <f aca="false">'$'!C121</f>
        <v>13.466856</v>
      </c>
      <c r="Q18" s="36" t="n">
        <f aca="false">100*SUM(C18:E18)/P18/M18</f>
        <v>13.4495451836306</v>
      </c>
      <c r="R18" s="37" t="n">
        <f aca="false">100*N18/P18/M18</f>
        <v>62.3057885935122</v>
      </c>
      <c r="S18" s="38"/>
      <c r="T18" s="38" t="n">
        <f aca="false">G18/M18</f>
        <v>0.0103605671543669</v>
      </c>
      <c r="U18" s="39" t="n">
        <f aca="false">H18/M18</f>
        <v>1.32574691090051</v>
      </c>
      <c r="V18" s="40"/>
      <c r="W18" s="40" t="n">
        <f aca="false">D18/G18</f>
        <v>3.87912985274431</v>
      </c>
      <c r="X18" s="40" t="n">
        <f aca="false">E18/H18</f>
        <v>1.33588159446785</v>
      </c>
      <c r="Y18" s="40"/>
    </row>
    <row r="19" customFormat="false" ht="18.75" hidden="false" customHeight="true" outlineLevel="0" collapsed="false">
      <c r="A19" s="18" t="n">
        <v>2022</v>
      </c>
      <c r="B19" s="18" t="n">
        <v>1</v>
      </c>
      <c r="C19" s="24"/>
      <c r="D19" s="24" t="n">
        <f aca="false">977.97</f>
        <v>977.97</v>
      </c>
      <c r="E19" s="25" t="n">
        <v>207190.15</v>
      </c>
      <c r="F19" s="26"/>
      <c r="G19" s="26" t="n">
        <f aca="false">45</f>
        <v>45</v>
      </c>
      <c r="H19" s="27" t="n">
        <v>123716.25</v>
      </c>
      <c r="I19" s="27"/>
      <c r="J19" s="89"/>
      <c r="K19" s="89"/>
      <c r="L19" s="90"/>
      <c r="M19" s="91" t="n">
        <v>115163.1</v>
      </c>
      <c r="N19" s="24" t="n">
        <v>849666</v>
      </c>
      <c r="O19" s="184" t="n">
        <v>107</v>
      </c>
      <c r="P19" s="34" t="n">
        <f aca="false">'$'!C122</f>
        <v>13.535066</v>
      </c>
      <c r="Q19" s="36" t="n">
        <f aca="false">100*SUM(C19:E19)/P19/M19</f>
        <v>13.3548955393702</v>
      </c>
      <c r="R19" s="37" t="n">
        <f aca="false">100*N19/P19/M19</f>
        <v>54.5097908044446</v>
      </c>
      <c r="S19" s="38"/>
      <c r="T19" s="38"/>
      <c r="U19" s="39" t="n">
        <f aca="false">H19/M19</f>
        <v>1.074269883322</v>
      </c>
      <c r="V19" s="40"/>
      <c r="W19" s="40" t="n">
        <f aca="false">D19/G19</f>
        <v>21.7326666666667</v>
      </c>
      <c r="X19" s="40" t="n">
        <f aca="false">E19/H19</f>
        <v>1.6747205803603</v>
      </c>
      <c r="Y19" s="40"/>
    </row>
    <row r="20" customFormat="false" ht="18.75" hidden="false" customHeight="true" outlineLevel="0" collapsed="false">
      <c r="A20" s="18" t="n">
        <v>2022</v>
      </c>
      <c r="B20" s="18" t="n">
        <v>2</v>
      </c>
      <c r="C20" s="24"/>
      <c r="D20" s="24" t="n">
        <f aca="false">372.83</f>
        <v>372.83</v>
      </c>
      <c r="E20" s="25" t="n">
        <v>187524.36</v>
      </c>
      <c r="F20" s="26"/>
      <c r="G20" s="26" t="n">
        <f aca="false">16</f>
        <v>16</v>
      </c>
      <c r="H20" s="27" t="n">
        <v>133367</v>
      </c>
      <c r="I20" s="27" t="n">
        <v>32797</v>
      </c>
      <c r="J20" s="89"/>
      <c r="K20" s="89"/>
      <c r="L20" s="90"/>
      <c r="M20" s="91" t="n">
        <v>115381.8</v>
      </c>
      <c r="N20" s="24" t="n">
        <v>769964</v>
      </c>
      <c r="O20" s="184" t="n">
        <v>116</v>
      </c>
      <c r="P20" s="34" t="n">
        <f aca="false">'$'!C123</f>
        <v>13.629202</v>
      </c>
      <c r="Q20" s="36" t="n">
        <f aca="false">100*SUM(C20:E20)/P20/M20</f>
        <v>11.9484768682371</v>
      </c>
      <c r="R20" s="37" t="n">
        <f aca="false">100*N20/P20/M20</f>
        <v>48.9623982315826</v>
      </c>
      <c r="S20" s="38"/>
      <c r="T20" s="38"/>
      <c r="U20" s="39" t="n">
        <f aca="false">H20/M20</f>
        <v>1.15587553669643</v>
      </c>
      <c r="V20" s="40"/>
      <c r="W20" s="40" t="n">
        <f aca="false">D20/G20</f>
        <v>23.301875</v>
      </c>
      <c r="X20" s="40" t="n">
        <f aca="false">E20/H20</f>
        <v>1.40607766538949</v>
      </c>
      <c r="Y20" s="40" t="n">
        <f aca="false">E20/(H20-I20)</f>
        <v>1.86461529283086</v>
      </c>
    </row>
    <row r="21" customFormat="false" ht="18.75" hidden="false" customHeight="true" outlineLevel="0" collapsed="false">
      <c r="A21" s="18" t="n">
        <v>2022</v>
      </c>
      <c r="B21" s="18" t="n">
        <v>3</v>
      </c>
      <c r="C21" s="24"/>
      <c r="D21" s="24" t="n">
        <f aca="false">659.97</f>
        <v>659.97</v>
      </c>
      <c r="E21" s="25" t="n">
        <v>25769.21</v>
      </c>
      <c r="F21" s="26"/>
      <c r="G21" s="26" t="n">
        <f aca="false">27</f>
        <v>27</v>
      </c>
      <c r="H21" s="27" t="n">
        <v>84131</v>
      </c>
      <c r="I21" s="27" t="n">
        <v>149178</v>
      </c>
      <c r="J21" s="89"/>
      <c r="K21" s="89"/>
      <c r="L21" s="90"/>
      <c r="M21" s="91" t="n">
        <v>79296.9</v>
      </c>
      <c r="N21" s="24" t="n">
        <v>903395</v>
      </c>
      <c r="O21" s="184" t="n">
        <v>106</v>
      </c>
      <c r="P21" s="34" t="n">
        <f aca="false">'$'!C124</f>
        <v>14.600894</v>
      </c>
      <c r="Q21" s="36" t="n">
        <f aca="false">100*SUM(C21:E21)/P21/M21</f>
        <v>2.28269575501973</v>
      </c>
      <c r="R21" s="37" t="n">
        <f aca="false">100*N21/P21/M21</f>
        <v>78.0264817752971</v>
      </c>
      <c r="S21" s="38"/>
      <c r="T21" s="38"/>
      <c r="U21" s="39" t="n">
        <f aca="false">H21/M21</f>
        <v>1.06096203004153</v>
      </c>
      <c r="V21" s="40"/>
      <c r="W21" s="40" t="n">
        <f aca="false">D21/G21</f>
        <v>24.4433333333333</v>
      </c>
      <c r="X21" s="40" t="n">
        <f aca="false">E21/H21</f>
        <v>0.306298629518251</v>
      </c>
      <c r="Y21" s="40" t="n">
        <f aca="false">E21/(H21-I21)</f>
        <v>-0.39616292834412</v>
      </c>
    </row>
    <row r="22" customFormat="false" ht="18.75" hidden="false" customHeight="true" outlineLevel="0" collapsed="false">
      <c r="A22" s="18" t="n">
        <v>2022</v>
      </c>
      <c r="B22" s="18" t="n">
        <v>4</v>
      </c>
      <c r="C22" s="24"/>
      <c r="D22" s="24" t="n">
        <f aca="false">1083.13</f>
        <v>1083.13</v>
      </c>
      <c r="E22" s="25" t="n">
        <v>28507.68</v>
      </c>
      <c r="F22" s="26"/>
      <c r="G22" s="26" t="n">
        <f aca="false">37</f>
        <v>37</v>
      </c>
      <c r="H22" s="27" t="n">
        <v>101343</v>
      </c>
      <c r="I22" s="27" t="n">
        <v>171471</v>
      </c>
      <c r="J22" s="89"/>
      <c r="K22" s="89"/>
      <c r="L22" s="90"/>
      <c r="M22" s="91" t="n">
        <v>104838.3</v>
      </c>
      <c r="N22" s="24" t="n">
        <v>611476</v>
      </c>
      <c r="O22" s="184" t="n">
        <v>105</v>
      </c>
      <c r="P22" s="34" t="n">
        <f aca="false">'$'!C125</f>
        <v>14.709928</v>
      </c>
      <c r="Q22" s="36" t="n">
        <f aca="false">100*SUM(C22:E22)/P22/M22</f>
        <v>1.91878509555264</v>
      </c>
      <c r="R22" s="37" t="n">
        <f aca="false">100*N22/P22/M22</f>
        <v>39.6505210600233</v>
      </c>
      <c r="S22" s="38"/>
      <c r="T22" s="38"/>
      <c r="U22" s="39" t="n">
        <f aca="false">H22/M22</f>
        <v>0.966660085102486</v>
      </c>
      <c r="V22" s="40"/>
      <c r="W22" s="40" t="n">
        <f aca="false">D22/G22</f>
        <v>29.2737837837838</v>
      </c>
      <c r="X22" s="40" t="n">
        <f aca="false">E22/H22</f>
        <v>0.281298955033895</v>
      </c>
      <c r="Y22" s="40" t="n">
        <f aca="false">E22/(H22-I22)</f>
        <v>-0.406509240246407</v>
      </c>
    </row>
    <row r="23" customFormat="false" ht="18.75" hidden="false" customHeight="true" outlineLevel="0" collapsed="false">
      <c r="A23" s="18" t="n">
        <v>2022</v>
      </c>
      <c r="B23" s="18" t="n">
        <v>5</v>
      </c>
      <c r="C23" s="24"/>
      <c r="D23" s="24"/>
      <c r="E23" s="25" t="n">
        <v>50492.51</v>
      </c>
      <c r="F23" s="26"/>
      <c r="G23" s="26"/>
      <c r="H23" s="27" t="n">
        <v>68678</v>
      </c>
      <c r="I23" s="27" t="n">
        <v>208516</v>
      </c>
      <c r="J23" s="89"/>
      <c r="K23" s="89"/>
      <c r="L23" s="90"/>
      <c r="M23" s="91" t="n">
        <v>52669.972</v>
      </c>
      <c r="N23" s="24" t="n">
        <v>650648</v>
      </c>
      <c r="O23" s="184" t="n">
        <v>91</v>
      </c>
      <c r="P23" s="34" t="n">
        <f aca="false">'$'!C126</f>
        <v>15.570749</v>
      </c>
      <c r="Q23" s="36" t="n">
        <f aca="false">100*SUM(C23:E23)/P23/M23</f>
        <v>6.15679039838934</v>
      </c>
      <c r="R23" s="37" t="n">
        <f aca="false">100*N23/P23/M23</f>
        <v>79.3365859437613</v>
      </c>
      <c r="S23" s="38"/>
      <c r="T23" s="38"/>
      <c r="U23" s="39" t="n">
        <f aca="false">H23/M23</f>
        <v>1.30393082418954</v>
      </c>
      <c r="V23" s="40"/>
      <c r="W23" s="40"/>
      <c r="X23" s="40" t="n">
        <f aca="false">E23/H23</f>
        <v>0.735206470776668</v>
      </c>
      <c r="Y23" s="40" t="n">
        <f aca="false">E23/(H23-I23)</f>
        <v>-0.36107860524321</v>
      </c>
    </row>
    <row r="24" customFormat="false" ht="18.75" hidden="false" customHeight="true" outlineLevel="0" collapsed="false">
      <c r="A24" s="18" t="n">
        <v>2022</v>
      </c>
      <c r="B24" s="18" t="n">
        <v>6</v>
      </c>
      <c r="C24" s="24"/>
      <c r="D24" s="24"/>
      <c r="E24" s="25" t="n">
        <v>44488.91</v>
      </c>
      <c r="F24" s="26"/>
      <c r="G24" s="26"/>
      <c r="H24" s="27" t="n">
        <v>89592</v>
      </c>
      <c r="I24" s="27" t="n">
        <v>209875</v>
      </c>
      <c r="J24" s="89"/>
      <c r="K24" s="89"/>
      <c r="L24" s="90"/>
      <c r="M24" s="91" t="n">
        <v>38199.3</v>
      </c>
      <c r="N24" s="24" t="n">
        <v>634710</v>
      </c>
      <c r="O24" s="184" t="n">
        <v>85</v>
      </c>
      <c r="P24" s="34" t="n">
        <f aca="false">'$'!C127</f>
        <v>16.965875</v>
      </c>
      <c r="Q24" s="36" t="n">
        <f aca="false">100*SUM(C24:E24)/P24/M24</f>
        <v>6.86467685063153</v>
      </c>
      <c r="R24" s="37" t="n">
        <f aca="false">100*N24/P24/M24</f>
        <v>97.9362956715356</v>
      </c>
      <c r="S24" s="38"/>
      <c r="T24" s="38"/>
      <c r="U24" s="39" t="n">
        <f aca="false">H24/M24</f>
        <v>2.345383292364</v>
      </c>
      <c r="V24" s="40"/>
      <c r="W24" s="40"/>
      <c r="X24" s="40" t="n">
        <f aca="false">E24/H24</f>
        <v>0.49657235020984</v>
      </c>
      <c r="Y24" s="40" t="n">
        <f aca="false">E24/(H24-I24)</f>
        <v>-0.36986864311665</v>
      </c>
    </row>
    <row r="25" customFormat="false" ht="18.75" hidden="false" customHeight="true" outlineLevel="0" collapsed="false">
      <c r="A25" s="18" t="n">
        <v>2022</v>
      </c>
      <c r="B25" s="18" t="n">
        <v>7</v>
      </c>
      <c r="C25" s="24"/>
      <c r="D25" s="24"/>
      <c r="E25" s="25" t="n">
        <v>55185.37</v>
      </c>
      <c r="F25" s="26"/>
      <c r="G25" s="26"/>
      <c r="H25" s="27" t="n">
        <v>112656</v>
      </c>
      <c r="I25" s="27" t="n">
        <v>261434</v>
      </c>
      <c r="J25" s="89"/>
      <c r="K25" s="89"/>
      <c r="L25" s="90"/>
      <c r="M25" s="91" t="n">
        <v>78491.0730000002</v>
      </c>
      <c r="N25" s="24" t="n">
        <v>802135</v>
      </c>
      <c r="O25" s="184" t="n">
        <v>71</v>
      </c>
      <c r="P25" s="34" t="n">
        <f aca="false">'$'!C128</f>
        <v>17.410362</v>
      </c>
      <c r="Q25" s="36" t="n">
        <f aca="false">100*SUM(C25:E25)/P25/M25</f>
        <v>4.03827501021486</v>
      </c>
      <c r="R25" s="37" t="n">
        <f aca="false">100*N25/P25/M25</f>
        <v>58.6974722706163</v>
      </c>
      <c r="S25" s="38"/>
      <c r="T25" s="38"/>
      <c r="U25" s="39" t="n">
        <f aca="false">H25/M25</f>
        <v>1.43527149896396</v>
      </c>
      <c r="V25" s="40"/>
      <c r="W25" s="40"/>
      <c r="X25" s="40" t="n">
        <f aca="false">E25/H25</f>
        <v>0.489857353358898</v>
      </c>
      <c r="Y25" s="40" t="n">
        <f aca="false">E25/(H25-I25)</f>
        <v>-0.370924262995873</v>
      </c>
    </row>
    <row r="26" customFormat="false" ht="18.75" hidden="false" customHeight="true" outlineLevel="0" collapsed="false">
      <c r="A26" s="18" t="n">
        <v>2022</v>
      </c>
      <c r="B26" s="18" t="n">
        <v>8</v>
      </c>
      <c r="C26" s="24"/>
      <c r="D26" s="24"/>
      <c r="E26" s="25" t="n">
        <v>31259.93</v>
      </c>
      <c r="F26" s="26"/>
      <c r="G26" s="26"/>
      <c r="H26" s="27" t="n">
        <v>125704</v>
      </c>
      <c r="I26" s="27" t="n">
        <v>202123</v>
      </c>
      <c r="J26" s="89"/>
      <c r="K26" s="89"/>
      <c r="L26" s="90"/>
      <c r="M26" s="91" t="n">
        <v>79861.951</v>
      </c>
      <c r="N26" s="24" t="n">
        <v>784568</v>
      </c>
      <c r="O26" s="184" t="n">
        <v>71</v>
      </c>
      <c r="P26" s="34" t="n">
        <f aca="false">'$'!C129</f>
        <v>18.018529</v>
      </c>
      <c r="Q26" s="36" t="n">
        <f aca="false">100*SUM(C26:E26)/P26/M26</f>
        <v>2.17234476873491</v>
      </c>
      <c r="R26" s="37" t="n">
        <f aca="false">100*N26/P26/M26</f>
        <v>54.5219452032301</v>
      </c>
      <c r="S26" s="38"/>
      <c r="T26" s="38"/>
      <c r="U26" s="39" t="n">
        <f aca="false">H26/M26</f>
        <v>1.57401614192972</v>
      </c>
      <c r="V26" s="40"/>
      <c r="W26" s="40"/>
      <c r="X26" s="40" t="n">
        <f aca="false">E26/H26</f>
        <v>0.248678880544772</v>
      </c>
      <c r="Y26" s="40" t="n">
        <f aca="false">E26/(H26-I26)</f>
        <v>-0.409059657938471</v>
      </c>
    </row>
    <row r="27" customFormat="false" ht="18.75" hidden="false" customHeight="true" outlineLevel="0" collapsed="false">
      <c r="A27" s="18" t="n">
        <v>2022</v>
      </c>
      <c r="B27" s="18" t="n">
        <v>9</v>
      </c>
      <c r="C27" s="24"/>
      <c r="D27" s="24"/>
      <c r="E27" s="25" t="n">
        <v>19088.82</v>
      </c>
      <c r="F27" s="26"/>
      <c r="G27" s="26"/>
      <c r="H27" s="27" t="n">
        <v>126793</v>
      </c>
      <c r="I27" s="27" t="n">
        <v>164933</v>
      </c>
      <c r="J27" s="89"/>
      <c r="K27" s="89"/>
      <c r="L27" s="90"/>
      <c r="M27" s="91" t="n">
        <v>58598</v>
      </c>
      <c r="N27" s="24" t="n">
        <v>742484</v>
      </c>
      <c r="O27" s="184" t="n">
        <v>73</v>
      </c>
      <c r="P27" s="34" t="n">
        <f aca="false">'$'!C130</f>
        <v>18.301932</v>
      </c>
      <c r="Q27" s="36" t="n">
        <f aca="false">100*SUM(C27:E27)/P27/M27</f>
        <v>1.77991536424213</v>
      </c>
      <c r="R27" s="37" t="n">
        <f aca="false">100*N27/P27/M27</f>
        <v>69.2320782166711</v>
      </c>
      <c r="S27" s="38"/>
      <c r="T27" s="38"/>
      <c r="U27" s="39" t="n">
        <f aca="false">H27/M27</f>
        <v>2.16377692071402</v>
      </c>
      <c r="V27" s="40"/>
      <c r="W27" s="40"/>
      <c r="X27" s="40" t="n">
        <f aca="false">E27/H27</f>
        <v>0.150551055657647</v>
      </c>
      <c r="Y27" s="40" t="n">
        <f aca="false">E27/(H27-I27)</f>
        <v>-0.500493445201888</v>
      </c>
    </row>
    <row r="28" customFormat="false" ht="18.75" hidden="false" customHeight="true" outlineLevel="0" collapsed="false">
      <c r="A28" s="18" t="n">
        <v>2022</v>
      </c>
      <c r="B28" s="18" t="n">
        <v>10</v>
      </c>
      <c r="C28" s="24"/>
      <c r="D28" s="24"/>
      <c r="E28" s="25" t="n">
        <v>11499.78</v>
      </c>
      <c r="F28" s="26"/>
      <c r="G28" s="26"/>
      <c r="H28" s="27" t="n">
        <v>114513</v>
      </c>
      <c r="I28" s="27" t="n">
        <v>136100</v>
      </c>
      <c r="J28" s="89"/>
      <c r="K28" s="89"/>
      <c r="L28" s="90"/>
      <c r="M28" s="91" t="n">
        <v>89404.17</v>
      </c>
      <c r="N28" s="24" t="n">
        <v>865724</v>
      </c>
      <c r="O28" s="184" t="n">
        <v>77</v>
      </c>
      <c r="P28" s="34" t="n">
        <f aca="false">'$'!C131</f>
        <v>18.578678</v>
      </c>
      <c r="Q28" s="36" t="n">
        <f aca="false">100*SUM(C28:E28)/P28/M28</f>
        <v>0.692336054242271</v>
      </c>
      <c r="R28" s="37" t="n">
        <f aca="false">100*N28/P28/M28</f>
        <v>52.1202960598234</v>
      </c>
      <c r="S28" s="38"/>
      <c r="T28" s="38"/>
      <c r="U28" s="39" t="n">
        <f aca="false">H28/M28</f>
        <v>1.28084629609558</v>
      </c>
      <c r="V28" s="40"/>
      <c r="W28" s="40"/>
      <c r="X28" s="40" t="n">
        <f aca="false">E28/H28</f>
        <v>0.100423358046685</v>
      </c>
      <c r="Y28" s="40" t="n">
        <f aca="false">E28/(H28-I28)</f>
        <v>-0.532717839440404</v>
      </c>
    </row>
    <row r="29" customFormat="false" ht="18.75" hidden="false" customHeight="true" outlineLevel="0" collapsed="false">
      <c r="A29" s="18" t="n">
        <v>2022</v>
      </c>
      <c r="B29" s="18" t="n">
        <v>11</v>
      </c>
      <c r="C29" s="24"/>
      <c r="D29" s="24"/>
      <c r="E29" s="25" t="n">
        <v>4792.25</v>
      </c>
      <c r="F29" s="26"/>
      <c r="G29" s="26"/>
      <c r="H29" s="27" t="n">
        <v>89312</v>
      </c>
      <c r="I29" s="27" t="n">
        <v>93460</v>
      </c>
      <c r="J29" s="89"/>
      <c r="K29" s="89"/>
      <c r="L29" s="90"/>
      <c r="M29" s="91" t="n">
        <v>65983</v>
      </c>
      <c r="N29" s="24" t="n">
        <v>895149</v>
      </c>
      <c r="O29" s="184" t="n">
        <v>83</v>
      </c>
      <c r="P29" s="34" t="n">
        <f aca="false">'$'!C132</f>
        <v>18.598286</v>
      </c>
      <c r="Q29" s="36" t="n">
        <f aca="false">100*SUM(C29:E29)/P29/M29</f>
        <v>0.390512092566705</v>
      </c>
      <c r="R29" s="37" t="n">
        <f aca="false">100*N29/P29/M29</f>
        <v>72.9441304499961</v>
      </c>
      <c r="S29" s="38"/>
      <c r="T29" s="38"/>
      <c r="U29" s="39" t="n">
        <f aca="false">H29/M29</f>
        <v>1.35356076565176</v>
      </c>
      <c r="V29" s="40"/>
      <c r="W29" s="40"/>
      <c r="X29" s="40" t="n">
        <f aca="false">E29/H29</f>
        <v>0.0536574032604801</v>
      </c>
      <c r="Y29" s="40" t="n">
        <f aca="false">E29/(H29-I29)</f>
        <v>-1.15531581485053</v>
      </c>
    </row>
    <row r="30" customFormat="false" ht="18.75" hidden="false" customHeight="true" outlineLevel="0" collapsed="false">
      <c r="A30" s="18" t="n">
        <v>2022</v>
      </c>
      <c r="B30" s="18" t="n">
        <v>12</v>
      </c>
      <c r="C30" s="24"/>
      <c r="D30" s="24"/>
      <c r="E30" s="25" t="n">
        <v>85030.2</v>
      </c>
      <c r="F30" s="26"/>
      <c r="G30" s="26"/>
      <c r="H30" s="27" t="n">
        <v>100984</v>
      </c>
      <c r="I30" s="27" t="n">
        <v>82992</v>
      </c>
      <c r="J30" s="89"/>
      <c r="K30" s="89"/>
      <c r="L30" s="90" t="n">
        <v>65994</v>
      </c>
      <c r="M30" s="91" t="n">
        <v>55119</v>
      </c>
      <c r="N30" s="24" t="n">
        <v>612504</v>
      </c>
      <c r="O30" s="184" t="n">
        <v>85</v>
      </c>
      <c r="P30" s="34" t="n">
        <f aca="false">'$'!C133</f>
        <v>18.653721</v>
      </c>
      <c r="Q30" s="36" t="n">
        <f aca="false">100*SUM(C30:E30)/P30/M30</f>
        <v>8.27001684218306</v>
      </c>
      <c r="R30" s="37" t="n">
        <f aca="false">100*N30/P30/M30</f>
        <v>59.571992020535</v>
      </c>
      <c r="S30" s="38"/>
      <c r="T30" s="38"/>
      <c r="U30" s="39" t="n">
        <f aca="false">H30/M30</f>
        <v>1.83210871024511</v>
      </c>
      <c r="V30" s="40"/>
      <c r="W30" s="40"/>
      <c r="X30" s="40" t="n">
        <f aca="false">E30/H30</f>
        <v>0.842016557078349</v>
      </c>
      <c r="Y30" s="40" t="n">
        <f aca="false">E30/(H30-I30)</f>
        <v>4.72600044464206</v>
      </c>
    </row>
    <row r="31" customFormat="false" ht="18.75" hidden="false" customHeight="true" outlineLevel="0" collapsed="false">
      <c r="A31" s="18" t="n">
        <v>2023</v>
      </c>
      <c r="B31" s="18" t="n">
        <v>1</v>
      </c>
      <c r="C31" s="24"/>
      <c r="D31" s="24"/>
      <c r="E31" s="25" t="n">
        <v>95241.69</v>
      </c>
      <c r="F31" s="26"/>
      <c r="G31" s="26"/>
      <c r="H31" s="27" t="n">
        <v>101113</v>
      </c>
      <c r="I31" s="27" t="n">
        <v>80764</v>
      </c>
      <c r="J31" s="89"/>
      <c r="K31" s="89"/>
      <c r="L31" s="90" t="n">
        <v>105381.829</v>
      </c>
      <c r="M31" s="91" t="n">
        <v>62958.372</v>
      </c>
      <c r="N31" s="24" t="n">
        <v>1244694</v>
      </c>
      <c r="O31" s="184" t="n">
        <v>82</v>
      </c>
      <c r="P31" s="34" t="n">
        <f aca="false">'$'!C134</f>
        <v>18.779415</v>
      </c>
      <c r="Q31" s="36" t="n">
        <f aca="false">100*SUM(C31:E31)/P31/M31</f>
        <v>8.05548223702112</v>
      </c>
      <c r="R31" s="37" t="n">
        <f aca="false">100*N31/P31/M31</f>
        <v>105.275435657712</v>
      </c>
      <c r="S31" s="38"/>
      <c r="T31" s="38"/>
      <c r="U31" s="39" t="n">
        <f aca="false">H31/M31</f>
        <v>1.6060294570514</v>
      </c>
      <c r="V31" s="40"/>
      <c r="W31" s="40"/>
      <c r="X31" s="40" t="n">
        <f aca="false">E31/H31</f>
        <v>0.9419331836658</v>
      </c>
      <c r="Y31" s="40" t="n">
        <f aca="false">E31/(H31-I31)</f>
        <v>4.68041132242371</v>
      </c>
    </row>
    <row r="32" customFormat="false" ht="18.75" hidden="false" customHeight="true" outlineLevel="0" collapsed="false">
      <c r="A32" s="18" t="n">
        <v>2023</v>
      </c>
      <c r="B32" s="18" t="n">
        <v>2</v>
      </c>
      <c r="C32" s="24"/>
      <c r="D32" s="24"/>
      <c r="E32" s="25" t="n">
        <v>54542.37</v>
      </c>
      <c r="F32" s="26"/>
      <c r="G32" s="26"/>
      <c r="H32" s="27" t="n">
        <v>70224</v>
      </c>
      <c r="I32" s="27" t="n">
        <v>125034</v>
      </c>
      <c r="J32" s="89"/>
      <c r="K32" s="89"/>
      <c r="L32" s="90" t="n">
        <v>84702</v>
      </c>
      <c r="M32" s="91" t="n">
        <v>40010</v>
      </c>
      <c r="N32" s="24" t="n">
        <v>1059320</v>
      </c>
      <c r="O32" s="184" t="n">
        <v>81</v>
      </c>
      <c r="P32" s="34" t="n">
        <f aca="false">'$'!C135</f>
        <v>18.848094</v>
      </c>
      <c r="Q32" s="36" t="n">
        <f aca="false">100*SUM(C32:E32)/P32/M32</f>
        <v>7.23265941579373</v>
      </c>
      <c r="R32" s="37" t="n">
        <f aca="false">100*N32/P32/M32</f>
        <v>140.472457877034</v>
      </c>
      <c r="S32" s="38"/>
      <c r="T32" s="38"/>
      <c r="U32" s="39" t="n">
        <f aca="false">H32/M32</f>
        <v>1.75516120969758</v>
      </c>
      <c r="V32" s="40"/>
      <c r="W32" s="40"/>
      <c r="X32" s="40" t="n">
        <f aca="false">E32/H32</f>
        <v>0.776691302118934</v>
      </c>
      <c r="Y32" s="40" t="n">
        <f aca="false">E32/(H32-I32)</f>
        <v>-0.995117131910235</v>
      </c>
    </row>
    <row r="33" customFormat="false" ht="18.75" hidden="false" customHeight="true" outlineLevel="0" collapsed="false">
      <c r="A33" s="18" t="n">
        <v>2023</v>
      </c>
      <c r="B33" s="18" t="n">
        <v>3</v>
      </c>
      <c r="C33" s="24"/>
      <c r="D33" s="24"/>
      <c r="E33" s="25" t="n">
        <v>36267.76</v>
      </c>
      <c r="F33" s="26"/>
      <c r="G33" s="26"/>
      <c r="H33" s="27" t="n">
        <v>109167</v>
      </c>
      <c r="I33" s="27" t="n">
        <v>141549</v>
      </c>
      <c r="J33" s="89"/>
      <c r="K33" s="89"/>
      <c r="L33" s="90" t="n">
        <v>134010</v>
      </c>
      <c r="M33" s="91" t="n">
        <v>66644</v>
      </c>
      <c r="N33" s="24" t="n">
        <v>1275295</v>
      </c>
      <c r="O33" s="184" t="n">
        <v>81</v>
      </c>
      <c r="P33" s="34" t="n">
        <f aca="false">'$'!C136</f>
        <v>18.992986</v>
      </c>
      <c r="Q33" s="36" t="n">
        <f aca="false">100*SUM(C33:E33)/P33/M33</f>
        <v>2.8652757838377</v>
      </c>
      <c r="R33" s="37" t="n">
        <f aca="false">100*N33/P33/M33</f>
        <v>100.752621081349</v>
      </c>
      <c r="S33" s="38"/>
      <c r="T33" s="38"/>
      <c r="U33" s="39" t="n">
        <f aca="false">H33/M33</f>
        <v>1.63806194105996</v>
      </c>
      <c r="V33" s="40"/>
      <c r="W33" s="40"/>
      <c r="X33" s="40" t="n">
        <f aca="false">E33/H33</f>
        <v>0.332222741304607</v>
      </c>
      <c r="Y33" s="40" t="n">
        <f aca="false">E33/(H33-I33)</f>
        <v>-1.11999752949169</v>
      </c>
    </row>
    <row r="34" customFormat="false" ht="18.75" hidden="false" customHeight="true" outlineLevel="0" collapsed="false">
      <c r="A34" s="18" t="n">
        <v>2023</v>
      </c>
      <c r="B34" s="18" t="n">
        <v>4</v>
      </c>
      <c r="C34" s="24"/>
      <c r="D34" s="24"/>
      <c r="E34" s="25" t="n">
        <v>73159.89</v>
      </c>
      <c r="F34" s="26"/>
      <c r="G34" s="26"/>
      <c r="H34" s="27" t="n">
        <v>93736</v>
      </c>
      <c r="I34" s="27" t="n">
        <v>175604</v>
      </c>
      <c r="J34" s="89"/>
      <c r="K34" s="89"/>
      <c r="L34" s="90" t="n">
        <f aca="false">94996</f>
        <v>94996</v>
      </c>
      <c r="M34" s="91"/>
      <c r="N34" s="24" t="n">
        <v>1133581</v>
      </c>
      <c r="O34" s="184" t="n">
        <v>80</v>
      </c>
      <c r="P34" s="34" t="n">
        <f aca="false">'$'!C137</f>
        <v>19.335863</v>
      </c>
      <c r="Q34" s="36"/>
      <c r="R34" s="37"/>
      <c r="S34" s="38"/>
      <c r="T34" s="38"/>
      <c r="U34" s="39" t="e">
        <f aca="false">H34/M34</f>
        <v>#DIV/0!</v>
      </c>
      <c r="V34" s="40"/>
      <c r="W34" s="40"/>
      <c r="X34" s="40" t="n">
        <f aca="false">E34/H34</f>
        <v>0.780488712981138</v>
      </c>
      <c r="Y34" s="40" t="n">
        <f aca="false">E34/(H34-I34)</f>
        <v>-0.893632310548688</v>
      </c>
    </row>
    <row r="35" customFormat="false" ht="18.75" hidden="false" customHeight="true" outlineLevel="0" collapsed="false">
      <c r="A35" s="18" t="n">
        <v>2023</v>
      </c>
      <c r="B35" s="18" t="n">
        <v>5</v>
      </c>
      <c r="C35" s="24"/>
      <c r="D35" s="24"/>
      <c r="E35" s="25" t="n">
        <v>149809.24</v>
      </c>
      <c r="F35" s="26"/>
      <c r="G35" s="26"/>
      <c r="H35" s="27" t="n">
        <v>50109</v>
      </c>
      <c r="I35" s="27" t="n">
        <v>233880</v>
      </c>
      <c r="J35" s="89"/>
      <c r="K35" s="89"/>
      <c r="L35" s="90"/>
      <c r="M35" s="91" t="n">
        <v>28926.36</v>
      </c>
      <c r="N35" s="24" t="n">
        <v>1178188</v>
      </c>
      <c r="O35" s="184" t="n">
        <v>71</v>
      </c>
      <c r="P35" s="34" t="n">
        <f aca="false">'$'!C138</f>
        <v>19.735976</v>
      </c>
      <c r="Q35" s="36" t="n">
        <f aca="false">100*SUM(C35:E35)/P35/M35</f>
        <v>26.2413519205908</v>
      </c>
      <c r="R35" s="37" t="n">
        <f aca="false">100*N35/P35/M35</f>
        <v>206.377429967718</v>
      </c>
      <c r="S35" s="38"/>
      <c r="T35" s="38"/>
      <c r="U35" s="39" t="n">
        <f aca="false">H35/M35</f>
        <v>1.73229538732146</v>
      </c>
      <c r="V35" s="40"/>
      <c r="W35" s="40"/>
      <c r="X35" s="40" t="n">
        <f aca="false">E35/H35</f>
        <v>2.989667325231</v>
      </c>
      <c r="Y35" s="40" t="n">
        <f aca="false">E35/(H35-I35)</f>
        <v>-0.815195215784863</v>
      </c>
    </row>
    <row r="36" customFormat="false" ht="18.75" hidden="false" customHeight="true" outlineLevel="0" collapsed="false">
      <c r="A36" s="18" t="n">
        <v>2023</v>
      </c>
      <c r="B36" s="18" t="n">
        <v>6</v>
      </c>
      <c r="C36" s="24"/>
      <c r="D36" s="24"/>
      <c r="E36" s="25" t="n">
        <v>155239.51</v>
      </c>
      <c r="F36" s="26"/>
      <c r="G36" s="26"/>
      <c r="H36" s="27" t="n">
        <v>33548</v>
      </c>
      <c r="I36" s="27" t="n">
        <v>226063</v>
      </c>
      <c r="J36" s="89"/>
      <c r="K36" s="89"/>
      <c r="L36" s="90"/>
      <c r="M36" s="91" t="n">
        <v>13417.76</v>
      </c>
      <c r="N36" s="24" t="n">
        <v>553265</v>
      </c>
      <c r="O36" s="184" t="n">
        <v>40</v>
      </c>
      <c r="P36" s="34" t="n">
        <f aca="false">'$'!C139</f>
        <v>23.541627</v>
      </c>
      <c r="Q36" s="36" t="n">
        <f aca="false">100*SUM(C36:E36)/P36/M36</f>
        <v>49.1457276296162</v>
      </c>
      <c r="R36" s="37" t="n">
        <f aca="false">100*N36/P36/M36</f>
        <v>175.152646365604</v>
      </c>
      <c r="S36" s="38"/>
      <c r="T36" s="38"/>
      <c r="U36" s="39" t="n">
        <f aca="false">H36/M36</f>
        <v>2.50026830111732</v>
      </c>
      <c r="V36" s="40"/>
      <c r="W36" s="40"/>
      <c r="X36" s="44" t="n">
        <f aca="false">E36/H36</f>
        <v>4.62738494098009</v>
      </c>
      <c r="Y36" s="40" t="n">
        <f aca="false">E36/(H36-I36)</f>
        <v>-0.806376178479599</v>
      </c>
    </row>
    <row r="37" customFormat="false" ht="18.75" hidden="false" customHeight="true" outlineLevel="0" collapsed="false">
      <c r="A37" s="18" t="n">
        <v>2023</v>
      </c>
      <c r="B37" s="18" t="n">
        <v>7</v>
      </c>
      <c r="C37" s="24"/>
      <c r="D37" s="24"/>
      <c r="E37" s="25" t="n">
        <v>187783.3</v>
      </c>
      <c r="F37" s="26"/>
      <c r="G37" s="26"/>
      <c r="H37" s="27" t="n">
        <v>35918</v>
      </c>
      <c r="I37" s="27" t="n">
        <v>243837</v>
      </c>
      <c r="J37" s="89"/>
      <c r="K37" s="89"/>
      <c r="L37" s="90"/>
      <c r="M37" s="91" t="n">
        <v>5869.2</v>
      </c>
      <c r="N37" s="24" t="n">
        <v>513531</v>
      </c>
      <c r="O37" s="184" t="n">
        <v>27</v>
      </c>
      <c r="P37" s="34" t="n">
        <f aca="false">'$'!C140</f>
        <v>26.43329</v>
      </c>
      <c r="Q37" s="36" t="n">
        <f aca="false">100*SUM(C37:E37)/P37/M37</f>
        <v>121.039420941454</v>
      </c>
      <c r="R37" s="37" t="n">
        <f aca="false">100*N37/P37/M37</f>
        <v>331.006510565562</v>
      </c>
      <c r="S37" s="38"/>
      <c r="T37" s="38"/>
      <c r="U37" s="39" t="n">
        <f aca="false">H37/M37</f>
        <v>6.11974374701833</v>
      </c>
      <c r="V37" s="40"/>
      <c r="W37" s="40"/>
      <c r="X37" s="44" t="n">
        <f aca="false">E37/H37</f>
        <v>5.22811125341055</v>
      </c>
      <c r="Y37" s="40" t="n">
        <f aca="false">E37/(H37-I37)</f>
        <v>-0.90315603672584</v>
      </c>
    </row>
    <row r="38" customFormat="false" ht="18.75" hidden="false" customHeight="true" outlineLevel="0" collapsed="false">
      <c r="A38" s="18" t="n">
        <v>2023</v>
      </c>
      <c r="B38" s="18" t="n">
        <v>8</v>
      </c>
      <c r="C38" s="24"/>
      <c r="D38" s="24"/>
      <c r="E38" s="25" t="n">
        <v>131585.48</v>
      </c>
      <c r="F38" s="26"/>
      <c r="G38" s="26"/>
      <c r="H38" s="27" t="n">
        <v>57483</v>
      </c>
      <c r="I38" s="27" t="n">
        <v>194745</v>
      </c>
      <c r="J38" s="89"/>
      <c r="K38" s="89"/>
      <c r="L38" s="90"/>
      <c r="M38" s="91" t="n">
        <v>5686.93</v>
      </c>
      <c r="N38" s="24" t="n">
        <v>498051</v>
      </c>
      <c r="O38" s="184" t="n">
        <v>26</v>
      </c>
      <c r="P38" s="34" t="n">
        <f aca="false">'$'!C141</f>
        <v>26.916173</v>
      </c>
      <c r="Q38" s="36" t="n">
        <f aca="false">100*SUM(C38:E38)/P38/M38</f>
        <v>85.9640316604491</v>
      </c>
      <c r="R38" s="37" t="n">
        <f aca="false">100*N38/P38/M38</f>
        <v>325.373832527102</v>
      </c>
      <c r="S38" s="38"/>
      <c r="T38" s="38"/>
      <c r="U38" s="39" t="n">
        <f aca="false">H38/M38</f>
        <v>10.1079141118319</v>
      </c>
      <c r="V38" s="40"/>
      <c r="W38" s="40"/>
      <c r="X38" s="40" t="n">
        <f aca="false">E38/H38</f>
        <v>2.28911991371362</v>
      </c>
      <c r="Y38" s="40" t="n">
        <f aca="false">E38/(H38-I38)</f>
        <v>-0.958644635805977</v>
      </c>
    </row>
    <row r="39" customFormat="false" ht="18.75" hidden="false" customHeight="true" outlineLevel="0" collapsed="false">
      <c r="A39" s="18" t="n">
        <v>2023</v>
      </c>
      <c r="B39" s="18" t="n">
        <v>9</v>
      </c>
      <c r="C39" s="24"/>
      <c r="D39" s="24"/>
      <c r="E39" s="25" t="n">
        <v>162294.35</v>
      </c>
      <c r="F39" s="26"/>
      <c r="G39" s="26"/>
      <c r="H39" s="27" t="n">
        <v>215986.55</v>
      </c>
      <c r="I39" s="27" t="n">
        <v>167108</v>
      </c>
      <c r="J39" s="89"/>
      <c r="K39" s="89"/>
      <c r="L39" s="90"/>
      <c r="M39" s="185" t="n">
        <v>10076.01</v>
      </c>
      <c r="N39" s="24" t="n">
        <v>452211</v>
      </c>
      <c r="O39" s="184" t="n">
        <v>25</v>
      </c>
      <c r="P39" s="34" t="n">
        <f aca="false">'$'!C142</f>
        <v>26.984571</v>
      </c>
      <c r="Q39" s="36" t="n">
        <f aca="false">100*SUM(C39:E39)/P39/M39</f>
        <v>59.6896858210343</v>
      </c>
      <c r="R39" s="37" t="n">
        <f aca="false">100*N39/P39/M39</f>
        <v>166.317142370118</v>
      </c>
      <c r="S39" s="38"/>
      <c r="T39" s="38"/>
      <c r="U39" s="39" t="n">
        <f aca="false">H39/M39</f>
        <v>21.4357220764965</v>
      </c>
      <c r="V39" s="40"/>
      <c r="W39" s="40"/>
      <c r="X39" s="40" t="n">
        <f aca="false">E39/H39</f>
        <v>0.751409520639132</v>
      </c>
      <c r="Y39" s="40" t="n">
        <f aca="false">E39/(H39-I39)</f>
        <v>3.32035933962853</v>
      </c>
    </row>
    <row r="40" customFormat="false" ht="18.75" hidden="false" customHeight="true" outlineLevel="0" collapsed="false">
      <c r="A40" s="18" t="n">
        <v>2023</v>
      </c>
      <c r="B40" s="18" t="n">
        <v>10</v>
      </c>
      <c r="C40" s="24"/>
      <c r="D40" s="24"/>
      <c r="E40" s="25" t="n">
        <v>631410.26</v>
      </c>
      <c r="F40" s="26"/>
      <c r="G40" s="26"/>
      <c r="H40" s="27" t="n">
        <v>329223</v>
      </c>
      <c r="I40" s="27" t="n">
        <v>141297</v>
      </c>
      <c r="J40" s="89"/>
      <c r="K40" s="89"/>
      <c r="L40" s="90"/>
      <c r="M40" s="185" t="n">
        <v>9783</v>
      </c>
      <c r="N40" s="24" t="n">
        <v>420271</v>
      </c>
      <c r="O40" s="184" t="n">
        <v>24</v>
      </c>
      <c r="P40" s="34" t="n">
        <f aca="false">'$'!C143</f>
        <v>27.86033</v>
      </c>
      <c r="Q40" s="36" t="n">
        <f aca="false">100*SUM(C40:E40)/P40/M40</f>
        <v>231.661212368917</v>
      </c>
      <c r="R40" s="37" t="n">
        <f aca="false">100*N40/P40/M40</f>
        <v>154.195291954073</v>
      </c>
      <c r="S40" s="38"/>
      <c r="T40" s="38"/>
      <c r="U40" s="39" t="n">
        <f aca="false">H40/M40</f>
        <v>33.6525605642441</v>
      </c>
      <c r="V40" s="40"/>
      <c r="W40" s="40"/>
      <c r="X40" s="40" t="n">
        <f aca="false">E40/H40</f>
        <v>1.91788016025612</v>
      </c>
      <c r="Y40" s="40" t="n">
        <f aca="false">E40/(H40-I40)</f>
        <v>3.35988772176282</v>
      </c>
    </row>
    <row r="41" customFormat="false" ht="18.75" hidden="false" customHeight="true" outlineLevel="0" collapsed="false">
      <c r="A41" s="18" t="n">
        <v>2023</v>
      </c>
      <c r="B41" s="18" t="n">
        <v>11</v>
      </c>
      <c r="C41" s="24"/>
      <c r="D41" s="24"/>
      <c r="E41" s="25" t="n">
        <v>684673.84</v>
      </c>
      <c r="F41" s="26"/>
      <c r="G41" s="26"/>
      <c r="H41" s="27" t="n">
        <v>324224</v>
      </c>
      <c r="I41" s="27" t="n">
        <v>95352</v>
      </c>
      <c r="J41" s="89"/>
      <c r="K41" s="89"/>
      <c r="L41" s="28" t="s">
        <v>106</v>
      </c>
      <c r="M41" s="91" t="n">
        <v>0</v>
      </c>
      <c r="N41" s="24"/>
      <c r="O41" s="184"/>
      <c r="P41" s="34" t="n">
        <f aca="false">'$'!C144</f>
        <v>28.646301</v>
      </c>
      <c r="Q41" s="36"/>
      <c r="R41" s="37"/>
      <c r="S41" s="38"/>
      <c r="T41" s="38"/>
      <c r="U41" s="39"/>
      <c r="V41" s="40"/>
      <c r="W41" s="40"/>
      <c r="X41" s="40"/>
      <c r="Y41" s="40"/>
    </row>
    <row r="42" customFormat="false" ht="18.75" hidden="false" customHeight="true" outlineLevel="0" collapsed="false">
      <c r="A42" s="18" t="n">
        <v>2023</v>
      </c>
      <c r="B42" s="18" t="n">
        <v>12</v>
      </c>
      <c r="C42" s="24"/>
      <c r="D42" s="24"/>
      <c r="E42" s="25" t="n">
        <v>0</v>
      </c>
      <c r="F42" s="26"/>
      <c r="G42" s="26"/>
      <c r="H42" s="27" t="n">
        <v>0</v>
      </c>
      <c r="I42" s="27" t="n">
        <v>0</v>
      </c>
      <c r="J42" s="89"/>
      <c r="K42" s="89"/>
      <c r="L42" s="28" t="s">
        <v>107</v>
      </c>
      <c r="M42" s="91" t="n">
        <v>0</v>
      </c>
      <c r="N42" s="24"/>
      <c r="O42" s="184"/>
      <c r="P42" s="34" t="n">
        <f aca="false">'$'!C145</f>
        <v>29.088107</v>
      </c>
      <c r="Q42" s="36"/>
      <c r="R42" s="37"/>
      <c r="S42" s="38"/>
      <c r="T42" s="38"/>
      <c r="U42" s="39"/>
      <c r="V42" s="40"/>
      <c r="W42" s="40"/>
      <c r="X42" s="40"/>
      <c r="Y42" s="40"/>
    </row>
  </sheetData>
  <mergeCells count="14">
    <mergeCell ref="A1:A2"/>
    <mergeCell ref="B1:B2"/>
    <mergeCell ref="C1:E1"/>
    <mergeCell ref="F1:H1"/>
    <mergeCell ref="J1:J2"/>
    <mergeCell ref="K1:K2"/>
    <mergeCell ref="L1:L2"/>
    <mergeCell ref="M1:M2"/>
    <mergeCell ref="N1:N2"/>
    <mergeCell ref="O1:O2"/>
    <mergeCell ref="P1:P2"/>
    <mergeCell ref="Q1:R1"/>
    <mergeCell ref="S1:U1"/>
    <mergeCell ref="V1:Y1"/>
  </mergeCells>
  <conditionalFormatting sqref="Y20:Y42">
    <cfRule type="cellIs" priority="2" operator="lessThan" aboveAverage="0" equalAverage="0" bottom="0" percent="0" rank="0" text="" dxfId="0">
      <formula>0</formula>
    </cfRule>
  </conditionalFormatting>
  <hyperlinks>
    <hyperlink ref="I1" r:id="rId1" display="GES Üretim"/>
    <hyperlink ref="M1" r:id="rId2" display="∑ Paket. Miktarı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&amp;LYÜN İPLİK (SAMTEKS)</oddHeader>
    <oddFooter>&amp;CPage &amp;P of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.71"/>
    <col collapsed="false" customWidth="true" hidden="false" outlineLevel="0" max="13" min="3" style="0" width="11.56"/>
  </cols>
  <sheetData>
    <row r="1" customFormat="false" ht="18.75" hidden="false" customHeight="true" outlineLevel="0" collapsed="false">
      <c r="A1" s="1" t="s">
        <v>0</v>
      </c>
      <c r="B1" s="1" t="s">
        <v>1</v>
      </c>
      <c r="C1" s="80" t="s">
        <v>2</v>
      </c>
      <c r="D1" s="80"/>
      <c r="E1" s="80"/>
      <c r="F1" s="19" t="s">
        <v>3</v>
      </c>
      <c r="G1" s="11" t="s">
        <v>108</v>
      </c>
      <c r="H1" s="80" t="s">
        <v>10</v>
      </c>
      <c r="I1" s="11" t="s">
        <v>11</v>
      </c>
      <c r="J1" s="11" t="s">
        <v>16</v>
      </c>
      <c r="K1" s="13" t="s">
        <v>103</v>
      </c>
      <c r="L1" s="13"/>
      <c r="M1" s="186" t="s">
        <v>49</v>
      </c>
    </row>
    <row r="2" customFormat="false" ht="18.75" hidden="false" customHeight="true" outlineLevel="0" collapsed="false">
      <c r="A2" s="1"/>
      <c r="B2" s="1"/>
      <c r="C2" s="17" t="s">
        <v>30</v>
      </c>
      <c r="D2" s="17" t="s">
        <v>31</v>
      </c>
      <c r="E2" s="2" t="s">
        <v>32</v>
      </c>
      <c r="F2" s="19" t="s">
        <v>28</v>
      </c>
      <c r="G2" s="11"/>
      <c r="H2" s="80"/>
      <c r="I2" s="11"/>
      <c r="J2" s="11"/>
      <c r="K2" s="12" t="s">
        <v>29</v>
      </c>
      <c r="L2" s="86" t="s">
        <v>53</v>
      </c>
      <c r="M2" s="187" t="s">
        <v>28</v>
      </c>
    </row>
    <row r="3" customFormat="false" ht="18.75" hidden="false" customHeight="true" outlineLevel="0" collapsed="false">
      <c r="A3" s="18" t="n">
        <v>2016</v>
      </c>
      <c r="B3" s="18" t="n">
        <v>1</v>
      </c>
      <c r="C3" s="24"/>
      <c r="D3" s="24" t="n">
        <v>3160.1</v>
      </c>
      <c r="E3" s="25" t="n">
        <v>123836.89</v>
      </c>
      <c r="F3" s="27"/>
      <c r="G3" s="31"/>
      <c r="H3" s="24"/>
      <c r="I3" s="184"/>
      <c r="J3" s="34" t="n">
        <f aca="false">'$'!C50</f>
        <v>3.001791</v>
      </c>
      <c r="K3" s="36"/>
      <c r="L3" s="37"/>
      <c r="M3" s="188"/>
    </row>
    <row r="4" customFormat="false" ht="18.75" hidden="false" customHeight="true" outlineLevel="0" collapsed="false">
      <c r="A4" s="18" t="n">
        <v>2016</v>
      </c>
      <c r="B4" s="18" t="n">
        <v>2</v>
      </c>
      <c r="C4" s="24"/>
      <c r="D4" s="24" t="n">
        <v>3218.04</v>
      </c>
      <c r="E4" s="25" t="n">
        <v>136830.45</v>
      </c>
      <c r="F4" s="27"/>
      <c r="G4" s="31"/>
      <c r="H4" s="24"/>
      <c r="I4" s="184"/>
      <c r="J4" s="34" t="n">
        <f aca="false">'$'!C51</f>
        <v>2.945324</v>
      </c>
      <c r="K4" s="36"/>
      <c r="L4" s="37"/>
      <c r="M4" s="188"/>
    </row>
    <row r="5" customFormat="false" ht="18.75" hidden="false" customHeight="true" outlineLevel="0" collapsed="false">
      <c r="A5" s="18" t="n">
        <v>2016</v>
      </c>
      <c r="B5" s="18" t="n">
        <v>3</v>
      </c>
      <c r="C5" s="24"/>
      <c r="D5" s="24" t="n">
        <v>3299.94</v>
      </c>
      <c r="E5" s="25" t="n">
        <v>135893.31</v>
      </c>
      <c r="F5" s="27"/>
      <c r="G5" s="31"/>
      <c r="H5" s="24"/>
      <c r="I5" s="184"/>
      <c r="J5" s="34" t="n">
        <f aca="false">'$'!C52</f>
        <v>2.882802</v>
      </c>
      <c r="K5" s="36"/>
      <c r="L5" s="37"/>
      <c r="M5" s="188"/>
    </row>
    <row r="6" customFormat="false" ht="18.75" hidden="false" customHeight="true" outlineLevel="0" collapsed="false">
      <c r="A6" s="18" t="n">
        <v>2016</v>
      </c>
      <c r="B6" s="18" t="n">
        <v>4</v>
      </c>
      <c r="C6" s="24"/>
      <c r="D6" s="24" t="n">
        <v>3394.29</v>
      </c>
      <c r="E6" s="25" t="n">
        <v>118597.47</v>
      </c>
      <c r="F6" s="27"/>
      <c r="G6" s="31"/>
      <c r="H6" s="24"/>
      <c r="I6" s="184"/>
      <c r="J6" s="34" t="n">
        <f aca="false">'$'!C53</f>
        <v>2.834917</v>
      </c>
      <c r="K6" s="36"/>
      <c r="L6" s="37"/>
      <c r="M6" s="188"/>
    </row>
    <row r="7" customFormat="false" ht="18.75" hidden="false" customHeight="true" outlineLevel="0" collapsed="false">
      <c r="A7" s="18" t="n">
        <v>2016</v>
      </c>
      <c r="B7" s="18" t="n">
        <v>5</v>
      </c>
      <c r="C7" s="24"/>
      <c r="D7" s="24" t="n">
        <v>3579.88</v>
      </c>
      <c r="E7" s="189" t="n">
        <v>9508.72</v>
      </c>
      <c r="F7" s="27"/>
      <c r="G7" s="31"/>
      <c r="H7" s="24"/>
      <c r="I7" s="184"/>
      <c r="J7" s="34" t="n">
        <f aca="false">'$'!C54</f>
        <v>2.940724</v>
      </c>
      <c r="K7" s="36"/>
      <c r="L7" s="37"/>
      <c r="M7" s="188"/>
    </row>
    <row r="8" customFormat="false" ht="18.75" hidden="false" customHeight="true" outlineLevel="0" collapsed="false">
      <c r="A8" s="18" t="n">
        <v>2016</v>
      </c>
      <c r="B8" s="18" t="n">
        <v>6</v>
      </c>
      <c r="C8" s="24"/>
      <c r="D8" s="24" t="n">
        <v>3682.52</v>
      </c>
      <c r="E8" s="25" t="n">
        <v>109573.82</v>
      </c>
      <c r="F8" s="27"/>
      <c r="G8" s="31"/>
      <c r="H8" s="24"/>
      <c r="I8" s="184"/>
      <c r="J8" s="34" t="n">
        <f aca="false">'$'!C55</f>
        <v>2.914586</v>
      </c>
      <c r="K8" s="36"/>
      <c r="L8" s="37"/>
      <c r="M8" s="188"/>
    </row>
    <row r="9" customFormat="false" ht="18.75" hidden="false" customHeight="true" outlineLevel="0" collapsed="false">
      <c r="A9" s="18" t="n">
        <v>2016</v>
      </c>
      <c r="B9" s="18" t="n">
        <v>7</v>
      </c>
      <c r="C9" s="24"/>
      <c r="D9" s="24" t="n">
        <v>4296.31</v>
      </c>
      <c r="E9" s="25" t="n">
        <v>117392.51</v>
      </c>
      <c r="F9" s="27"/>
      <c r="G9" s="31"/>
      <c r="H9" s="24"/>
      <c r="I9" s="184"/>
      <c r="J9" s="34" t="n">
        <f aca="false">'$'!C56</f>
        <v>2.969792</v>
      </c>
      <c r="K9" s="36"/>
      <c r="L9" s="37"/>
      <c r="M9" s="188"/>
    </row>
    <row r="10" customFormat="false" ht="18.75" hidden="false" customHeight="true" outlineLevel="0" collapsed="false">
      <c r="A10" s="18" t="n">
        <v>2016</v>
      </c>
      <c r="B10" s="18" t="n">
        <v>8</v>
      </c>
      <c r="C10" s="24"/>
      <c r="D10" s="24" t="n">
        <v>5167.22</v>
      </c>
      <c r="E10" s="25" t="n">
        <v>110069.98</v>
      </c>
      <c r="F10" s="27"/>
      <c r="G10" s="31"/>
      <c r="H10" s="24"/>
      <c r="I10" s="184"/>
      <c r="J10" s="34" t="n">
        <f aca="false">'$'!C57</f>
        <v>2.960826</v>
      </c>
      <c r="K10" s="36"/>
      <c r="L10" s="37"/>
      <c r="M10" s="190"/>
    </row>
    <row r="11" customFormat="false" ht="18.75" hidden="false" customHeight="true" outlineLevel="0" collapsed="false">
      <c r="A11" s="18" t="n">
        <v>2016</v>
      </c>
      <c r="B11" s="18" t="n">
        <v>9</v>
      </c>
      <c r="C11" s="24"/>
      <c r="D11" s="24" t="n">
        <v>4017.41</v>
      </c>
      <c r="E11" s="25" t="n">
        <v>120338.32</v>
      </c>
      <c r="F11" s="27"/>
      <c r="G11" s="31"/>
      <c r="H11" s="24"/>
      <c r="I11" s="184"/>
      <c r="J11" s="34" t="n">
        <f aca="false">'$'!C58</f>
        <v>2.968482</v>
      </c>
      <c r="K11" s="36"/>
      <c r="L11" s="37"/>
      <c r="M11" s="188"/>
    </row>
    <row r="12" customFormat="false" ht="18.75" hidden="false" customHeight="true" outlineLevel="0" collapsed="false">
      <c r="A12" s="18" t="n">
        <v>2016</v>
      </c>
      <c r="B12" s="18" t="n">
        <v>10</v>
      </c>
      <c r="C12" s="24"/>
      <c r="D12" s="24" t="n">
        <v>3820.42</v>
      </c>
      <c r="E12" s="25" t="n">
        <v>96745.81</v>
      </c>
      <c r="F12" s="27"/>
      <c r="G12" s="31"/>
      <c r="H12" s="24"/>
      <c r="I12" s="184"/>
      <c r="J12" s="34" t="n">
        <f aca="false">'$'!C59</f>
        <v>3.073362</v>
      </c>
      <c r="K12" s="36"/>
      <c r="L12" s="37"/>
      <c r="M12" s="188"/>
    </row>
    <row r="13" customFormat="false" ht="18.75" hidden="false" customHeight="true" outlineLevel="0" collapsed="false">
      <c r="A13" s="18" t="n">
        <v>2016</v>
      </c>
      <c r="B13" s="18" t="n">
        <v>11</v>
      </c>
      <c r="C13" s="24"/>
      <c r="D13" s="24" t="n">
        <v>3482.42</v>
      </c>
      <c r="E13" s="25" t="n">
        <v>138720.51</v>
      </c>
      <c r="F13" s="27"/>
      <c r="G13" s="31"/>
      <c r="H13" s="24"/>
      <c r="I13" s="184"/>
      <c r="J13" s="34" t="n">
        <f aca="false">'$'!C60</f>
        <v>3.299438</v>
      </c>
      <c r="K13" s="36"/>
      <c r="L13" s="37"/>
      <c r="M13" s="188"/>
    </row>
    <row r="14" customFormat="false" ht="18.75" hidden="false" customHeight="true" outlineLevel="0" collapsed="false">
      <c r="A14" s="18" t="n">
        <v>2016</v>
      </c>
      <c r="B14" s="18" t="n">
        <v>12</v>
      </c>
      <c r="C14" s="24"/>
      <c r="D14" s="24" t="n">
        <v>3549.81</v>
      </c>
      <c r="E14" s="25" t="n">
        <v>135055.66</v>
      </c>
      <c r="F14" s="27"/>
      <c r="G14" s="31"/>
      <c r="H14" s="24"/>
      <c r="I14" s="184"/>
      <c r="J14" s="34" t="n">
        <f aca="false">'$'!C61</f>
        <v>3.502333</v>
      </c>
      <c r="K14" s="36"/>
      <c r="L14" s="37"/>
      <c r="M14" s="188"/>
    </row>
    <row r="15" customFormat="false" ht="18.75" hidden="false" customHeight="true" outlineLevel="0" collapsed="false">
      <c r="A15" s="18" t="n">
        <v>2017</v>
      </c>
      <c r="B15" s="18" t="n">
        <v>1</v>
      </c>
      <c r="C15" s="24"/>
      <c r="D15" s="24" t="n">
        <v>3499.01</v>
      </c>
      <c r="E15" s="189" t="n">
        <v>12751.56</v>
      </c>
      <c r="F15" s="27"/>
      <c r="G15" s="31"/>
      <c r="H15" s="24"/>
      <c r="I15" s="184"/>
      <c r="J15" s="34" t="n">
        <f aca="false">'$'!C62</f>
        <v>3.812</v>
      </c>
      <c r="K15" s="36"/>
      <c r="L15" s="37"/>
      <c r="M15" s="188"/>
    </row>
    <row r="16" customFormat="false" ht="18.75" hidden="false" customHeight="true" outlineLevel="0" collapsed="false">
      <c r="A16" s="18" t="n">
        <v>2017</v>
      </c>
      <c r="B16" s="18" t="n">
        <v>2</v>
      </c>
      <c r="C16" s="24"/>
      <c r="D16" s="24" t="n">
        <v>3621.5</v>
      </c>
      <c r="E16" s="189" t="n">
        <v>11922.7</v>
      </c>
      <c r="F16" s="27"/>
      <c r="G16" s="31"/>
      <c r="H16" s="24"/>
      <c r="I16" s="184"/>
      <c r="J16" s="34" t="n">
        <f aca="false">'$'!C63</f>
        <v>3.666612</v>
      </c>
      <c r="K16" s="36"/>
      <c r="L16" s="37"/>
      <c r="M16" s="188"/>
    </row>
    <row r="17" customFormat="false" ht="18.75" hidden="false" customHeight="true" outlineLevel="0" collapsed="false">
      <c r="A17" s="18" t="n">
        <v>2017</v>
      </c>
      <c r="B17" s="18" t="n">
        <v>3</v>
      </c>
      <c r="C17" s="24"/>
      <c r="D17" s="24" t="n">
        <v>3683.32</v>
      </c>
      <c r="E17" s="189" t="n">
        <v>12674.29</v>
      </c>
      <c r="F17" s="27"/>
      <c r="G17" s="31"/>
      <c r="H17" s="24"/>
      <c r="I17" s="184"/>
      <c r="J17" s="34" t="n">
        <f aca="false">'$'!C64</f>
        <v>3.599536</v>
      </c>
      <c r="K17" s="36"/>
      <c r="L17" s="37"/>
      <c r="M17" s="188"/>
    </row>
    <row r="18" customFormat="false" ht="18.75" hidden="false" customHeight="true" outlineLevel="0" collapsed="false">
      <c r="A18" s="18" t="n">
        <v>2017</v>
      </c>
      <c r="B18" s="18" t="n">
        <v>4</v>
      </c>
      <c r="C18" s="24"/>
      <c r="D18" s="24" t="n">
        <v>3885.95</v>
      </c>
      <c r="E18" s="189" t="n">
        <v>10972.6</v>
      </c>
      <c r="F18" s="27"/>
      <c r="G18" s="31"/>
      <c r="H18" s="24"/>
      <c r="I18" s="184"/>
      <c r="J18" s="34" t="n">
        <f aca="false">'$'!C65</f>
        <v>3.653912</v>
      </c>
      <c r="K18" s="36"/>
      <c r="L18" s="37"/>
      <c r="M18" s="188"/>
    </row>
    <row r="19" customFormat="false" ht="18.75" hidden="false" customHeight="true" outlineLevel="0" collapsed="false">
      <c r="A19" s="18" t="n">
        <v>2017</v>
      </c>
      <c r="B19" s="18" t="n">
        <v>5</v>
      </c>
      <c r="C19" s="24"/>
      <c r="D19" s="24" t="n">
        <v>3950.06</v>
      </c>
      <c r="E19" s="25" t="n">
        <v>123478.64</v>
      </c>
      <c r="F19" s="27"/>
      <c r="G19" s="31"/>
      <c r="H19" s="24"/>
      <c r="I19" s="184"/>
      <c r="J19" s="34" t="n">
        <f aca="false">'$'!C66</f>
        <v>3.568617</v>
      </c>
      <c r="K19" s="36"/>
      <c r="L19" s="37"/>
      <c r="M19" s="188"/>
    </row>
    <row r="20" customFormat="false" ht="18.75" hidden="false" customHeight="true" outlineLevel="0" collapsed="false">
      <c r="A20" s="18" t="n">
        <v>2017</v>
      </c>
      <c r="B20" s="18" t="n">
        <v>6</v>
      </c>
      <c r="C20" s="24"/>
      <c r="D20" s="24" t="n">
        <v>3808.1</v>
      </c>
      <c r="E20" s="189" t="n">
        <v>33350.21</v>
      </c>
      <c r="F20" s="27"/>
      <c r="G20" s="31"/>
      <c r="H20" s="24"/>
      <c r="I20" s="184"/>
      <c r="J20" s="34" t="n">
        <f aca="false">'$'!C67</f>
        <v>3.519175</v>
      </c>
      <c r="K20" s="36"/>
      <c r="L20" s="37"/>
      <c r="M20" s="188"/>
    </row>
    <row r="21" customFormat="false" ht="18.75" hidden="false" customHeight="true" outlineLevel="0" collapsed="false">
      <c r="A21" s="18" t="n">
        <v>2017</v>
      </c>
      <c r="B21" s="18" t="n">
        <v>7</v>
      </c>
      <c r="C21" s="24"/>
      <c r="D21" s="24" t="n">
        <v>4568.25</v>
      </c>
      <c r="E21" s="25" t="n">
        <v>248727.62</v>
      </c>
      <c r="F21" s="27"/>
      <c r="G21" s="31"/>
      <c r="H21" s="24"/>
      <c r="I21" s="184"/>
      <c r="J21" s="34" t="n">
        <f aca="false">'$'!C68</f>
        <v>3.556397</v>
      </c>
      <c r="K21" s="36"/>
      <c r="L21" s="37"/>
      <c r="M21" s="188"/>
    </row>
    <row r="22" customFormat="false" ht="18.75" hidden="false" customHeight="true" outlineLevel="0" collapsed="false">
      <c r="A22" s="18" t="n">
        <v>2017</v>
      </c>
      <c r="B22" s="18" t="n">
        <v>8</v>
      </c>
      <c r="C22" s="24"/>
      <c r="D22" s="24" t="n">
        <v>4240.84</v>
      </c>
      <c r="E22" s="25" t="n">
        <v>128586.57</v>
      </c>
      <c r="F22" s="27"/>
      <c r="G22" s="31"/>
      <c r="H22" s="24"/>
      <c r="I22" s="184"/>
      <c r="J22" s="34" t="n">
        <f aca="false">'$'!C69</f>
        <v>3.50946</v>
      </c>
      <c r="K22" s="36"/>
      <c r="L22" s="37"/>
      <c r="M22" s="188"/>
    </row>
    <row r="23" customFormat="false" ht="18.75" hidden="false" customHeight="true" outlineLevel="0" collapsed="false">
      <c r="A23" s="18" t="n">
        <v>2017</v>
      </c>
      <c r="B23" s="18" t="n">
        <v>9</v>
      </c>
      <c r="C23" s="24"/>
      <c r="D23" s="24" t="n">
        <v>4608.32</v>
      </c>
      <c r="E23" s="25" t="n">
        <v>130063</v>
      </c>
      <c r="F23" s="27"/>
      <c r="G23" s="31"/>
      <c r="H23" s="24"/>
      <c r="I23" s="184"/>
      <c r="J23" s="34" t="n">
        <f aca="false">'$'!C70</f>
        <v>3.467228</v>
      </c>
      <c r="K23" s="36"/>
      <c r="L23" s="37"/>
      <c r="M23" s="188"/>
    </row>
    <row r="24" customFormat="false" ht="18.75" hidden="false" customHeight="true" outlineLevel="0" collapsed="false">
      <c r="A24" s="18" t="n">
        <v>2017</v>
      </c>
      <c r="B24" s="18" t="n">
        <v>10</v>
      </c>
      <c r="C24" s="24"/>
      <c r="D24" s="24" t="n">
        <v>4664.41</v>
      </c>
      <c r="E24" s="25" t="n">
        <v>164199.47</v>
      </c>
      <c r="F24" s="27"/>
      <c r="G24" s="31"/>
      <c r="H24" s="24"/>
      <c r="I24" s="184"/>
      <c r="J24" s="34" t="n">
        <f aca="false">'$'!C71</f>
        <v>3.672914</v>
      </c>
      <c r="K24" s="36"/>
      <c r="L24" s="37"/>
      <c r="M24" s="188"/>
    </row>
    <row r="25" customFormat="false" ht="18.75" hidden="false" customHeight="true" outlineLevel="0" collapsed="false">
      <c r="A25" s="18" t="n">
        <v>2017</v>
      </c>
      <c r="B25" s="18" t="n">
        <v>11</v>
      </c>
      <c r="C25" s="24"/>
      <c r="D25" s="24" t="n">
        <v>3946.62</v>
      </c>
      <c r="E25" s="25" t="n">
        <v>157919.99</v>
      </c>
      <c r="F25" s="27"/>
      <c r="G25" s="31" t="n">
        <v>256631</v>
      </c>
      <c r="H25" s="24" t="n">
        <v>397970</v>
      </c>
      <c r="I25" s="184" t="n">
        <v>153</v>
      </c>
      <c r="J25" s="34" t="n">
        <f aca="false">'$'!C72</f>
        <v>3.889185</v>
      </c>
      <c r="K25" s="36" t="n">
        <f aca="false">SUM(C25:E25)/J25*100/G25</f>
        <v>16.2177108496528</v>
      </c>
      <c r="L25" s="37" t="n">
        <f aca="false">100*(H25/J25)/G25</f>
        <v>39.8733400720281</v>
      </c>
      <c r="M25" s="188"/>
    </row>
    <row r="26" customFormat="false" ht="18.75" hidden="false" customHeight="true" outlineLevel="0" collapsed="false">
      <c r="A26" s="18" t="n">
        <v>2017</v>
      </c>
      <c r="B26" s="18" t="n">
        <v>12</v>
      </c>
      <c r="C26" s="24"/>
      <c r="D26" s="24" t="n">
        <v>3749.72</v>
      </c>
      <c r="E26" s="25" t="n">
        <v>156028.82</v>
      </c>
      <c r="F26" s="27"/>
      <c r="G26" s="31" t="n">
        <v>259836</v>
      </c>
      <c r="H26" s="24" t="n">
        <v>407970</v>
      </c>
      <c r="I26" s="184" t="n">
        <v>157</v>
      </c>
      <c r="J26" s="34" t="n">
        <f aca="false">'$'!C73</f>
        <v>3.843316</v>
      </c>
      <c r="K26" s="36" t="n">
        <f aca="false">SUM(C26:E26)/J26*100/G26</f>
        <v>15.999743950872</v>
      </c>
      <c r="L26" s="37" t="n">
        <f aca="false">100*(H26/J26)/G26</f>
        <v>40.852892632748</v>
      </c>
      <c r="M26" s="188"/>
    </row>
    <row r="27" customFormat="false" ht="18.75" hidden="false" customHeight="true" outlineLevel="0" collapsed="false">
      <c r="A27" s="18" t="n">
        <v>2018</v>
      </c>
      <c r="B27" s="18" t="n">
        <v>1</v>
      </c>
      <c r="C27" s="24"/>
      <c r="D27" s="24" t="n">
        <v>3998.94</v>
      </c>
      <c r="E27" s="25" t="n">
        <v>175264.61</v>
      </c>
      <c r="F27" s="27" t="n">
        <v>614960.64</v>
      </c>
      <c r="G27" s="31" t="n">
        <v>300490</v>
      </c>
      <c r="H27" s="24" t="n">
        <v>469259</v>
      </c>
      <c r="I27" s="184" t="n">
        <v>154</v>
      </c>
      <c r="J27" s="34" t="n">
        <f aca="false">'$'!C74</f>
        <v>3.772753</v>
      </c>
      <c r="K27" s="36" t="n">
        <f aca="false">SUM(C27:E27)/J27*100/G27</f>
        <v>15.8126113144967</v>
      </c>
      <c r="L27" s="37" t="n">
        <f aca="false">100*(H27/J27)/G27</f>
        <v>41.3927436605457</v>
      </c>
      <c r="M27" s="188" t="n">
        <f aca="false">F27/G27</f>
        <v>2.04652614063696</v>
      </c>
    </row>
    <row r="28" customFormat="false" ht="18.75" hidden="false" customHeight="true" outlineLevel="0" collapsed="false">
      <c r="A28" s="18" t="n">
        <v>2018</v>
      </c>
      <c r="B28" s="18" t="n">
        <v>2</v>
      </c>
      <c r="C28" s="24"/>
      <c r="D28" s="24" t="n">
        <f aca="false">55.08+4036.2</f>
        <v>4091.28</v>
      </c>
      <c r="E28" s="25" t="n">
        <v>171615.72</v>
      </c>
      <c r="F28" s="27" t="n">
        <v>605485.44</v>
      </c>
      <c r="G28" s="31" t="n">
        <v>258319</v>
      </c>
      <c r="H28" s="24" t="n">
        <v>440230</v>
      </c>
      <c r="I28" s="184" t="n">
        <v>151</v>
      </c>
      <c r="J28" s="34" t="n">
        <f aca="false">'$'!C75</f>
        <v>3.78455</v>
      </c>
      <c r="K28" s="36" t="n">
        <f aca="false">SUM(C28:E28)/J28*100/G28</f>
        <v>17.9729127325867</v>
      </c>
      <c r="L28" s="37" t="n">
        <f aca="false">100*(H28/J28)/G28</f>
        <v>45.0307351002899</v>
      </c>
      <c r="M28" s="188" t="n">
        <f aca="false">F28/G28</f>
        <v>2.34394465757455</v>
      </c>
    </row>
    <row r="29" customFormat="false" ht="18.75" hidden="false" customHeight="true" outlineLevel="0" collapsed="false">
      <c r="A29" s="18" t="n">
        <v>2018</v>
      </c>
      <c r="B29" s="18" t="n">
        <v>3</v>
      </c>
      <c r="C29" s="24"/>
      <c r="D29" s="24" t="n">
        <v>4322.64</v>
      </c>
      <c r="E29" s="25" t="n">
        <v>186832.56</v>
      </c>
      <c r="F29" s="27" t="n">
        <v>659050.56</v>
      </c>
      <c r="G29" s="31" t="n">
        <v>273416</v>
      </c>
      <c r="H29" s="24" t="n">
        <v>467784</v>
      </c>
      <c r="I29" s="184" t="n">
        <v>153</v>
      </c>
      <c r="J29" s="34" t="n">
        <f aca="false">'$'!C76</f>
        <v>3.889189</v>
      </c>
      <c r="K29" s="36" t="n">
        <f aca="false">SUM(C29:E29)/J29*100/G29</f>
        <v>17.9764173563481</v>
      </c>
      <c r="L29" s="37" t="n">
        <f aca="false">100*(H29/J29)/G29</f>
        <v>43.9908535923791</v>
      </c>
      <c r="M29" s="188" t="n">
        <f aca="false">F29/G29</f>
        <v>2.41043157679141</v>
      </c>
    </row>
    <row r="30" customFormat="false" ht="18.75" hidden="false" customHeight="true" outlineLevel="0" collapsed="false">
      <c r="A30" s="18" t="n">
        <v>2018</v>
      </c>
      <c r="B30" s="18" t="n">
        <v>4</v>
      </c>
      <c r="C30" s="24"/>
      <c r="D30" s="24" t="n">
        <v>4597.53</v>
      </c>
      <c r="E30" s="25" t="n">
        <v>165370.5</v>
      </c>
      <c r="F30" s="27" t="n">
        <v>484323.84</v>
      </c>
      <c r="G30" s="31" t="n">
        <v>230667</v>
      </c>
      <c r="H30" s="24" t="n">
        <v>441623</v>
      </c>
      <c r="I30" s="184" t="n">
        <v>146</v>
      </c>
      <c r="J30" s="34" t="n">
        <f aca="false">'$'!C77</f>
        <v>4.060187</v>
      </c>
      <c r="K30" s="36" t="n">
        <f aca="false">SUM(C30:E30)/J30*100/G30</f>
        <v>18.1482911148812</v>
      </c>
      <c r="L30" s="37" t="n">
        <f aca="false">100*(H30/J30)/G30</f>
        <v>47.1541781535455</v>
      </c>
      <c r="M30" s="188" t="n">
        <f aca="false">F30/G30</f>
        <v>2.09966679238903</v>
      </c>
    </row>
    <row r="31" customFormat="false" ht="18.75" hidden="false" customHeight="true" outlineLevel="0" collapsed="false">
      <c r="A31" s="18" t="n">
        <v>2018</v>
      </c>
      <c r="B31" s="18" t="n">
        <v>5</v>
      </c>
      <c r="C31" s="24"/>
      <c r="D31" s="24" t="n">
        <v>5653.05</v>
      </c>
      <c r="E31" s="25" t="n">
        <v>157658.42</v>
      </c>
      <c r="F31" s="27" t="n">
        <v>516751.2</v>
      </c>
      <c r="G31" s="31" t="n">
        <v>223960</v>
      </c>
      <c r="H31" s="24" t="n">
        <v>443342</v>
      </c>
      <c r="I31" s="184" t="n">
        <v>145</v>
      </c>
      <c r="J31" s="34" t="n">
        <f aca="false">'$'!C78</f>
        <v>4.417734</v>
      </c>
      <c r="K31" s="36" t="n">
        <f aca="false">SUM(C31:E31)/J31*100/G31</f>
        <v>16.5061834111458</v>
      </c>
      <c r="L31" s="37" t="n">
        <f aca="false">100*(H31/J31)/G31</f>
        <v>44.8093717230283</v>
      </c>
      <c r="M31" s="188" t="n">
        <f aca="false">F31/G31</f>
        <v>2.30733702446865</v>
      </c>
    </row>
    <row r="32" customFormat="false" ht="18.75" hidden="false" customHeight="true" outlineLevel="0" collapsed="false">
      <c r="A32" s="18" t="n">
        <v>2018</v>
      </c>
      <c r="B32" s="18" t="n">
        <v>6</v>
      </c>
      <c r="C32" s="24"/>
      <c r="D32" s="24" t="n">
        <v>5231.76</v>
      </c>
      <c r="E32" s="25" t="n">
        <v>150579.81</v>
      </c>
      <c r="F32" s="27" t="n">
        <v>437356.08</v>
      </c>
      <c r="G32" s="31" t="n">
        <v>182800</v>
      </c>
      <c r="H32" s="24" t="n">
        <v>460658</v>
      </c>
      <c r="I32" s="184" t="n">
        <v>145</v>
      </c>
      <c r="J32" s="34" t="n">
        <f aca="false">'$'!C79</f>
        <v>4.629054</v>
      </c>
      <c r="K32" s="36" t="n">
        <f aca="false">SUM(C32:E32)/J32*100/G32</f>
        <v>18.413284576383</v>
      </c>
      <c r="L32" s="37" t="n">
        <f aca="false">100*(H32/J32)/G32</f>
        <v>54.4390050519834</v>
      </c>
      <c r="M32" s="188" t="n">
        <f aca="false">F32/G32</f>
        <v>2.39253873085339</v>
      </c>
    </row>
    <row r="33" customFormat="false" ht="18.75" hidden="false" customHeight="true" outlineLevel="0" collapsed="false">
      <c r="A33" s="18" t="n">
        <v>2018</v>
      </c>
      <c r="B33" s="18" t="n">
        <v>7</v>
      </c>
      <c r="C33" s="24"/>
      <c r="D33" s="24" t="n">
        <v>6938.42</v>
      </c>
      <c r="E33" s="25" t="n">
        <v>196631.2</v>
      </c>
      <c r="F33" s="27" t="n">
        <v>520410.24</v>
      </c>
      <c r="G33" s="31" t="n">
        <v>200290</v>
      </c>
      <c r="H33" s="24" t="n">
        <v>401107</v>
      </c>
      <c r="I33" s="184" t="n">
        <v>145</v>
      </c>
      <c r="J33" s="34" t="n">
        <f aca="false">'$'!C80</f>
        <v>4.761595</v>
      </c>
      <c r="K33" s="36" t="n">
        <f aca="false">SUM(C33:E33)/J33*100/G33</f>
        <v>21.3452500093369</v>
      </c>
      <c r="L33" s="37" t="n">
        <f aca="false">100*(H33/J33)/G33</f>
        <v>42.0579907527219</v>
      </c>
      <c r="M33" s="188" t="n">
        <f aca="false">F33/G33</f>
        <v>2.59828368865146</v>
      </c>
    </row>
    <row r="34" customFormat="false" ht="18.75" hidden="false" customHeight="true" outlineLevel="0" collapsed="false">
      <c r="A34" s="18" t="n">
        <v>2018</v>
      </c>
      <c r="B34" s="18" t="n">
        <v>8</v>
      </c>
      <c r="C34" s="24"/>
      <c r="D34" s="24" t="n">
        <v>6512.34</v>
      </c>
      <c r="E34" s="25" t="n">
        <v>174336.39</v>
      </c>
      <c r="F34" s="27" t="n">
        <v>393160.32</v>
      </c>
      <c r="G34" s="31" t="n">
        <v>165397</v>
      </c>
      <c r="H34" s="24" t="n">
        <v>493852</v>
      </c>
      <c r="I34" s="184" t="n">
        <v>141</v>
      </c>
      <c r="J34" s="34" t="n">
        <f aca="false">'$'!C81</f>
        <v>5.888005</v>
      </c>
      <c r="K34" s="36" t="n">
        <f aca="false">SUM(C34:E34)/J34*100/G34</f>
        <v>18.5703318751277</v>
      </c>
      <c r="L34" s="37" t="n">
        <f aca="false">100*(H34/J34)/G34</f>
        <v>50.7108650262324</v>
      </c>
      <c r="M34" s="188" t="n">
        <f aca="false">F34/G34</f>
        <v>2.37707044263197</v>
      </c>
    </row>
    <row r="35" customFormat="false" ht="18.75" hidden="false" customHeight="true" outlineLevel="0" collapsed="false">
      <c r="A35" s="18" t="n">
        <v>2018</v>
      </c>
      <c r="B35" s="18" t="n">
        <v>9</v>
      </c>
      <c r="C35" s="24"/>
      <c r="D35" s="24" t="n">
        <v>6612.54</v>
      </c>
      <c r="E35" s="25" t="n">
        <v>254621.26</v>
      </c>
      <c r="F35" s="27" t="n">
        <v>508873.68</v>
      </c>
      <c r="G35" s="31" t="n">
        <v>206042</v>
      </c>
      <c r="H35" s="24" t="n">
        <v>435675</v>
      </c>
      <c r="I35" s="184" t="n">
        <v>144</v>
      </c>
      <c r="J35" s="34" t="n">
        <f aca="false">'$'!C82</f>
        <v>6.333883</v>
      </c>
      <c r="K35" s="36" t="n">
        <f aca="false">SUM(C35:E35)/J35*100/G35</f>
        <v>20.0172113317371</v>
      </c>
      <c r="L35" s="37" t="n">
        <f aca="false">100*(H35/J35)/G35</f>
        <v>33.3838827401147</v>
      </c>
      <c r="M35" s="188" t="n">
        <f aca="false">F35/G35</f>
        <v>2.46975703982683</v>
      </c>
    </row>
    <row r="36" customFormat="false" ht="18.75" hidden="false" customHeight="true" outlineLevel="0" collapsed="false">
      <c r="A36" s="18" t="n">
        <v>2018</v>
      </c>
      <c r="B36" s="18" t="n">
        <v>10</v>
      </c>
      <c r="C36" s="24"/>
      <c r="D36" s="24" t="n">
        <v>6862.39</v>
      </c>
      <c r="E36" s="25" t="n">
        <v>251839.12</v>
      </c>
      <c r="F36" s="27" t="n">
        <v>520959.6</v>
      </c>
      <c r="G36" s="31" t="n">
        <v>244763</v>
      </c>
      <c r="H36" s="24" t="n">
        <v>449247</v>
      </c>
      <c r="I36" s="184" t="n">
        <v>147</v>
      </c>
      <c r="J36" s="34" t="n">
        <f aca="false">'$'!C83</f>
        <v>5.831909</v>
      </c>
      <c r="K36" s="36" t="n">
        <f aca="false">SUM(C36:E36)/J36*100/G36</f>
        <v>18.1235160737815</v>
      </c>
      <c r="L36" s="37" t="n">
        <f aca="false">100*(H36/J36)/G36</f>
        <v>31.4723142729167</v>
      </c>
      <c r="M36" s="188" t="n">
        <f aca="false">F36/G36</f>
        <v>2.128424639345</v>
      </c>
    </row>
    <row r="37" customFormat="false" ht="18.75" hidden="false" customHeight="true" outlineLevel="0" collapsed="false">
      <c r="A37" s="18" t="n">
        <v>2018</v>
      </c>
      <c r="B37" s="18" t="n">
        <v>11</v>
      </c>
      <c r="C37" s="24"/>
      <c r="D37" s="24" t="n">
        <v>5799.08</v>
      </c>
      <c r="E37" s="25" t="n">
        <v>266427.75</v>
      </c>
      <c r="F37" s="27" t="n">
        <v>611503.2</v>
      </c>
      <c r="G37" s="55" t="n">
        <v>308648</v>
      </c>
      <c r="H37" s="24" t="n">
        <v>468964</v>
      </c>
      <c r="I37" s="184" t="n">
        <v>151</v>
      </c>
      <c r="J37" s="34" t="n">
        <f aca="false">'$'!C84</f>
        <v>5.374481</v>
      </c>
      <c r="K37" s="36" t="n">
        <f aca="false">SUM(C37:E37)/J37*100/G37</f>
        <v>16.4108443699894</v>
      </c>
      <c r="L37" s="191" t="n">
        <f aca="false">100*(H37/J37)/G37</f>
        <v>28.2708916646008</v>
      </c>
      <c r="M37" s="188" t="n">
        <f aca="false">F37/G37</f>
        <v>1.98123169435733</v>
      </c>
    </row>
    <row r="38" customFormat="false" ht="18.75" hidden="false" customHeight="true" outlineLevel="0" collapsed="false">
      <c r="A38" s="18" t="n">
        <v>2018</v>
      </c>
      <c r="B38" s="18" t="n">
        <v>12</v>
      </c>
      <c r="C38" s="24"/>
      <c r="D38" s="24" t="n">
        <v>5833.95</v>
      </c>
      <c r="E38" s="25" t="n">
        <v>237154.97</v>
      </c>
      <c r="F38" s="27" t="n">
        <v>597597.84</v>
      </c>
      <c r="G38" s="31" t="n">
        <v>250822</v>
      </c>
      <c r="H38" s="24" t="n">
        <v>449107</v>
      </c>
      <c r="I38" s="184" t="n">
        <v>151</v>
      </c>
      <c r="J38" s="34" t="n">
        <f aca="false">'$'!C85</f>
        <v>5.309368</v>
      </c>
      <c r="K38" s="36" t="n">
        <f aca="false">SUM(C38:E38)/J38*100/G38</f>
        <v>18.2464346612686</v>
      </c>
      <c r="L38" s="37" t="n">
        <f aca="false">100*(H38/J38)/G38</f>
        <v>33.7241777584688</v>
      </c>
      <c r="M38" s="188" t="n">
        <f aca="false">F38/G38</f>
        <v>2.38255751090415</v>
      </c>
    </row>
    <row r="39" customFormat="false" ht="18.75" hidden="false" customHeight="true" outlineLevel="0" collapsed="false">
      <c r="A39" s="18" t="n">
        <v>2019</v>
      </c>
      <c r="B39" s="18" t="n">
        <v>1</v>
      </c>
      <c r="C39" s="24"/>
      <c r="D39" s="24" t="n">
        <f aca="false">4883.95+366.06</f>
        <v>5250.01</v>
      </c>
      <c r="E39" s="25" t="n">
        <v>156421.72</v>
      </c>
      <c r="F39" s="27" t="n">
        <v>411717.6</v>
      </c>
      <c r="G39" s="31" t="n">
        <v>174712</v>
      </c>
      <c r="H39" s="24" t="n">
        <v>495458</v>
      </c>
      <c r="I39" s="184" t="n">
        <v>149</v>
      </c>
      <c r="J39" s="34" t="n">
        <f aca="false">'$'!C86</f>
        <v>5.36303</v>
      </c>
      <c r="K39" s="36" t="n">
        <f aca="false">SUM(C39:E39)/J39*100/G39</f>
        <v>17.2544501432111</v>
      </c>
      <c r="L39" s="37" t="n">
        <f aca="false">100*(H39/J39)/G39</f>
        <v>52.8778615720577</v>
      </c>
      <c r="M39" s="188" t="n">
        <f aca="false">F39/G39</f>
        <v>2.35655020834287</v>
      </c>
    </row>
    <row r="40" customFormat="false" ht="18.75" hidden="false" customHeight="true" outlineLevel="0" collapsed="false">
      <c r="A40" s="18" t="n">
        <v>2019</v>
      </c>
      <c r="B40" s="18" t="n">
        <v>2</v>
      </c>
      <c r="C40" s="24"/>
      <c r="D40" s="24" t="n">
        <f aca="false">26.15+5822.33</f>
        <v>5848.48</v>
      </c>
      <c r="E40" s="25" t="n">
        <v>246131</v>
      </c>
      <c r="F40" s="27" t="n">
        <v>559026.72</v>
      </c>
      <c r="G40" s="31" t="n">
        <v>236548</v>
      </c>
      <c r="H40" s="24" t="n">
        <v>500444</v>
      </c>
      <c r="I40" s="184" t="n">
        <v>149</v>
      </c>
      <c r="J40" s="34" t="n">
        <f aca="false">'$'!C87</f>
        <v>5.269724</v>
      </c>
      <c r="K40" s="36" t="n">
        <f aca="false">SUM(C40:E40)/J40*100/G40</f>
        <v>20.2142682723972</v>
      </c>
      <c r="L40" s="37" t="n">
        <f aca="false">100*(H40/J40)/G40</f>
        <v>40.1465598361881</v>
      </c>
      <c r="M40" s="188" t="n">
        <f aca="false">F40/G40</f>
        <v>2.36326969579113</v>
      </c>
    </row>
    <row r="41" customFormat="false" ht="18.75" hidden="false" customHeight="true" outlineLevel="0" collapsed="false">
      <c r="A41" s="18" t="n">
        <v>2019</v>
      </c>
      <c r="B41" s="18" t="n">
        <v>3</v>
      </c>
      <c r="C41" s="24"/>
      <c r="D41" s="24" t="n">
        <v>5467.89</v>
      </c>
      <c r="E41" s="25" t="n">
        <v>243077.86</v>
      </c>
      <c r="F41" s="27" t="n">
        <v>539380.8</v>
      </c>
      <c r="G41" s="31" t="n">
        <v>182197</v>
      </c>
      <c r="H41" s="24" t="n">
        <v>534135</v>
      </c>
      <c r="I41" s="184" t="n">
        <v>149</v>
      </c>
      <c r="J41" s="34" t="n">
        <f aca="false">'$'!C88</f>
        <v>5.476742</v>
      </c>
      <c r="K41" s="36" t="n">
        <f aca="false">SUM(C41:E41)/J41*100/G41</f>
        <v>24.9082282658633</v>
      </c>
      <c r="L41" s="37" t="n">
        <f aca="false">100*(H41/J41)/G41</f>
        <v>53.5288030665859</v>
      </c>
      <c r="M41" s="188" t="n">
        <f aca="false">F41/G41</f>
        <v>2.96042635169624</v>
      </c>
    </row>
    <row r="42" customFormat="false" ht="18.75" hidden="false" customHeight="true" outlineLevel="0" collapsed="false">
      <c r="A42" s="18" t="n">
        <v>2019</v>
      </c>
      <c r="B42" s="18" t="n">
        <v>4</v>
      </c>
      <c r="C42" s="24"/>
      <c r="D42" s="24" t="n">
        <v>4204.13</v>
      </c>
      <c r="E42" s="25" t="n">
        <v>193562.54</v>
      </c>
      <c r="F42" s="27" t="n">
        <v>500693.76</v>
      </c>
      <c r="G42" s="31" t="n">
        <v>200309</v>
      </c>
      <c r="H42" s="24" t="n">
        <v>537056</v>
      </c>
      <c r="I42" s="184" t="n">
        <v>147</v>
      </c>
      <c r="J42" s="34" t="n">
        <f aca="false">'$'!C89</f>
        <v>5.764748</v>
      </c>
      <c r="K42" s="36" t="n">
        <f aca="false">SUM(C42:E42)/J42*100/G42</f>
        <v>17.1266455914991</v>
      </c>
      <c r="L42" s="37" t="n">
        <f aca="false">100*(H42/J42)/G42</f>
        <v>46.5091907285901</v>
      </c>
      <c r="M42" s="188" t="n">
        <f aca="false">F42/G42</f>
        <v>2.49960690732818</v>
      </c>
    </row>
    <row r="43" customFormat="false" ht="18.75" hidden="false" customHeight="true" outlineLevel="0" collapsed="false">
      <c r="A43" s="18" t="n">
        <v>2019</v>
      </c>
      <c r="B43" s="18" t="n">
        <v>5</v>
      </c>
      <c r="C43" s="24"/>
      <c r="D43" s="192" t="n">
        <f aca="false">AVERAGE(D37:D42)</f>
        <v>5400.59</v>
      </c>
      <c r="E43" s="25" t="n">
        <v>220777.76</v>
      </c>
      <c r="F43" s="27" t="n">
        <v>496636.56</v>
      </c>
      <c r="G43" s="31" t="n">
        <v>212463</v>
      </c>
      <c r="H43" s="24" t="n">
        <f aca="false">324418+138687</f>
        <v>463105</v>
      </c>
      <c r="I43" s="184" t="n">
        <v>144</v>
      </c>
      <c r="J43" s="34" t="n">
        <f aca="false">'$'!C90</f>
        <v>6.044426</v>
      </c>
      <c r="K43" s="36" t="n">
        <f aca="false">SUM(C43:E43)/J43*100/G43</f>
        <v>17.612161411705</v>
      </c>
      <c r="L43" s="37" t="n">
        <f aca="false">100*(H43/J43)/G43</f>
        <v>36.0612764686259</v>
      </c>
      <c r="M43" s="188" t="n">
        <f aca="false">F43/G43</f>
        <v>2.3375202270513</v>
      </c>
    </row>
    <row r="44" customFormat="false" ht="18.75" hidden="false" customHeight="true" outlineLevel="0" collapsed="false">
      <c r="A44" s="18" t="n">
        <v>2019</v>
      </c>
      <c r="B44" s="18" t="n">
        <v>6</v>
      </c>
      <c r="C44" s="24"/>
      <c r="D44" s="24" t="n">
        <v>5372.02</v>
      </c>
      <c r="E44" s="25" t="n">
        <f aca="false">207345.95+16627.11</f>
        <v>223973.06</v>
      </c>
      <c r="F44" s="27" t="n">
        <v>357240.24</v>
      </c>
      <c r="G44" s="31" t="n">
        <v>126408</v>
      </c>
      <c r="H44" s="24" t="n">
        <v>446499</v>
      </c>
      <c r="I44" s="184" t="n">
        <v>144</v>
      </c>
      <c r="J44" s="34" t="n">
        <f aca="false">'$'!C91</f>
        <v>5.820426</v>
      </c>
      <c r="K44" s="36" t="n">
        <f aca="false">SUM(C44:E44)/J44*100/G44</f>
        <v>31.1716718572113</v>
      </c>
      <c r="L44" s="37" t="n">
        <f aca="false">100*(H44/J44)/G44</f>
        <v>60.6863696948415</v>
      </c>
      <c r="M44" s="188" t="n">
        <f aca="false">F44/G44</f>
        <v>2.82608885513575</v>
      </c>
    </row>
    <row r="45" customFormat="false" ht="18.75" hidden="false" customHeight="true" outlineLevel="0" collapsed="false">
      <c r="A45" s="18" t="n">
        <v>2019</v>
      </c>
      <c r="B45" s="18" t="n">
        <v>7</v>
      </c>
      <c r="C45" s="24"/>
      <c r="D45" s="24" t="n">
        <v>6392.13</v>
      </c>
      <c r="E45" s="25" t="n">
        <v>246102.35</v>
      </c>
      <c r="F45" s="27" t="n">
        <v>484964.08</v>
      </c>
      <c r="G45" s="31" t="n">
        <v>210001</v>
      </c>
      <c r="H45" s="24" t="n">
        <v>536181</v>
      </c>
      <c r="I45" s="184" t="n">
        <v>142</v>
      </c>
      <c r="J45" s="34" t="n">
        <f aca="false">'$'!C92</f>
        <v>5.676879</v>
      </c>
      <c r="K45" s="36" t="n">
        <f aca="false">SUM(C45:E45)/J45*100/G45</f>
        <v>21.1797528394655</v>
      </c>
      <c r="L45" s="37" t="n">
        <f aca="false">100*(H45/J45)/G45</f>
        <v>44.9759577208081</v>
      </c>
      <c r="M45" s="188" t="n">
        <f aca="false">F45/G45</f>
        <v>2.30934176503921</v>
      </c>
    </row>
    <row r="46" customFormat="false" ht="18.75" hidden="false" customHeight="true" outlineLevel="0" collapsed="false">
      <c r="A46" s="18" t="n">
        <v>2019</v>
      </c>
      <c r="B46" s="18" t="n">
        <v>8</v>
      </c>
      <c r="C46" s="24"/>
      <c r="D46" s="24" t="n">
        <v>6690.73</v>
      </c>
      <c r="E46" s="25" t="n">
        <v>214682.96</v>
      </c>
      <c r="F46" s="27" t="n">
        <v>421616.16</v>
      </c>
      <c r="G46" s="31" t="n">
        <v>195239</v>
      </c>
      <c r="H46" s="24" t="n">
        <v>518092</v>
      </c>
      <c r="I46" s="184" t="n">
        <v>140</v>
      </c>
      <c r="J46" s="34" t="n">
        <f aca="false">'$'!C93</f>
        <v>5.641561</v>
      </c>
      <c r="K46" s="36" t="n">
        <f aca="false">SUM(C46:E46)/J46*100/G46</f>
        <v>20.0983378003057</v>
      </c>
      <c r="L46" s="37" t="n">
        <f aca="false">100*(H46/J46)/G46</f>
        <v>47.0371525524825</v>
      </c>
      <c r="M46" s="188" t="n">
        <f aca="false">F46/G46</f>
        <v>2.15948739749743</v>
      </c>
    </row>
    <row r="47" customFormat="false" ht="18.75" hidden="false" customHeight="true" outlineLevel="0" collapsed="false">
      <c r="A47" s="18" t="n">
        <v>2019</v>
      </c>
      <c r="B47" s="18" t="n">
        <v>9</v>
      </c>
      <c r="C47" s="24"/>
      <c r="D47" s="24" t="n">
        <v>7210.91</v>
      </c>
      <c r="E47" s="25" t="n">
        <v>211387.88</v>
      </c>
      <c r="F47" s="27" t="n">
        <v>448549.92</v>
      </c>
      <c r="G47" s="31" t="n">
        <v>201624</v>
      </c>
      <c r="H47" s="24" t="n">
        <v>499463</v>
      </c>
      <c r="I47" s="184" t="n">
        <v>137</v>
      </c>
      <c r="J47" s="34" t="n">
        <f aca="false">'$'!C94</f>
        <v>5.719617</v>
      </c>
      <c r="K47" s="36" t="n">
        <f aca="false">SUM(C47:E47)/J47*100/G47</f>
        <v>18.955645536485</v>
      </c>
      <c r="L47" s="37" t="n">
        <f aca="false">100*(H47/J47)/G47</f>
        <v>43.3105946587783</v>
      </c>
      <c r="M47" s="188" t="n">
        <f aca="false">F47/G47</f>
        <v>2.22468515652898</v>
      </c>
    </row>
    <row r="48" customFormat="false" ht="18.75" hidden="false" customHeight="true" outlineLevel="0" collapsed="false">
      <c r="A48" s="18" t="n">
        <v>2019</v>
      </c>
      <c r="B48" s="18" t="n">
        <v>10</v>
      </c>
      <c r="C48" s="24"/>
      <c r="D48" s="24" t="n">
        <v>6179.78</v>
      </c>
      <c r="E48" s="25" t="n">
        <v>221915.44</v>
      </c>
      <c r="F48" s="27" t="n">
        <v>477237.6</v>
      </c>
      <c r="G48" s="31" t="n">
        <v>215949</v>
      </c>
      <c r="H48" s="24" t="n">
        <v>572357</v>
      </c>
      <c r="I48" s="184" t="n">
        <v>134</v>
      </c>
      <c r="J48" s="34" t="n">
        <f aca="false">'$'!C95</f>
        <v>5.792574</v>
      </c>
      <c r="K48" s="36" t="n">
        <f aca="false">SUM(C48:E48)/J48*100/G48</f>
        <v>18.23448056518</v>
      </c>
      <c r="L48" s="37" t="n">
        <f aca="false">100*(H48/J48)/G48</f>
        <v>45.7555953730409</v>
      </c>
      <c r="M48" s="188" t="n">
        <f aca="false">F48/G48</f>
        <v>2.20995512829418</v>
      </c>
    </row>
    <row r="49" customFormat="false" ht="18.75" hidden="false" customHeight="true" outlineLevel="0" collapsed="false">
      <c r="A49" s="18" t="n">
        <v>2019</v>
      </c>
      <c r="B49" s="18" t="n">
        <v>11</v>
      </c>
      <c r="C49" s="24"/>
      <c r="D49" s="24" t="n">
        <v>6167.47</v>
      </c>
      <c r="E49" s="25" t="n">
        <v>247253.58</v>
      </c>
      <c r="F49" s="27" t="n">
        <v>519074.64</v>
      </c>
      <c r="G49" s="31" t="n">
        <v>231415</v>
      </c>
      <c r="H49" s="24" t="n">
        <v>567489</v>
      </c>
      <c r="I49" s="184" t="n">
        <v>144</v>
      </c>
      <c r="J49" s="34" t="n">
        <f aca="false">'$'!C96</f>
        <v>5.740255</v>
      </c>
      <c r="K49" s="36" t="n">
        <f aca="false">SUM(C49:E49)/J49*100/G49</f>
        <v>19.0774355292218</v>
      </c>
      <c r="L49" s="37" t="n">
        <f aca="false">100*(H49/J49)/G49</f>
        <v>42.7203454923834</v>
      </c>
      <c r="M49" s="188" t="n">
        <f aca="false">F49/G49</f>
        <v>2.24304664779725</v>
      </c>
    </row>
    <row r="50" customFormat="false" ht="18.75" hidden="false" customHeight="true" outlineLevel="0" collapsed="false">
      <c r="A50" s="18" t="n">
        <v>2019</v>
      </c>
      <c r="B50" s="18" t="n">
        <v>12</v>
      </c>
      <c r="C50" s="24"/>
      <c r="D50" s="24" t="n">
        <v>5690.38</v>
      </c>
      <c r="E50" s="25" t="n">
        <v>265784.69</v>
      </c>
      <c r="F50" s="27" t="n">
        <v>580834.8</v>
      </c>
      <c r="G50" s="31" t="n">
        <f aca="false">239807.8</f>
        <v>239807.8</v>
      </c>
      <c r="H50" s="24" t="n">
        <v>603642</v>
      </c>
      <c r="I50" s="184" t="n">
        <v>147</v>
      </c>
      <c r="J50" s="34" t="n">
        <f aca="false">'$'!C97</f>
        <v>5.853509</v>
      </c>
      <c r="K50" s="36" t="n">
        <f aca="false">SUM(C50:E50)/J50*100/G50</f>
        <v>19.3397278546201</v>
      </c>
      <c r="L50" s="37" t="n">
        <f aca="false">100*(H50/J50)/G50</f>
        <v>43.0031089102163</v>
      </c>
      <c r="M50" s="188" t="n">
        <f aca="false">F50/G50</f>
        <v>2.42208468615283</v>
      </c>
    </row>
    <row r="51" customFormat="false" ht="18.75" hidden="false" customHeight="true" outlineLevel="0" collapsed="false">
      <c r="A51" s="18" t="n">
        <v>2020</v>
      </c>
      <c r="B51" s="18" t="n">
        <v>1</v>
      </c>
      <c r="C51" s="24"/>
      <c r="D51" s="24" t="n">
        <f aca="false">6084.37+3.08</f>
        <v>6087.45</v>
      </c>
      <c r="E51" s="25" t="n">
        <v>271365.33</v>
      </c>
      <c r="F51" s="27" t="n">
        <v>558603.36</v>
      </c>
      <c r="G51" s="31" t="n">
        <v>226956</v>
      </c>
      <c r="H51" s="24" t="n">
        <v>652472</v>
      </c>
      <c r="I51" s="184" t="n">
        <v>151</v>
      </c>
      <c r="J51" s="34" t="n">
        <f aca="false">'$'!C98</f>
        <v>5.924601</v>
      </c>
      <c r="K51" s="36" t="n">
        <f aca="false">SUM(C51:E51)/J51*100/G51</f>
        <v>20.634231778468</v>
      </c>
      <c r="L51" s="37" t="n">
        <f aca="false">100*(H51/J51)/G51</f>
        <v>48.524503798306</v>
      </c>
      <c r="M51" s="188" t="n">
        <f aca="false">F51/G51</f>
        <v>2.46128483053984</v>
      </c>
    </row>
    <row r="52" customFormat="false" ht="18.75" hidden="false" customHeight="true" outlineLevel="0" collapsed="false">
      <c r="A52" s="18" t="n">
        <v>2020</v>
      </c>
      <c r="B52" s="18" t="n">
        <v>2</v>
      </c>
      <c r="C52" s="24"/>
      <c r="D52" s="24" t="n">
        <v>5080.94</v>
      </c>
      <c r="E52" s="25" t="n">
        <v>369944.32</v>
      </c>
      <c r="F52" s="27" t="n">
        <v>550635.12</v>
      </c>
      <c r="G52" s="31" t="n">
        <v>226478</v>
      </c>
      <c r="H52" s="24" t="n">
        <v>670592</v>
      </c>
      <c r="I52" s="184" t="n">
        <v>157</v>
      </c>
      <c r="J52" s="34" t="n">
        <f aca="false">'$'!C99</f>
        <v>6.057833</v>
      </c>
      <c r="K52" s="36" t="n">
        <f aca="false">SUM(C52:E52)/J52*100/G52</f>
        <v>27.3348819679658</v>
      </c>
      <c r="L52" s="37" t="n">
        <f aca="false">100*(H52/J52)/G52</f>
        <v>48.8781826820469</v>
      </c>
      <c r="M52" s="188" t="n">
        <f aca="false">F52/G52</f>
        <v>2.43129628484886</v>
      </c>
    </row>
    <row r="53" customFormat="false" ht="18.75" hidden="false" customHeight="true" outlineLevel="0" collapsed="false">
      <c r="A53" s="18" t="n">
        <v>2020</v>
      </c>
      <c r="B53" s="18" t="n">
        <v>3</v>
      </c>
      <c r="C53" s="24"/>
      <c r="D53" s="24" t="n">
        <v>1615.95</v>
      </c>
      <c r="E53" s="25" t="n">
        <v>271146.24</v>
      </c>
      <c r="F53" s="27" t="n">
        <v>587956.32</v>
      </c>
      <c r="G53" s="31" t="n">
        <v>215107</v>
      </c>
      <c r="H53" s="24" t="n">
        <v>692612</v>
      </c>
      <c r="I53" s="184" t="n">
        <v>179</v>
      </c>
      <c r="J53" s="34" t="n">
        <f aca="false">'$'!C100</f>
        <v>6.335075</v>
      </c>
      <c r="K53" s="36" t="n">
        <f aca="false">SUM(C53:E53)/J53*100/G53</f>
        <v>20.0160263706987</v>
      </c>
      <c r="L53" s="37" t="n">
        <f aca="false">100*(H53/J53)/G53</f>
        <v>50.8257396549807</v>
      </c>
      <c r="M53" s="188" t="n">
        <f aca="false">F53/G53</f>
        <v>2.73332025457098</v>
      </c>
    </row>
    <row r="54" customFormat="false" ht="18.75" hidden="false" customHeight="true" outlineLevel="0" collapsed="false">
      <c r="A54" s="18" t="n">
        <v>2020</v>
      </c>
      <c r="B54" s="18" t="n">
        <v>4</v>
      </c>
      <c r="C54" s="24"/>
      <c r="D54" s="24" t="n">
        <v>3960.69</v>
      </c>
      <c r="E54" s="25" t="n">
        <v>252578.37</v>
      </c>
      <c r="F54" s="27" t="n">
        <v>409963.68</v>
      </c>
      <c r="G54" s="31" t="n">
        <v>162311</v>
      </c>
      <c r="H54" s="24" t="n">
        <v>635714</v>
      </c>
      <c r="I54" s="184" t="n">
        <v>168</v>
      </c>
      <c r="J54" s="34" t="n">
        <f aca="false">'$'!C101</f>
        <v>6.839434</v>
      </c>
      <c r="K54" s="36" t="n">
        <f aca="false">SUM(C54:E54)/J54*100/G54</f>
        <v>23.1092250838599</v>
      </c>
      <c r="L54" s="37" t="n">
        <f aca="false">100*(H54/J54)/G54</f>
        <v>57.2655794207748</v>
      </c>
      <c r="M54" s="188" t="n">
        <f aca="false">F54/G54</f>
        <v>2.52579110473104</v>
      </c>
    </row>
    <row r="55" customFormat="false" ht="18.75" hidden="false" customHeight="true" outlineLevel="0" collapsed="false">
      <c r="A55" s="18" t="n">
        <v>2020</v>
      </c>
      <c r="B55" s="18" t="n">
        <v>5</v>
      </c>
      <c r="C55" s="24"/>
      <c r="D55" s="24" t="n">
        <v>3883.6</v>
      </c>
      <c r="E55" s="25" t="n">
        <v>173815.29</v>
      </c>
      <c r="F55" s="27" t="n">
        <v>298645.2</v>
      </c>
      <c r="G55" s="31" t="n">
        <v>118364</v>
      </c>
      <c r="H55" s="24" t="n">
        <v>436613</v>
      </c>
      <c r="I55" s="184" t="n">
        <v>164</v>
      </c>
      <c r="J55" s="34" t="n">
        <f aca="false">'$'!C102</f>
        <v>6.931656</v>
      </c>
      <c r="K55" s="36" t="n">
        <f aca="false">SUM(C55:E55)/J55*100/G55</f>
        <v>21.6584852655743</v>
      </c>
      <c r="L55" s="37" t="n">
        <f aca="false">100*(H55/J55)/G55</f>
        <v>53.2157304261056</v>
      </c>
      <c r="M55" s="188" t="n">
        <f aca="false">F55/G55</f>
        <v>2.52310837754723</v>
      </c>
    </row>
    <row r="56" customFormat="false" ht="18.75" hidden="false" customHeight="true" outlineLevel="0" collapsed="false">
      <c r="A56" s="18" t="n">
        <v>2020</v>
      </c>
      <c r="B56" s="18" t="n">
        <v>6</v>
      </c>
      <c r="C56" s="24"/>
      <c r="D56" s="24" t="n">
        <v>4831.62</v>
      </c>
      <c r="E56" s="25" t="n">
        <v>286294.86</v>
      </c>
      <c r="F56" s="27" t="n">
        <v>504443.52</v>
      </c>
      <c r="G56" s="31" t="n">
        <v>234547</v>
      </c>
      <c r="H56" s="24" t="n">
        <v>573665</v>
      </c>
      <c r="I56" s="184" t="n">
        <v>161</v>
      </c>
      <c r="J56" s="34" t="n">
        <f aca="false">'$'!C103</f>
        <v>6.816762</v>
      </c>
      <c r="K56" s="36" t="n">
        <f aca="false">SUM(C56:E56)/J56*100/G56</f>
        <v>18.2084800905987</v>
      </c>
      <c r="L56" s="37" t="n">
        <f aca="false">100*(H56/J56)/G56</f>
        <v>35.8798269782031</v>
      </c>
      <c r="M56" s="188" t="n">
        <f aca="false">F56/G56</f>
        <v>2.1507140146751</v>
      </c>
    </row>
    <row r="57" customFormat="false" ht="18.75" hidden="false" customHeight="true" outlineLevel="0" collapsed="false">
      <c r="A57" s="18" t="n">
        <v>2020</v>
      </c>
      <c r="B57" s="18" t="n">
        <v>7</v>
      </c>
      <c r="C57" s="24"/>
      <c r="D57" s="24" t="n">
        <v>11492.42</v>
      </c>
      <c r="E57" s="25" t="n">
        <v>212395.07</v>
      </c>
      <c r="F57" s="27" t="n">
        <v>428132.88</v>
      </c>
      <c r="G57" s="31" t="n">
        <v>172828</v>
      </c>
      <c r="H57" s="24" t="n">
        <v>460541</v>
      </c>
      <c r="I57" s="184" t="n">
        <v>154</v>
      </c>
      <c r="J57" s="34" t="n">
        <f aca="false">'$'!C104</f>
        <v>6.867708</v>
      </c>
      <c r="K57" s="36" t="n">
        <f aca="false">SUM(C57:E57)/J57*100/G57</f>
        <v>18.8627019125373</v>
      </c>
      <c r="L57" s="37" t="n">
        <f aca="false">100*(H57/J57)/G57</f>
        <v>38.8009513238182</v>
      </c>
      <c r="M57" s="188" t="n">
        <f aca="false">F57/G57</f>
        <v>2.47721943203648</v>
      </c>
    </row>
    <row r="58" customFormat="false" ht="18.75" hidden="false" customHeight="true" outlineLevel="0" collapsed="false">
      <c r="A58" s="18" t="n">
        <v>2020</v>
      </c>
      <c r="B58" s="18" t="n">
        <v>8</v>
      </c>
      <c r="C58" s="24"/>
      <c r="D58" s="24" t="n">
        <v>12144.95</v>
      </c>
      <c r="E58" s="25" t="n">
        <v>222613.88</v>
      </c>
      <c r="F58" s="27" t="n">
        <v>417110.4</v>
      </c>
      <c r="G58" s="31" t="n">
        <v>183842</v>
      </c>
      <c r="H58" s="24" t="n">
        <v>641681</v>
      </c>
      <c r="I58" s="184" t="n">
        <v>145</v>
      </c>
      <c r="J58" s="34" t="n">
        <f aca="false">'$'!C105</f>
        <v>7.26562</v>
      </c>
      <c r="K58" s="36" t="n">
        <f aca="false">SUM(C58:E58)/J58*100/G58</f>
        <v>17.5753717685029</v>
      </c>
      <c r="L58" s="37" t="n">
        <f aca="false">100*(H58/J58)/G58</f>
        <v>48.0398634282882</v>
      </c>
      <c r="M58" s="188" t="n">
        <f aca="false">F58/G58</f>
        <v>2.26885260169058</v>
      </c>
    </row>
    <row r="59" customFormat="false" ht="18.75" hidden="false" customHeight="true" outlineLevel="0" collapsed="false">
      <c r="A59" s="18" t="n">
        <v>2020</v>
      </c>
      <c r="B59" s="18" t="n">
        <v>9</v>
      </c>
      <c r="C59" s="24"/>
      <c r="D59" s="24" t="n">
        <v>7651.81</v>
      </c>
      <c r="E59" s="25" t="n">
        <v>263677.29</v>
      </c>
      <c r="F59" s="27" t="n">
        <v>512961.12</v>
      </c>
      <c r="G59" s="31" t="n">
        <v>210953</v>
      </c>
      <c r="H59" s="24" t="n">
        <v>673181</v>
      </c>
      <c r="I59" s="184" t="n">
        <v>167</v>
      </c>
      <c r="J59" s="34" t="n">
        <f aca="false">'$'!C106</f>
        <v>7.537593</v>
      </c>
      <c r="K59" s="36" t="n">
        <f aca="false">SUM(C59:E59)/J59*100/G59</f>
        <v>17.0638877180859</v>
      </c>
      <c r="L59" s="37" t="n">
        <f aca="false">100*(H59/J59)/G59</f>
        <v>42.3363546259829</v>
      </c>
      <c r="M59" s="188" t="n">
        <f aca="false">F59/G59</f>
        <v>2.43163699971084</v>
      </c>
    </row>
    <row r="60" customFormat="false" ht="18.75" hidden="false" customHeight="true" outlineLevel="0" collapsed="false">
      <c r="A60" s="18" t="n">
        <v>2020</v>
      </c>
      <c r="B60" s="18" t="n">
        <v>10</v>
      </c>
      <c r="C60" s="24"/>
      <c r="D60" s="24" t="n">
        <v>6182.86</v>
      </c>
      <c r="E60" s="25" t="n">
        <v>337368.5</v>
      </c>
      <c r="F60" s="27" t="n">
        <v>612380.16</v>
      </c>
      <c r="G60" s="31" t="n">
        <v>268549</v>
      </c>
      <c r="H60" s="24" t="n">
        <v>766036</v>
      </c>
      <c r="I60" s="184" t="n">
        <v>168</v>
      </c>
      <c r="J60" s="34" t="n">
        <f aca="false">'$'!C107</f>
        <v>7.930235</v>
      </c>
      <c r="K60" s="36" t="n">
        <f aca="false">SUM(C60:E60)/J60*100/G60</f>
        <v>16.1317720074438</v>
      </c>
      <c r="L60" s="37" t="n">
        <f aca="false">100*(H60/J60)/G60</f>
        <v>35.9699292166803</v>
      </c>
      <c r="M60" s="188" t="n">
        <f aca="false">F60/G60</f>
        <v>2.28032932537451</v>
      </c>
    </row>
    <row r="61" customFormat="false" ht="18.75" hidden="false" customHeight="true" outlineLevel="0" collapsed="false">
      <c r="A61" s="18" t="n">
        <v>2020</v>
      </c>
      <c r="B61" s="18" t="n">
        <v>11</v>
      </c>
      <c r="C61" s="24"/>
      <c r="D61" s="24" t="n">
        <v>4449.95</v>
      </c>
      <c r="E61" s="25" t="n">
        <v>305638.5</v>
      </c>
      <c r="F61" s="27" t="n">
        <v>602285.04</v>
      </c>
      <c r="G61" s="31" t="n">
        <v>283387</v>
      </c>
      <c r="H61" s="24" t="n">
        <v>733895</v>
      </c>
      <c r="I61" s="184" t="n">
        <v>174</v>
      </c>
      <c r="J61" s="34" t="n">
        <f aca="false">'$'!C108</f>
        <v>7.983238</v>
      </c>
      <c r="K61" s="193" t="n">
        <f aca="false">SUM(C61:E61)/J61*100/G61</f>
        <v>13.7065006066763</v>
      </c>
      <c r="L61" s="37" t="n">
        <f aca="false">100*(H61/J61)/G61</f>
        <v>32.4395580123565</v>
      </c>
      <c r="M61" s="188" t="n">
        <f aca="false">F61/G61</f>
        <v>2.12530934728834</v>
      </c>
    </row>
    <row r="62" customFormat="false" ht="18.75" hidden="false" customHeight="true" outlineLevel="0" collapsed="false">
      <c r="A62" s="18" t="n">
        <v>2020</v>
      </c>
      <c r="B62" s="18" t="n">
        <v>12</v>
      </c>
      <c r="C62" s="24"/>
      <c r="D62" s="24" t="n">
        <v>4080.59</v>
      </c>
      <c r="E62" s="25" t="n">
        <v>257441.01</v>
      </c>
      <c r="F62" s="27" t="n">
        <v>507880.8</v>
      </c>
      <c r="G62" s="31" t="n">
        <v>202746</v>
      </c>
      <c r="H62" s="24" t="n">
        <v>686087</v>
      </c>
      <c r="I62" s="184" t="n">
        <v>174</v>
      </c>
      <c r="J62" s="34" t="n">
        <f aca="false">'$'!C109</f>
        <v>7.718763</v>
      </c>
      <c r="K62" s="36" t="n">
        <f aca="false">SUM(C62:E62)/J62*100/G62</f>
        <v>16.7111971765033</v>
      </c>
      <c r="L62" s="37" t="n">
        <f aca="false">100*(H62/J62)/G62</f>
        <v>43.8408725598024</v>
      </c>
      <c r="M62" s="188" t="n">
        <f aca="false">F62/G62</f>
        <v>2.50501020981918</v>
      </c>
    </row>
    <row r="63" customFormat="false" ht="18.75" hidden="false" customHeight="true" outlineLevel="0" collapsed="false">
      <c r="A63" s="18" t="n">
        <v>2021</v>
      </c>
      <c r="B63" s="18" t="n">
        <v>1</v>
      </c>
      <c r="C63" s="24"/>
      <c r="D63" s="24" t="n">
        <v>6148.58</v>
      </c>
      <c r="E63" s="25" t="n">
        <v>336350.6</v>
      </c>
      <c r="F63" s="27" t="n">
        <v>670027.68</v>
      </c>
      <c r="G63" s="31" t="n">
        <v>285342</v>
      </c>
      <c r="H63" s="24" t="n">
        <v>973062</v>
      </c>
      <c r="I63" s="184" t="n">
        <v>175</v>
      </c>
      <c r="J63" s="34" t="n">
        <f aca="false">'$'!C110</f>
        <v>7.403641</v>
      </c>
      <c r="K63" s="36" t="n">
        <f aca="false">SUM(C63:E63)/J63*100/G63</f>
        <v>16.2124437882582</v>
      </c>
      <c r="L63" s="37" t="n">
        <f aca="false">100*(H63/J63)/G63</f>
        <v>46.0605861231262</v>
      </c>
      <c r="M63" s="188" t="n">
        <f aca="false">F63/G63</f>
        <v>2.34815652795593</v>
      </c>
    </row>
    <row r="64" customFormat="false" ht="18.75" hidden="false" customHeight="true" outlineLevel="0" collapsed="false">
      <c r="A64" s="18" t="n">
        <v>2021</v>
      </c>
      <c r="B64" s="18" t="n">
        <v>2</v>
      </c>
      <c r="C64" s="24"/>
      <c r="D64" s="24" t="n">
        <v>5742.29</v>
      </c>
      <c r="E64" s="25" t="n">
        <v>331228.1</v>
      </c>
      <c r="F64" s="27" t="n">
        <v>594790.56</v>
      </c>
      <c r="G64" s="31" t="n">
        <v>242512</v>
      </c>
      <c r="H64" s="24" t="n">
        <v>856175</v>
      </c>
      <c r="I64" s="184" t="n">
        <v>173</v>
      </c>
      <c r="J64" s="34" t="n">
        <f aca="false">'$'!C111</f>
        <v>7.099851</v>
      </c>
      <c r="K64" s="36" t="n">
        <f aca="false">SUM(C64:E64)/J64*100/G64</f>
        <v>19.5708312723852</v>
      </c>
      <c r="L64" s="37" t="n">
        <f aca="false">100*(H64/J64)/G64</f>
        <v>49.7256048658589</v>
      </c>
      <c r="M64" s="188" t="n">
        <f aca="false">F64/G64</f>
        <v>2.45262321039784</v>
      </c>
    </row>
    <row r="65" customFormat="false" ht="18.75" hidden="false" customHeight="true" outlineLevel="0" collapsed="false">
      <c r="A65" s="18" t="n">
        <v>2021</v>
      </c>
      <c r="B65" s="18" t="n">
        <v>3</v>
      </c>
      <c r="C65" s="24"/>
      <c r="D65" s="24" t="n">
        <v>6114.73</v>
      </c>
      <c r="E65" s="25" t="n">
        <v>392680.86</v>
      </c>
      <c r="F65" s="27" t="n">
        <v>662225.76</v>
      </c>
      <c r="G65" s="31" t="n">
        <v>241766</v>
      </c>
      <c r="H65" s="24" t="n">
        <v>928333</v>
      </c>
      <c r="I65" s="184" t="n">
        <v>171</v>
      </c>
      <c r="J65" s="34" t="n">
        <f aca="false">'$'!C112</f>
        <v>7.64142</v>
      </c>
      <c r="K65" s="36" t="n">
        <f aca="false">SUM(C65:E65)/J65*100/G65</f>
        <v>21.5864412965405</v>
      </c>
      <c r="L65" s="37" t="n">
        <f aca="false">100*(H65/J65)/G65</f>
        <v>50.2498179785322</v>
      </c>
      <c r="M65" s="188" t="n">
        <f aca="false">F65/G65</f>
        <v>2.73911865191962</v>
      </c>
    </row>
    <row r="66" customFormat="false" ht="18.75" hidden="false" customHeight="true" outlineLevel="0" collapsed="false">
      <c r="A66" s="18" t="n">
        <v>2021</v>
      </c>
      <c r="B66" s="18" t="n">
        <v>4</v>
      </c>
      <c r="C66" s="24"/>
      <c r="D66" s="24" t="n">
        <v>6826.82</v>
      </c>
      <c r="E66" s="25" t="n">
        <v>368802.73</v>
      </c>
      <c r="F66" s="27" t="n">
        <v>623442.96</v>
      </c>
      <c r="G66" s="31" t="n">
        <v>240328</v>
      </c>
      <c r="H66" s="24" t="n">
        <v>903837</v>
      </c>
      <c r="I66" s="184" t="n">
        <v>166</v>
      </c>
      <c r="J66" s="34" t="n">
        <f aca="false">'$'!C113</f>
        <v>8.183046</v>
      </c>
      <c r="K66" s="36" t="n">
        <f aca="false">SUM(C66:E66)/J66*100/G66</f>
        <v>19.1003086467838</v>
      </c>
      <c r="L66" s="37" t="n">
        <f aca="false">100*(H66/J66)/G66</f>
        <v>45.9590191090748</v>
      </c>
      <c r="M66" s="188" t="n">
        <f aca="false">F66/G66</f>
        <v>2.59413368396525</v>
      </c>
    </row>
    <row r="67" customFormat="false" ht="18.75" hidden="false" customHeight="true" outlineLevel="0" collapsed="false">
      <c r="A67" s="18" t="n">
        <v>2021</v>
      </c>
      <c r="B67" s="18" t="n">
        <v>5</v>
      </c>
      <c r="C67" s="24"/>
      <c r="D67" s="24" t="n">
        <v>7342.85</v>
      </c>
      <c r="E67" s="25" t="n">
        <v>424765.8</v>
      </c>
      <c r="F67" s="27" t="n">
        <v>622329.12</v>
      </c>
      <c r="G67" s="31" t="n">
        <v>262183</v>
      </c>
      <c r="H67" s="24" t="n">
        <v>1074364</v>
      </c>
      <c r="I67" s="184" t="n">
        <v>165</v>
      </c>
      <c r="J67" s="34" t="n">
        <f aca="false">'$'!C114</f>
        <v>8.384721</v>
      </c>
      <c r="K67" s="36" t="n">
        <f aca="false">SUM(C67:E67)/J67*100/G67</f>
        <v>19.6562114560181</v>
      </c>
      <c r="L67" s="37" t="n">
        <f aca="false">100*(H67/J67)/G67</f>
        <v>48.8717963982749</v>
      </c>
      <c r="M67" s="188" t="n">
        <f aca="false">F67/G67</f>
        <v>2.37364405777644</v>
      </c>
    </row>
    <row r="68" customFormat="false" ht="18.75" hidden="false" customHeight="true" outlineLevel="0" collapsed="false">
      <c r="A68" s="18" t="n">
        <v>2021</v>
      </c>
      <c r="B68" s="18" t="n">
        <v>6</v>
      </c>
      <c r="C68" s="24"/>
      <c r="D68" s="24" t="n">
        <f aca="false">8450.93+855.68</f>
        <v>9306.61</v>
      </c>
      <c r="E68" s="25" t="n">
        <v>400941.01</v>
      </c>
      <c r="F68" s="27" t="n">
        <v>585814.32</v>
      </c>
      <c r="G68" s="31" t="n">
        <v>279884</v>
      </c>
      <c r="H68" s="24" t="n">
        <v>901621</v>
      </c>
      <c r="I68" s="184" t="n">
        <v>172</v>
      </c>
      <c r="J68" s="34" t="n">
        <f aca="false">'$'!C115</f>
        <v>8.631709</v>
      </c>
      <c r="K68" s="36" t="n">
        <f aca="false">SUM(C68:E68)/J68*100/G68</f>
        <v>16.9813106771025</v>
      </c>
      <c r="L68" s="37" t="n">
        <f aca="false">100*(H68/J68)/G68</f>
        <v>37.3206462818719</v>
      </c>
      <c r="M68" s="188" t="n">
        <f aca="false">F68/G68</f>
        <v>2.09306112532335</v>
      </c>
    </row>
    <row r="69" customFormat="false" ht="18.75" hidden="false" customHeight="true" outlineLevel="0" collapsed="false">
      <c r="A69" s="18" t="n">
        <v>2021</v>
      </c>
      <c r="B69" s="18" t="n">
        <v>7</v>
      </c>
      <c r="C69" s="24"/>
      <c r="D69" s="24" t="n">
        <f aca="false">7308.99</f>
        <v>7308.99</v>
      </c>
      <c r="E69" s="25" t="n">
        <v>369269.16</v>
      </c>
      <c r="F69" s="27" t="n">
        <v>469990.08</v>
      </c>
      <c r="G69" s="31" t="n">
        <v>217092</v>
      </c>
      <c r="H69" s="24" t="n">
        <v>921416</v>
      </c>
      <c r="I69" s="184" t="n">
        <v>165</v>
      </c>
      <c r="J69" s="34" t="n">
        <f aca="false">'$'!C116</f>
        <v>8.605101</v>
      </c>
      <c r="K69" s="36" t="n">
        <f aca="false">SUM(C69:E69)/J69*100/G69</f>
        <v>20.1583659857841</v>
      </c>
      <c r="L69" s="37" t="n">
        <f aca="false">100*(H69/J69)/G69</f>
        <v>49.3237352011986</v>
      </c>
      <c r="M69" s="188" t="n">
        <f aca="false">F69/G69</f>
        <v>2.16493505057764</v>
      </c>
    </row>
    <row r="70" customFormat="false" ht="18.75" hidden="false" customHeight="true" outlineLevel="0" collapsed="false">
      <c r="A70" s="18" t="n">
        <v>2021</v>
      </c>
      <c r="B70" s="18" t="n">
        <v>8</v>
      </c>
      <c r="C70" s="24"/>
      <c r="D70" s="24" t="n">
        <v>7286.2</v>
      </c>
      <c r="E70" s="25" t="n">
        <v>407840.56</v>
      </c>
      <c r="F70" s="27" t="n">
        <v>499332.96</v>
      </c>
      <c r="G70" s="31" t="n">
        <v>229942</v>
      </c>
      <c r="H70" s="24" t="n">
        <v>951382</v>
      </c>
      <c r="I70" s="184" t="n">
        <v>170</v>
      </c>
      <c r="J70" s="34" t="n">
        <f aca="false">'$'!C117</f>
        <v>8.484798</v>
      </c>
      <c r="K70" s="36" t="n">
        <f aca="false">SUM(C70:E70)/J70*100/G70</f>
        <v>21.2775156198152</v>
      </c>
      <c r="L70" s="37" t="n">
        <f aca="false">100*(H70/J70)/G70</f>
        <v>48.7635279532714</v>
      </c>
      <c r="M70" s="188" t="n">
        <f aca="false">F70/G70</f>
        <v>2.17156048046899</v>
      </c>
    </row>
    <row r="71" customFormat="false" ht="18.75" hidden="false" customHeight="true" outlineLevel="0" collapsed="false">
      <c r="A71" s="18" t="n">
        <v>2021</v>
      </c>
      <c r="B71" s="18" t="n">
        <v>9</v>
      </c>
      <c r="C71" s="24"/>
      <c r="D71" s="24" t="n">
        <v>7279.83</v>
      </c>
      <c r="E71" s="25" t="n">
        <v>310224.83</v>
      </c>
      <c r="F71" s="27" t="n">
        <v>421495.2</v>
      </c>
      <c r="G71" s="31" t="n">
        <v>174440</v>
      </c>
      <c r="H71" s="24" t="n">
        <v>890580</v>
      </c>
      <c r="I71" s="184" t="n">
        <v>160</v>
      </c>
      <c r="J71" s="34" t="n">
        <f aca="false">'$'!C118</f>
        <v>8.554109</v>
      </c>
      <c r="K71" s="36" t="n">
        <f aca="false">SUM(C71:E71)/J71*100/G71</f>
        <v>21.2779236336002</v>
      </c>
      <c r="L71" s="37" t="n">
        <f aca="false">100*(H71/J71)/G71</f>
        <v>59.6831971839772</v>
      </c>
      <c r="M71" s="188" t="n">
        <f aca="false">F71/G71</f>
        <v>2.41627608346709</v>
      </c>
    </row>
    <row r="72" customFormat="false" ht="18.75" hidden="false" customHeight="true" outlineLevel="0" collapsed="false">
      <c r="A72" s="18" t="n">
        <v>2021</v>
      </c>
      <c r="B72" s="18" t="n">
        <v>10</v>
      </c>
      <c r="C72" s="24"/>
      <c r="D72" s="24" t="n">
        <v>7326.35</v>
      </c>
      <c r="E72" s="25" t="n">
        <v>471322.68</v>
      </c>
      <c r="F72" s="27" t="n">
        <v>496162.8</v>
      </c>
      <c r="G72" s="31" t="n">
        <v>176503</v>
      </c>
      <c r="H72" s="24" t="n">
        <v>977327</v>
      </c>
      <c r="I72" s="184" t="n">
        <v>151</v>
      </c>
      <c r="J72" s="34" t="n">
        <f aca="false">'$'!C119</f>
        <v>9.219938</v>
      </c>
      <c r="K72" s="36" t="n">
        <f aca="false">SUM(C72:E72)/J72*100/G72</f>
        <v>29.4128488449648</v>
      </c>
      <c r="L72" s="37" t="n">
        <f aca="false">100*(H72/J72)/G72</f>
        <v>60.0564704437048</v>
      </c>
      <c r="M72" s="188" t="n">
        <f aca="false">F72/G72</f>
        <v>2.81107289961077</v>
      </c>
    </row>
    <row r="73" customFormat="false" ht="18.75" hidden="false" customHeight="true" outlineLevel="0" collapsed="false">
      <c r="A73" s="18" t="n">
        <v>2021</v>
      </c>
      <c r="B73" s="18" t="n">
        <v>11</v>
      </c>
      <c r="C73" s="24"/>
      <c r="D73" s="24" t="n">
        <f aca="false">7791.26+54.05</f>
        <v>7845.31</v>
      </c>
      <c r="E73" s="25" t="n">
        <v>492994.94</v>
      </c>
      <c r="F73" s="27" t="n">
        <v>473261.04</v>
      </c>
      <c r="G73" s="31" t="n">
        <v>181741</v>
      </c>
      <c r="H73" s="24" t="n">
        <v>854385</v>
      </c>
      <c r="I73" s="184" t="n">
        <v>146</v>
      </c>
      <c r="J73" s="34" t="n">
        <f aca="false">'$'!C120</f>
        <v>10.680956</v>
      </c>
      <c r="K73" s="36" t="n">
        <f aca="false">SUM(C73:E73)/J73*100/G73</f>
        <v>25.8009789420343</v>
      </c>
      <c r="L73" s="37" t="n">
        <f aca="false">100*(H73/J73)/G73</f>
        <v>44.0139733046416</v>
      </c>
      <c r="M73" s="188" t="n">
        <f aca="false">F73/G73</f>
        <v>2.604041135462</v>
      </c>
    </row>
    <row r="74" customFormat="false" ht="18.75" hidden="false" customHeight="true" outlineLevel="0" collapsed="false">
      <c r="A74" s="18" t="n">
        <v>2021</v>
      </c>
      <c r="B74" s="18" t="n">
        <v>12</v>
      </c>
      <c r="C74" s="24"/>
      <c r="D74" s="24" t="n">
        <v>7762.16</v>
      </c>
      <c r="E74" s="25" t="n">
        <v>590068.91</v>
      </c>
      <c r="F74" s="27" t="n">
        <v>456135.12</v>
      </c>
      <c r="G74" s="31" t="n">
        <v>204853</v>
      </c>
      <c r="H74" s="24" t="n">
        <v>890100</v>
      </c>
      <c r="I74" s="184" t="n">
        <v>145</v>
      </c>
      <c r="J74" s="34" t="n">
        <f aca="false">'$'!C121</f>
        <v>13.466856</v>
      </c>
      <c r="K74" s="36" t="n">
        <f aca="false">SUM(C74:E74)/J74*100/G74</f>
        <v>21.6705501755523</v>
      </c>
      <c r="L74" s="37" t="n">
        <f aca="false">100*(H74/J74)/G74</f>
        <v>32.2648950166794</v>
      </c>
      <c r="M74" s="188" t="n">
        <f aca="false">F74/G74</f>
        <v>2.22664603398535</v>
      </c>
    </row>
    <row r="75" customFormat="false" ht="18.75" hidden="false" customHeight="true" outlineLevel="0" collapsed="false">
      <c r="A75" s="18" t="n">
        <v>2022</v>
      </c>
      <c r="B75" s="18" t="n">
        <v>1</v>
      </c>
      <c r="C75" s="24"/>
      <c r="D75" s="24" t="n">
        <v>10002.89</v>
      </c>
      <c r="E75" s="25" t="n">
        <v>634990.36</v>
      </c>
      <c r="F75" s="27" t="n">
        <v>402650.64</v>
      </c>
      <c r="G75" s="31" t="n">
        <v>193119</v>
      </c>
      <c r="H75" s="24" t="n">
        <v>1259428</v>
      </c>
      <c r="I75" s="184" t="n">
        <v>144</v>
      </c>
      <c r="J75" s="34" t="n">
        <f aca="false">'$'!C122</f>
        <v>13.535066</v>
      </c>
      <c r="K75" s="36" t="n">
        <f aca="false">SUM(C75:E75)/J75*100/G75</f>
        <v>24.6757174060468</v>
      </c>
      <c r="L75" s="37" t="n">
        <f aca="false">100*(H75/J75)/G75</f>
        <v>48.1823482978507</v>
      </c>
      <c r="M75" s="188" t="n">
        <f aca="false">F75/G75</f>
        <v>2.08498718406785</v>
      </c>
    </row>
    <row r="76" customFormat="false" ht="18.75" hidden="false" customHeight="true" outlineLevel="0" collapsed="false">
      <c r="A76" s="18" t="n">
        <v>2022</v>
      </c>
      <c r="B76" s="18" t="n">
        <v>2</v>
      </c>
      <c r="C76" s="24"/>
      <c r="D76" s="24" t="n">
        <v>8253.56</v>
      </c>
      <c r="E76" s="25" t="n">
        <v>646143.56</v>
      </c>
      <c r="F76" s="27" t="n">
        <v>371024.64</v>
      </c>
      <c r="G76" s="31" t="n">
        <v>178171</v>
      </c>
      <c r="H76" s="24" t="n">
        <v>1145117</v>
      </c>
      <c r="I76" s="184" t="n">
        <v>144</v>
      </c>
      <c r="J76" s="34" t="n">
        <f aca="false">'$'!C123</f>
        <v>13.629202</v>
      </c>
      <c r="K76" s="36" t="n">
        <f aca="false">SUM(C76:E76)/J76*100/G76</f>
        <v>26.9484588534539</v>
      </c>
      <c r="L76" s="37" t="n">
        <f aca="false">100*(H76/J76)/G76</f>
        <v>47.1565925548245</v>
      </c>
      <c r="M76" s="188" t="n">
        <f aca="false">F76/G76</f>
        <v>2.08240757474561</v>
      </c>
    </row>
    <row r="77" customFormat="false" ht="18.75" hidden="false" customHeight="true" outlineLevel="0" collapsed="false">
      <c r="A77" s="18" t="n">
        <v>2022</v>
      </c>
      <c r="B77" s="18" t="n">
        <v>3</v>
      </c>
      <c r="C77" s="24"/>
      <c r="D77" s="24" t="n">
        <v>10753.16</v>
      </c>
      <c r="E77" s="25" t="n">
        <v>794290.14</v>
      </c>
      <c r="F77" s="27" t="n">
        <v>380150.88</v>
      </c>
      <c r="G77" s="31" t="n">
        <v>159360</v>
      </c>
      <c r="H77" s="24" t="n">
        <v>1217516</v>
      </c>
      <c r="I77" s="184" t="n">
        <v>142</v>
      </c>
      <c r="J77" s="34" t="n">
        <f aca="false">'$'!C124</f>
        <v>14.600894</v>
      </c>
      <c r="K77" s="36" t="n">
        <f aca="false">SUM(C77:E77)/J77*100/G77</f>
        <v>34.5987549470639</v>
      </c>
      <c r="L77" s="37" t="n">
        <f aca="false">100*(H77/J77)/G77</f>
        <v>52.3258037525801</v>
      </c>
      <c r="M77" s="188" t="n">
        <f aca="false">F77/G77</f>
        <v>2.38548493975904</v>
      </c>
    </row>
    <row r="78" customFormat="false" ht="18.75" hidden="false" customHeight="true" outlineLevel="0" collapsed="false">
      <c r="A78" s="18" t="n">
        <v>2022</v>
      </c>
      <c r="B78" s="18" t="n">
        <v>4</v>
      </c>
      <c r="C78" s="24"/>
      <c r="D78" s="24" t="n">
        <v>11043.86</v>
      </c>
      <c r="E78" s="25" t="n">
        <v>796611.92</v>
      </c>
      <c r="F78" s="27" t="n">
        <v>344040.48</v>
      </c>
      <c r="G78" s="31" t="n">
        <v>146851</v>
      </c>
      <c r="H78" s="24" t="n">
        <v>1048704</v>
      </c>
      <c r="I78" s="184" t="n">
        <v>142</v>
      </c>
      <c r="J78" s="34" t="n">
        <f aca="false">'$'!C125</f>
        <v>14.709928</v>
      </c>
      <c r="K78" s="36" t="n">
        <f aca="false">SUM(C78:E78)/J78*100/G78</f>
        <v>37.3885695845047</v>
      </c>
      <c r="L78" s="37" t="n">
        <f aca="false">100*(H78/J78)/G78</f>
        <v>48.5473433713908</v>
      </c>
      <c r="M78" s="188" t="n">
        <f aca="false">F78/G78</f>
        <v>2.3427860893014</v>
      </c>
    </row>
    <row r="79" customFormat="false" ht="18.75" hidden="false" customHeight="true" outlineLevel="0" collapsed="false">
      <c r="A79" s="18" t="n">
        <v>2022</v>
      </c>
      <c r="B79" s="18" t="n">
        <v>5</v>
      </c>
      <c r="C79" s="24"/>
      <c r="D79" s="24" t="n">
        <v>12249.6</v>
      </c>
      <c r="E79" s="25" t="n">
        <v>491458.27</v>
      </c>
      <c r="F79" s="27" t="n">
        <v>198223.2</v>
      </c>
      <c r="G79" s="31" t="n">
        <v>80140</v>
      </c>
      <c r="H79" s="24" t="n">
        <v>1317165</v>
      </c>
      <c r="I79" s="184" t="n">
        <v>121</v>
      </c>
      <c r="J79" s="34" t="n">
        <f aca="false">'$'!C126</f>
        <v>15.570749</v>
      </c>
      <c r="K79" s="36" t="n">
        <f aca="false">SUM(C79:E79)/J79*100/G79</f>
        <v>40.3663883749273</v>
      </c>
      <c r="L79" s="37" t="n">
        <f aca="false">100*(H79/J79)/G79</f>
        <v>105.555614892142</v>
      </c>
      <c r="M79" s="188" t="n">
        <f aca="false">F79/G79</f>
        <v>2.47346144247567</v>
      </c>
    </row>
    <row r="80" customFormat="false" ht="18.75" hidden="false" customHeight="true" outlineLevel="0" collapsed="false">
      <c r="A80" s="18" t="n">
        <v>2022</v>
      </c>
      <c r="B80" s="18" t="n">
        <v>6</v>
      </c>
      <c r="C80" s="24"/>
      <c r="D80" s="24" t="n">
        <v>19710.75</v>
      </c>
      <c r="E80" s="25" t="n">
        <v>628846.93</v>
      </c>
      <c r="F80" s="27" t="n">
        <v>213338.16</v>
      </c>
      <c r="G80" s="31" t="n">
        <v>103629.5</v>
      </c>
      <c r="H80" s="24" t="n">
        <v>1158418</v>
      </c>
      <c r="I80" s="184" t="n">
        <v>100</v>
      </c>
      <c r="J80" s="34" t="n">
        <f aca="false">'$'!C127</f>
        <v>16.965875</v>
      </c>
      <c r="K80" s="36" t="n">
        <f aca="false">SUM(C80:E80)/J80*100/G80</f>
        <v>36.8883254492279</v>
      </c>
      <c r="L80" s="37" t="n">
        <f aca="false">100*(H80/J80)/G80</f>
        <v>65.8878947979519</v>
      </c>
      <c r="M80" s="188" t="n">
        <f aca="false">F80/G80</f>
        <v>2.05866244650413</v>
      </c>
    </row>
    <row r="81" customFormat="false" ht="18.75" hidden="false" customHeight="true" outlineLevel="0" collapsed="false">
      <c r="A81" s="18" t="n">
        <v>2022</v>
      </c>
      <c r="B81" s="18" t="n">
        <v>7</v>
      </c>
      <c r="C81" s="24"/>
      <c r="D81" s="24" t="n">
        <v>15674.12</v>
      </c>
      <c r="E81" s="25" t="n">
        <v>495379.39</v>
      </c>
      <c r="F81" s="27" t="n">
        <v>163714.32</v>
      </c>
      <c r="G81" s="31" t="n">
        <v>87098</v>
      </c>
      <c r="H81" s="24" t="n">
        <v>1392907</v>
      </c>
      <c r="I81" s="184" t="n">
        <v>100</v>
      </c>
      <c r="J81" s="34" t="n">
        <f aca="false">'$'!C128</f>
        <v>17.410362</v>
      </c>
      <c r="K81" s="36" t="n">
        <f aca="false">SUM(C81:E81)/J81*100/G81</f>
        <v>33.7015900675285</v>
      </c>
      <c r="L81" s="37" t="n">
        <f aca="false">100*(H81/J81)/G81</f>
        <v>91.8557055134812</v>
      </c>
      <c r="M81" s="188" t="n">
        <f aca="false">F81/G81</f>
        <v>1.87965647890882</v>
      </c>
    </row>
    <row r="82" customFormat="false" ht="18.75" hidden="false" customHeight="true" outlineLevel="0" collapsed="false">
      <c r="A82" s="18" t="n">
        <v>2022</v>
      </c>
      <c r="B82" s="18" t="n">
        <v>8</v>
      </c>
      <c r="C82" s="24"/>
      <c r="D82" s="24" t="n">
        <v>12579.34</v>
      </c>
      <c r="E82" s="25" t="n">
        <v>615669.76</v>
      </c>
      <c r="F82" s="27" t="n">
        <v>161647.92</v>
      </c>
      <c r="G82" s="31" t="n">
        <v>81831</v>
      </c>
      <c r="H82" s="24" t="n">
        <v>749587</v>
      </c>
      <c r="I82" s="184" t="n">
        <v>70</v>
      </c>
      <c r="J82" s="34" t="n">
        <f aca="false">'$'!C129</f>
        <v>18.018529</v>
      </c>
      <c r="K82" s="36" t="n">
        <f aca="false">SUM(C82:E82)/J82*100/G82</f>
        <v>42.6083467682877</v>
      </c>
      <c r="L82" s="37" t="n">
        <f aca="false">100*(H82/J82)/G82</f>
        <v>50.8375783252224</v>
      </c>
      <c r="M82" s="188" t="n">
        <f aca="false">F82/G82</f>
        <v>1.97538732265278</v>
      </c>
    </row>
    <row r="83" customFormat="false" ht="18.75" hidden="false" customHeight="true" outlineLevel="0" collapsed="false">
      <c r="A83" s="18" t="n">
        <v>2022</v>
      </c>
      <c r="B83" s="18" t="n">
        <v>9</v>
      </c>
      <c r="C83" s="24"/>
      <c r="D83" s="24" t="n">
        <v>17088.08</v>
      </c>
      <c r="E83" s="25" t="n">
        <v>676036.08</v>
      </c>
      <c r="F83" s="27" t="n">
        <v>142087.68</v>
      </c>
      <c r="G83" s="31" t="n">
        <v>58458</v>
      </c>
      <c r="H83" s="24" t="n">
        <v>643140</v>
      </c>
      <c r="I83" s="184" t="n">
        <v>67</v>
      </c>
      <c r="J83" s="34" t="n">
        <f aca="false">'$'!C130</f>
        <v>18.301932</v>
      </c>
      <c r="K83" s="36" t="n">
        <f aca="false">SUM(C83:E83)/J83*100/G83</f>
        <v>64.7843561304797</v>
      </c>
      <c r="L83" s="37" t="n">
        <f aca="false">100*(H83/J83)/G83</f>
        <v>60.1124779747351</v>
      </c>
      <c r="M83" s="188" t="n">
        <f aca="false">F83/G83</f>
        <v>2.43059427281125</v>
      </c>
    </row>
    <row r="84" customFormat="false" ht="18.75" hidden="false" customHeight="true" outlineLevel="0" collapsed="false">
      <c r="A84" s="18" t="n">
        <v>2022</v>
      </c>
      <c r="B84" s="18" t="n">
        <v>10</v>
      </c>
      <c r="C84" s="24"/>
      <c r="D84" s="24" t="n">
        <v>14449.76</v>
      </c>
      <c r="E84" s="25" t="n">
        <v>728404.64</v>
      </c>
      <c r="F84" s="27" t="n">
        <v>169107.12</v>
      </c>
      <c r="G84" s="31" t="n">
        <v>57248</v>
      </c>
      <c r="H84" s="24" t="n">
        <v>625766</v>
      </c>
      <c r="I84" s="184" t="n">
        <v>67</v>
      </c>
      <c r="J84" s="34" t="n">
        <f aca="false">'$'!C131</f>
        <v>18.578678</v>
      </c>
      <c r="K84" s="36" t="n">
        <f aca="false">SUM(C84:E84)/J84*100/G84</f>
        <v>69.843914729148</v>
      </c>
      <c r="L84" s="37" t="n">
        <f aca="false">100*(H84/J84)/G84</f>
        <v>58.8351460856932</v>
      </c>
      <c r="M84" s="188" t="n">
        <f aca="false">F84/G84</f>
        <v>2.95393935159307</v>
      </c>
    </row>
    <row r="85" customFormat="false" ht="18.75" hidden="false" customHeight="true" outlineLevel="0" collapsed="false">
      <c r="A85" s="18" t="n">
        <v>2022</v>
      </c>
      <c r="B85" s="18" t="n">
        <v>11</v>
      </c>
      <c r="C85" s="24"/>
      <c r="D85" s="24" t="n">
        <v>10563.58</v>
      </c>
      <c r="E85" s="25" t="n">
        <v>279054.35</v>
      </c>
      <c r="F85" s="27" t="n">
        <v>63473.76</v>
      </c>
      <c r="G85" s="31" t="n">
        <v>28513</v>
      </c>
      <c r="H85" s="24" t="n">
        <v>537321</v>
      </c>
      <c r="I85" s="184" t="n">
        <v>67</v>
      </c>
      <c r="J85" s="34" t="n">
        <f aca="false">'$'!C132</f>
        <v>18.598286</v>
      </c>
      <c r="K85" s="36" t="n">
        <f aca="false">SUM(C85:E85)/J85*100/G85</f>
        <v>54.6147071393466</v>
      </c>
      <c r="L85" s="37" t="n">
        <f aca="false">100*(H85/J85)/G85</f>
        <v>101.325318687351</v>
      </c>
      <c r="M85" s="188" t="n">
        <f aca="false">F85/G85</f>
        <v>2.22613404412023</v>
      </c>
    </row>
    <row r="86" customFormat="false" ht="18.75" hidden="false" customHeight="true" outlineLevel="0" collapsed="false">
      <c r="A86" s="18" t="n">
        <v>2022</v>
      </c>
      <c r="B86" s="18" t="n">
        <v>12</v>
      </c>
      <c r="C86" s="24"/>
      <c r="D86" s="24" t="n">
        <v>6196.09</v>
      </c>
      <c r="E86" s="25" t="n">
        <v>33479.29</v>
      </c>
      <c r="F86" s="27" t="n">
        <v>6930</v>
      </c>
      <c r="G86" s="31" t="n">
        <v>0</v>
      </c>
      <c r="H86" s="24" t="n">
        <v>122159</v>
      </c>
      <c r="I86" s="184" t="n">
        <v>10</v>
      </c>
      <c r="J86" s="34" t="n">
        <f aca="false">'$'!C133</f>
        <v>18.653721</v>
      </c>
      <c r="K86" s="36"/>
      <c r="L86" s="37"/>
      <c r="M86" s="188"/>
    </row>
    <row r="87" customFormat="false" ht="18.75" hidden="false" customHeight="true" outlineLevel="0" collapsed="false">
      <c r="A87" s="18" t="n">
        <v>2023</v>
      </c>
      <c r="B87" s="18" t="n">
        <v>1</v>
      </c>
      <c r="C87" s="24"/>
      <c r="D87" s="24" t="n">
        <v>7642.61</v>
      </c>
      <c r="E87" s="25" t="n">
        <v>35103.38</v>
      </c>
      <c r="F87" s="27" t="n">
        <v>6854.4</v>
      </c>
      <c r="G87" s="31" t="n">
        <v>0</v>
      </c>
      <c r="H87" s="24"/>
      <c r="I87" s="184"/>
      <c r="J87" s="34" t="n">
        <f aca="false">'$'!C134</f>
        <v>18.779415</v>
      </c>
      <c r="K87" s="36"/>
      <c r="L87" s="37"/>
      <c r="M87" s="188"/>
    </row>
    <row r="88" customFormat="false" ht="18.75" hidden="false" customHeight="true" outlineLevel="0" collapsed="false">
      <c r="A88" s="18" t="n">
        <v>2023</v>
      </c>
      <c r="B88" s="18" t="n">
        <v>2</v>
      </c>
      <c r="C88" s="24"/>
      <c r="D88" s="24" t="n">
        <v>8052.62</v>
      </c>
      <c r="E88" s="25" t="n">
        <v>28329.48</v>
      </c>
      <c r="F88" s="27" t="n">
        <v>6410.88</v>
      </c>
      <c r="G88" s="31" t="n">
        <v>0</v>
      </c>
      <c r="H88" s="24"/>
      <c r="I88" s="184"/>
      <c r="J88" s="34" t="n">
        <f aca="false">'$'!C135</f>
        <v>18.848094</v>
      </c>
      <c r="K88" s="36"/>
      <c r="L88" s="37"/>
      <c r="M88" s="188"/>
    </row>
    <row r="89" customFormat="false" ht="18.75" hidden="false" customHeight="true" outlineLevel="0" collapsed="false">
      <c r="A89" s="18" t="n">
        <v>2023</v>
      </c>
      <c r="B89" s="18" t="n">
        <v>3</v>
      </c>
      <c r="C89" s="24"/>
      <c r="D89" s="24" t="n">
        <v>8213.06</v>
      </c>
      <c r="E89" s="25" t="n">
        <v>23480.44</v>
      </c>
      <c r="F89" s="27" t="n">
        <v>6235.2</v>
      </c>
      <c r="G89" s="31" t="n">
        <v>0</v>
      </c>
      <c r="H89" s="24"/>
      <c r="I89" s="184"/>
      <c r="J89" s="34" t="n">
        <f aca="false">'$'!C136</f>
        <v>18.992986</v>
      </c>
      <c r="K89" s="36"/>
      <c r="L89" s="37"/>
      <c r="M89" s="188"/>
    </row>
    <row r="90" customFormat="false" ht="18.75" hidden="false" customHeight="true" outlineLevel="0" collapsed="false">
      <c r="A90" s="18" t="n">
        <v>2023</v>
      </c>
      <c r="B90" s="18" t="n">
        <v>4</v>
      </c>
      <c r="C90" s="24"/>
      <c r="D90" s="24" t="n">
        <v>8997.43</v>
      </c>
      <c r="E90" s="25" t="n">
        <v>17786.78</v>
      </c>
      <c r="F90" s="27" t="n">
        <v>5206.32</v>
      </c>
      <c r="G90" s="31" t="n">
        <v>0</v>
      </c>
      <c r="H90" s="24"/>
      <c r="I90" s="184"/>
      <c r="J90" s="34" t="n">
        <f aca="false">'$'!C137</f>
        <v>19.335863</v>
      </c>
      <c r="K90" s="36"/>
      <c r="L90" s="37"/>
      <c r="M90" s="188"/>
    </row>
    <row r="91" customFormat="false" ht="18.75" hidden="false" customHeight="true" outlineLevel="0" collapsed="false">
      <c r="A91" s="18" t="n">
        <v>2023</v>
      </c>
      <c r="B91" s="18" t="n">
        <v>5</v>
      </c>
      <c r="C91" s="24"/>
      <c r="D91" s="24" t="n">
        <v>8480.46</v>
      </c>
      <c r="E91" s="25" t="n">
        <v>20132.63</v>
      </c>
      <c r="F91" s="27" t="n">
        <v>5286.96</v>
      </c>
      <c r="G91" s="31" t="n">
        <v>0</v>
      </c>
      <c r="H91" s="24"/>
      <c r="I91" s="184"/>
      <c r="J91" s="34" t="n">
        <f aca="false">'$'!C138</f>
        <v>19.735976</v>
      </c>
      <c r="K91" s="36"/>
      <c r="L91" s="37"/>
      <c r="M91" s="188"/>
    </row>
    <row r="92" customFormat="false" ht="18.75" hidden="false" customHeight="true" outlineLevel="0" collapsed="false">
      <c r="A92" s="18" t="n">
        <v>2023</v>
      </c>
      <c r="B92" s="18" t="n">
        <v>6</v>
      </c>
      <c r="C92" s="24"/>
      <c r="D92" s="24" t="n">
        <v>9960.06</v>
      </c>
      <c r="E92" s="25" t="n">
        <v>17049.3</v>
      </c>
      <c r="F92" s="27" t="n">
        <v>5433.12</v>
      </c>
      <c r="G92" s="31" t="n">
        <v>0</v>
      </c>
      <c r="H92" s="24"/>
      <c r="I92" s="184"/>
      <c r="J92" s="34" t="n">
        <f aca="false">'$'!C139</f>
        <v>23.541627</v>
      </c>
      <c r="K92" s="36"/>
      <c r="L92" s="37"/>
      <c r="M92" s="188"/>
    </row>
    <row r="93" customFormat="false" ht="18.75" hidden="false" customHeight="true" outlineLevel="0" collapsed="false">
      <c r="A93" s="18" t="n">
        <v>2023</v>
      </c>
      <c r="B93" s="18" t="n">
        <v>7</v>
      </c>
      <c r="C93" s="24"/>
      <c r="D93" s="24" t="n">
        <v>8819.16</v>
      </c>
      <c r="E93" s="25" t="n">
        <v>24380.2</v>
      </c>
      <c r="F93" s="27" t="n">
        <v>5745</v>
      </c>
      <c r="G93" s="31" t="n">
        <v>0</v>
      </c>
      <c r="H93" s="24"/>
      <c r="I93" s="184"/>
      <c r="J93" s="34" t="n">
        <f aca="false">'$'!C140</f>
        <v>26.43329</v>
      </c>
      <c r="K93" s="36"/>
      <c r="L93" s="37"/>
      <c r="M93" s="188"/>
    </row>
    <row r="94" customFormat="false" ht="18.75" hidden="false" customHeight="true" outlineLevel="0" collapsed="false">
      <c r="A94" s="18" t="n">
        <v>2023</v>
      </c>
      <c r="B94" s="18" t="n">
        <v>8</v>
      </c>
      <c r="C94" s="24"/>
      <c r="D94" s="24" t="n">
        <v>9763.97</v>
      </c>
      <c r="E94" s="25" t="n">
        <v>27622.63</v>
      </c>
      <c r="F94" s="27" t="n">
        <v>5972.4</v>
      </c>
      <c r="G94" s="31" t="n">
        <v>0</v>
      </c>
      <c r="H94" s="24"/>
      <c r="I94" s="184"/>
      <c r="J94" s="34" t="n">
        <f aca="false">'$'!C141</f>
        <v>26.916173</v>
      </c>
      <c r="K94" s="36"/>
      <c r="L94" s="37"/>
      <c r="M94" s="188"/>
    </row>
    <row r="95" customFormat="false" ht="18.75" hidden="false" customHeight="true" outlineLevel="0" collapsed="false">
      <c r="A95" s="18" t="n">
        <v>2023</v>
      </c>
      <c r="B95" s="18" t="n">
        <v>9</v>
      </c>
      <c r="C95" s="24"/>
      <c r="D95" s="24" t="n">
        <v>9371.78</v>
      </c>
      <c r="E95" s="25" t="n">
        <v>21921.2</v>
      </c>
      <c r="F95" s="27" t="n">
        <v>5831.28</v>
      </c>
      <c r="G95" s="31" t="n">
        <v>0</v>
      </c>
      <c r="H95" s="24"/>
      <c r="I95" s="184"/>
      <c r="J95" s="34" t="n">
        <f aca="false">'$'!C142</f>
        <v>26.984571</v>
      </c>
      <c r="K95" s="36"/>
      <c r="L95" s="37"/>
      <c r="M95" s="188"/>
    </row>
    <row r="96" customFormat="false" ht="18.75" hidden="false" customHeight="true" outlineLevel="0" collapsed="false">
      <c r="A96" s="18" t="n">
        <v>2023</v>
      </c>
      <c r="B96" s="18" t="n">
        <v>10</v>
      </c>
      <c r="C96" s="24"/>
      <c r="D96" s="24" t="n">
        <v>8355.67</v>
      </c>
      <c r="E96" s="25" t="n">
        <v>23358.68</v>
      </c>
      <c r="F96" s="27" t="n">
        <v>5538.96</v>
      </c>
      <c r="G96" s="31" t="n">
        <v>0</v>
      </c>
      <c r="H96" s="24"/>
      <c r="I96" s="184"/>
      <c r="J96" s="34" t="n">
        <f aca="false">'$'!C143</f>
        <v>27.86033</v>
      </c>
      <c r="K96" s="36"/>
      <c r="L96" s="37"/>
      <c r="M96" s="188"/>
    </row>
    <row r="97" customFormat="false" ht="18.75" hidden="false" customHeight="true" outlineLevel="0" collapsed="false">
      <c r="A97" s="18" t="n">
        <v>2023</v>
      </c>
      <c r="B97" s="18" t="n">
        <v>11</v>
      </c>
      <c r="C97" s="24"/>
      <c r="D97" s="24" t="n">
        <v>8302.19</v>
      </c>
      <c r="E97" s="25" t="n">
        <v>18246.7</v>
      </c>
      <c r="F97" s="27" t="n">
        <v>5498.64</v>
      </c>
      <c r="G97" s="31" t="n">
        <v>0</v>
      </c>
      <c r="H97" s="24"/>
      <c r="I97" s="184"/>
      <c r="J97" s="34" t="n">
        <f aca="false">'$'!C144</f>
        <v>28.646301</v>
      </c>
      <c r="K97" s="36"/>
      <c r="L97" s="37"/>
      <c r="M97" s="188"/>
    </row>
    <row r="98" customFormat="false" ht="18.75" hidden="false" customHeight="true" outlineLevel="0" collapsed="false">
      <c r="A98" s="18" t="n">
        <v>2023</v>
      </c>
      <c r="B98" s="18" t="n">
        <v>12</v>
      </c>
      <c r="C98" s="24"/>
      <c r="D98" s="24" t="n">
        <v>7624.79</v>
      </c>
      <c r="E98" s="25" t="n">
        <v>18623.63</v>
      </c>
      <c r="F98" s="27" t="n">
        <v>6002.64</v>
      </c>
      <c r="G98" s="31" t="n">
        <v>0</v>
      </c>
      <c r="H98" s="24"/>
      <c r="I98" s="184"/>
      <c r="J98" s="34" t="n">
        <f aca="false">'$'!C145</f>
        <v>29.088107</v>
      </c>
      <c r="K98" s="36" t="n">
        <f aca="false">(E98+D98)/J98</f>
        <v>902.376356082574</v>
      </c>
      <c r="L98" s="37"/>
      <c r="M98" s="188"/>
    </row>
    <row r="99" customFormat="false" ht="18.75" hidden="false" customHeight="true" outlineLevel="0" collapsed="false">
      <c r="A99" s="18" t="n">
        <v>2024</v>
      </c>
      <c r="B99" s="18" t="n">
        <v>1</v>
      </c>
      <c r="C99" s="24"/>
      <c r="D99" s="24" t="n">
        <v>9742.61</v>
      </c>
      <c r="E99" s="25" t="n">
        <v>21692.1</v>
      </c>
      <c r="F99" s="27" t="n">
        <v>6355.44</v>
      </c>
      <c r="G99" s="31" t="n">
        <v>0</v>
      </c>
      <c r="H99" s="24"/>
      <c r="I99" s="184"/>
      <c r="J99" s="34" t="n">
        <f aca="false">'$'!C146</f>
        <v>30.065751</v>
      </c>
      <c r="K99" s="36" t="n">
        <f aca="false">(E99+D99)/J99</f>
        <v>1045.53217380135</v>
      </c>
      <c r="L99" s="37"/>
      <c r="M99" s="188"/>
    </row>
    <row r="100" customFormat="false" ht="18.75" hidden="false" customHeight="true" outlineLevel="0" collapsed="false">
      <c r="A100" s="18" t="n">
        <v>2024</v>
      </c>
      <c r="B100" s="18" t="n">
        <v>2</v>
      </c>
      <c r="C100" s="24"/>
      <c r="D100" s="24" t="n">
        <v>9938.7</v>
      </c>
      <c r="E100" s="25" t="n">
        <v>21001.72</v>
      </c>
      <c r="F100" s="27" t="n">
        <v>5488.56</v>
      </c>
      <c r="G100" s="31" t="n">
        <v>0</v>
      </c>
      <c r="H100" s="24"/>
      <c r="I100" s="184"/>
      <c r="J100" s="34" t="n">
        <f aca="false">'$'!C147</f>
        <v>30.78419</v>
      </c>
      <c r="K100" s="36" t="n">
        <f aca="false">(E100+D100)/J100</f>
        <v>1005.07500765815</v>
      </c>
      <c r="L100" s="37"/>
      <c r="M100" s="188"/>
    </row>
    <row r="101" customFormat="false" ht="18.75" hidden="false" customHeight="true" outlineLevel="0" collapsed="false">
      <c r="A101" s="18" t="n">
        <v>2024</v>
      </c>
      <c r="B101" s="18" t="n">
        <v>3</v>
      </c>
      <c r="C101" s="24"/>
      <c r="D101" s="24" t="n">
        <v>10241.75</v>
      </c>
      <c r="E101" s="25" t="n">
        <v>27893.03</v>
      </c>
      <c r="F101" s="27" t="n">
        <v>5881.68</v>
      </c>
      <c r="G101" s="31" t="n">
        <v>0</v>
      </c>
      <c r="H101" s="24"/>
      <c r="I101" s="184"/>
      <c r="J101" s="34" t="n">
        <f aca="false">'$'!C148</f>
        <v>32.02692</v>
      </c>
      <c r="K101" s="36" t="n">
        <f aca="false">(E101+D101)/J101</f>
        <v>1190.71019005262</v>
      </c>
      <c r="L101" s="37"/>
      <c r="M101" s="188"/>
    </row>
    <row r="102" customFormat="false" ht="18.75" hidden="false" customHeight="true" outlineLevel="0" collapsed="false">
      <c r="A102" s="18" t="n">
        <v>2024</v>
      </c>
      <c r="B102" s="18" t="n">
        <v>4</v>
      </c>
      <c r="C102" s="24"/>
      <c r="D102" s="24" t="n">
        <v>10705.24</v>
      </c>
      <c r="E102" s="25" t="n">
        <v>23756.03</v>
      </c>
      <c r="F102" s="27" t="n">
        <v>5276.88</v>
      </c>
      <c r="G102" s="31" t="n">
        <v>0</v>
      </c>
      <c r="H102" s="24"/>
      <c r="I102" s="184"/>
      <c r="J102" s="34" t="n">
        <f aca="false">'$'!C149</f>
        <v>32.366499</v>
      </c>
      <c r="K102" s="36" t="n">
        <f aca="false">(E102+D102)/J102</f>
        <v>1064.72034556472</v>
      </c>
      <c r="L102" s="37"/>
      <c r="M102" s="188"/>
    </row>
    <row r="103" customFormat="false" ht="18.75" hidden="false" customHeight="true" outlineLevel="0" collapsed="false">
      <c r="A103" s="18" t="n">
        <v>2024</v>
      </c>
      <c r="B103" s="18" t="n">
        <v>5</v>
      </c>
      <c r="C103" s="24"/>
      <c r="D103" s="24" t="n">
        <f aca="false">10936.99+17.83</f>
        <v>10954.82</v>
      </c>
      <c r="E103" s="25" t="n">
        <v>23248.99</v>
      </c>
      <c r="F103" s="27" t="n">
        <v>5090.4</v>
      </c>
      <c r="G103" s="31" t="n">
        <v>0</v>
      </c>
      <c r="H103" s="24"/>
      <c r="I103" s="184"/>
      <c r="J103" s="34" t="n">
        <f aca="false">'$'!C150</f>
        <v>32.26418</v>
      </c>
      <c r="K103" s="36" t="n">
        <f aca="false">(E103+D103)/J103</f>
        <v>1060.11713299393</v>
      </c>
      <c r="L103" s="37"/>
      <c r="M103" s="188"/>
    </row>
    <row r="104" customFormat="false" ht="18.75" hidden="false" customHeight="true" outlineLevel="0" collapsed="false">
      <c r="A104" s="18" t="n">
        <v>2024</v>
      </c>
      <c r="B104" s="18" t="n">
        <v>6</v>
      </c>
      <c r="C104" s="24"/>
      <c r="D104" s="24" t="n">
        <v>10544.8</v>
      </c>
      <c r="E104" s="25" t="n">
        <v>28193.21</v>
      </c>
      <c r="F104" s="27" t="n">
        <v>5765.76</v>
      </c>
      <c r="G104" s="31" t="n">
        <v>0</v>
      </c>
      <c r="H104" s="24"/>
      <c r="I104" s="184"/>
      <c r="J104" s="34" t="n">
        <f aca="false">'$'!C151</f>
        <v>32.591018</v>
      </c>
      <c r="K104" s="36" t="n">
        <f aca="false">(E104+D104)/J104</f>
        <v>1188.61000291553</v>
      </c>
      <c r="L104" s="37"/>
      <c r="M104" s="188"/>
    </row>
    <row r="105" customFormat="false" ht="18.75" hidden="false" customHeight="true" outlineLevel="0" collapsed="false">
      <c r="A105" s="18" t="n">
        <v>2024</v>
      </c>
      <c r="B105" s="18" t="n">
        <v>7</v>
      </c>
      <c r="C105" s="24"/>
      <c r="D105" s="24" t="n">
        <v>26207</v>
      </c>
      <c r="E105" s="25" t="n">
        <v>31040.69</v>
      </c>
      <c r="F105" s="27" t="n">
        <v>6138.72</v>
      </c>
      <c r="G105" s="31" t="n">
        <v>0</v>
      </c>
      <c r="H105" s="24"/>
      <c r="I105" s="184"/>
      <c r="J105" s="34" t="n">
        <f aca="false">'$'!C152</f>
        <v>32.911131</v>
      </c>
      <c r="K105" s="36" t="n">
        <f aca="false">(E105+D105)/J105</f>
        <v>1739.46285832596</v>
      </c>
      <c r="L105" s="37"/>
      <c r="M105" s="188"/>
    </row>
    <row r="106" customFormat="false" ht="18.75" hidden="false" customHeight="true" outlineLevel="0" collapsed="false">
      <c r="A106" s="18" t="n">
        <v>2024</v>
      </c>
      <c r="B106" s="18" t="n">
        <v>8</v>
      </c>
      <c r="C106" s="24"/>
      <c r="D106" s="24" t="n">
        <v>18934.51</v>
      </c>
      <c r="E106" s="25" t="n">
        <v>35312.22</v>
      </c>
      <c r="F106" s="27" t="n">
        <v>6058</v>
      </c>
      <c r="G106" s="31" t="n">
        <v>0</v>
      </c>
      <c r="H106" s="24"/>
      <c r="I106" s="184"/>
      <c r="J106" s="34" t="n">
        <f aca="false">'$'!C153</f>
        <v>33.678</v>
      </c>
      <c r="K106" s="36" t="n">
        <f aca="false">(E106+D106)/J106</f>
        <v>1610.74677831225</v>
      </c>
      <c r="L106" s="37"/>
      <c r="M106" s="188"/>
    </row>
    <row r="107" customFormat="false" ht="18.75" hidden="false" customHeight="true" outlineLevel="0" collapsed="false">
      <c r="A107" s="18" t="n">
        <v>2024</v>
      </c>
      <c r="B107" s="18" t="n">
        <v>9</v>
      </c>
      <c r="C107" s="24"/>
      <c r="D107" s="24" t="n">
        <v>13177</v>
      </c>
      <c r="E107" s="25" t="n">
        <v>34747</v>
      </c>
      <c r="F107" s="27" t="n">
        <v>5811</v>
      </c>
      <c r="G107" s="31" t="n">
        <v>0</v>
      </c>
      <c r="H107" s="24"/>
      <c r="I107" s="184"/>
      <c r="J107" s="34" t="n">
        <f aca="false">'$'!C154</f>
        <v>34.062282</v>
      </c>
      <c r="K107" s="36" t="n">
        <f aca="false">(E107+D107)/J107</f>
        <v>1406.95212375965</v>
      </c>
      <c r="L107" s="37"/>
      <c r="M107" s="188"/>
    </row>
    <row r="108" customFormat="false" ht="18.75" hidden="false" customHeight="true" outlineLevel="0" collapsed="false">
      <c r="A108" s="18" t="n">
        <v>2024</v>
      </c>
      <c r="B108" s="18" t="n">
        <v>10</v>
      </c>
      <c r="C108" s="24"/>
      <c r="D108" s="24" t="n">
        <v>12000</v>
      </c>
      <c r="E108" s="25" t="n">
        <v>32146.78</v>
      </c>
      <c r="F108" s="27" t="n">
        <v>5594</v>
      </c>
      <c r="G108" s="31" t="n">
        <v>0</v>
      </c>
      <c r="H108" s="24"/>
      <c r="I108" s="184"/>
      <c r="J108" s="34" t="n">
        <f aca="false">'$'!C155</f>
        <v>34.2626</v>
      </c>
      <c r="K108" s="36" t="n">
        <f aca="false">(E108+D108)/J108</f>
        <v>1288.48306900235</v>
      </c>
      <c r="L108" s="37"/>
      <c r="M108" s="188"/>
    </row>
    <row r="109" customFormat="false" ht="18.75" hidden="false" customHeight="true" outlineLevel="0" collapsed="false">
      <c r="A109" s="18" t="n">
        <v>2024</v>
      </c>
      <c r="B109" s="18" t="n">
        <v>11</v>
      </c>
      <c r="C109" s="24"/>
      <c r="D109" s="24" t="n">
        <v>13408</v>
      </c>
      <c r="E109" s="25" t="n">
        <v>30485</v>
      </c>
      <c r="F109" s="27" t="n">
        <v>5725</v>
      </c>
      <c r="G109" s="31" t="n">
        <v>0</v>
      </c>
      <c r="H109" s="24"/>
      <c r="I109" s="184"/>
      <c r="J109" s="34" t="n">
        <f aca="false">'$'!C156</f>
        <v>34.46339</v>
      </c>
      <c r="K109" s="36" t="n">
        <f aca="false">(E109+D109)/J109</f>
        <v>1273.6123753351</v>
      </c>
      <c r="L109" s="37"/>
      <c r="M109" s="188"/>
    </row>
    <row r="110" customFormat="false" ht="18.75" hidden="false" customHeight="true" outlineLevel="0" collapsed="false">
      <c r="A110" s="18" t="n">
        <v>2024</v>
      </c>
      <c r="B110" s="18" t="n">
        <v>12</v>
      </c>
      <c r="C110" s="24"/>
      <c r="D110" s="24" t="n">
        <v>13248</v>
      </c>
      <c r="E110" s="25" t="n">
        <v>30769</v>
      </c>
      <c r="F110" s="27" t="n">
        <v>6278</v>
      </c>
      <c r="G110" s="31" t="n">
        <v>0</v>
      </c>
      <c r="H110" s="24"/>
      <c r="I110" s="184"/>
      <c r="J110" s="34" t="n">
        <f aca="false">'$'!C157</f>
        <v>34.9875</v>
      </c>
      <c r="K110" s="36" t="n">
        <f aca="false">(E110+D110)/J110</f>
        <v>1258.07788495891</v>
      </c>
      <c r="L110" s="37"/>
      <c r="M110" s="188"/>
    </row>
    <row r="111" customFormat="false" ht="18.75" hidden="false" customHeight="true" outlineLevel="0" collapsed="false">
      <c r="A111" s="18" t="n">
        <v>2025</v>
      </c>
      <c r="B111" s="18" t="n">
        <v>1</v>
      </c>
      <c r="C111" s="24"/>
      <c r="D111" s="24" t="n">
        <v>15832</v>
      </c>
      <c r="E111" s="25" t="n">
        <v>33975</v>
      </c>
      <c r="F111" s="27" t="n">
        <v>6486</v>
      </c>
      <c r="G111" s="31" t="n">
        <v>0</v>
      </c>
      <c r="H111" s="24"/>
      <c r="I111" s="184"/>
      <c r="J111" s="34" t="n">
        <f aca="false">'$'!C158</f>
        <v>35.5237</v>
      </c>
      <c r="K111" s="36" t="n">
        <f aca="false">(E111+D111)/J111</f>
        <v>1402.0780493023</v>
      </c>
      <c r="L111" s="37"/>
      <c r="M111" s="188"/>
    </row>
    <row r="112" customFormat="false" ht="18.75" hidden="false" customHeight="true" outlineLevel="0" collapsed="false">
      <c r="A112" s="18" t="n">
        <v>2025</v>
      </c>
      <c r="B112" s="18" t="n">
        <v>2</v>
      </c>
      <c r="C112" s="24"/>
      <c r="D112" s="24" t="n">
        <v>15786</v>
      </c>
      <c r="E112" s="25" t="n">
        <v>31195</v>
      </c>
      <c r="F112" s="27" t="n">
        <v>5982</v>
      </c>
      <c r="G112" s="31" t="n">
        <v>0</v>
      </c>
      <c r="H112" s="24"/>
      <c r="I112" s="184"/>
      <c r="J112" s="34" t="n">
        <f aca="false">'$'!C159</f>
        <v>36.169082</v>
      </c>
      <c r="K112" s="36" t="n">
        <f aca="false">(E112+D112)/J112</f>
        <v>1298.927078105</v>
      </c>
      <c r="L112" s="37"/>
      <c r="M112" s="188"/>
    </row>
    <row r="113" customFormat="false" ht="18.75" hidden="false" customHeight="true" outlineLevel="0" collapsed="false">
      <c r="A113" s="18" t="n">
        <v>2025</v>
      </c>
      <c r="B113" s="18" t="n">
        <v>3</v>
      </c>
      <c r="C113" s="24"/>
      <c r="D113" s="24" t="n">
        <v>15948</v>
      </c>
      <c r="E113" s="25" t="n">
        <v>31800</v>
      </c>
      <c r="F113" s="27" t="n">
        <v>5781</v>
      </c>
      <c r="G113" s="31" t="n">
        <v>0</v>
      </c>
      <c r="H113" s="24"/>
      <c r="I113" s="184"/>
      <c r="J113" s="34" t="n">
        <f aca="false">'$'!C160</f>
        <v>37.092994</v>
      </c>
      <c r="K113" s="36" t="n">
        <f aca="false">(E113+D113)/J113</f>
        <v>1287.25117201378</v>
      </c>
      <c r="L113" s="37"/>
      <c r="M113" s="188"/>
    </row>
    <row r="114" customFormat="false" ht="18.75" hidden="false" customHeight="true" outlineLevel="0" collapsed="false">
      <c r="A114" s="18" t="n">
        <v>2025</v>
      </c>
      <c r="B114" s="18" t="n">
        <v>4</v>
      </c>
      <c r="C114" s="24"/>
      <c r="D114" s="24"/>
      <c r="E114" s="25"/>
      <c r="F114" s="27"/>
      <c r="G114" s="31" t="n">
        <v>0</v>
      </c>
      <c r="H114" s="24"/>
      <c r="I114" s="184"/>
      <c r="J114" s="34" t="n">
        <f aca="false">'$'!C161</f>
        <v>38.131488</v>
      </c>
      <c r="K114" s="36" t="n">
        <f aca="false">(E114+D114)/J114</f>
        <v>0</v>
      </c>
      <c r="L114" s="37"/>
      <c r="M114" s="188"/>
    </row>
    <row r="115" customFormat="false" ht="18.75" hidden="false" customHeight="true" outlineLevel="0" collapsed="false">
      <c r="A115" s="18" t="n">
        <v>2025</v>
      </c>
      <c r="B115" s="18" t="n">
        <v>5</v>
      </c>
      <c r="C115" s="24"/>
      <c r="D115" s="24"/>
      <c r="E115" s="25"/>
      <c r="F115" s="27"/>
      <c r="G115" s="31" t="n">
        <v>0</v>
      </c>
      <c r="H115" s="24"/>
      <c r="I115" s="184"/>
      <c r="J115" s="34" t="n">
        <f aca="false">'$'!C162</f>
        <v>38.826157</v>
      </c>
      <c r="K115" s="36" t="n">
        <f aca="false">(E115+D115)/J115</f>
        <v>0</v>
      </c>
      <c r="L115" s="37"/>
      <c r="M115" s="188"/>
    </row>
    <row r="116" customFormat="false" ht="18.75" hidden="false" customHeight="true" outlineLevel="0" collapsed="false">
      <c r="A116" s="18" t="n">
        <v>2025</v>
      </c>
      <c r="B116" s="18" t="n">
        <v>6</v>
      </c>
      <c r="C116" s="24"/>
      <c r="D116" s="24"/>
      <c r="E116" s="25"/>
      <c r="F116" s="27"/>
      <c r="G116" s="31" t="n">
        <v>0</v>
      </c>
      <c r="H116" s="24"/>
      <c r="I116" s="184"/>
      <c r="J116" s="34" t="n">
        <f aca="false">'$'!C163</f>
        <v>39.477254</v>
      </c>
      <c r="K116" s="36" t="n">
        <f aca="false">(E116+D116)/J116</f>
        <v>0</v>
      </c>
      <c r="L116" s="37"/>
      <c r="M116" s="188"/>
    </row>
    <row r="117" customFormat="false" ht="18.75" hidden="false" customHeight="true" outlineLevel="0" collapsed="false">
      <c r="A117" s="18" t="n">
        <v>2025</v>
      </c>
      <c r="B117" s="18" t="n">
        <v>7</v>
      </c>
      <c r="C117" s="24"/>
      <c r="D117" s="24"/>
      <c r="E117" s="25"/>
      <c r="F117" s="27"/>
      <c r="G117" s="31" t="n">
        <v>0</v>
      </c>
      <c r="H117" s="24"/>
      <c r="I117" s="184"/>
      <c r="J117" s="34" t="n">
        <f aca="false">'$'!C164</f>
        <v>40.244021</v>
      </c>
      <c r="K117" s="36" t="n">
        <f aca="false">(E117+D117)/J117</f>
        <v>0</v>
      </c>
      <c r="L117" s="37"/>
      <c r="M117" s="188"/>
    </row>
    <row r="118" customFormat="false" ht="18.75" hidden="false" customHeight="true" outlineLevel="0" collapsed="false">
      <c r="A118" s="18" t="n">
        <v>2025</v>
      </c>
      <c r="B118" s="18" t="n">
        <v>8</v>
      </c>
      <c r="C118" s="24"/>
      <c r="D118" s="24"/>
      <c r="E118" s="25"/>
      <c r="F118" s="27"/>
      <c r="G118" s="31" t="n">
        <v>0</v>
      </c>
      <c r="H118" s="24"/>
      <c r="I118" s="184"/>
      <c r="J118" s="34" t="n">
        <f aca="false">'$'!C165</f>
        <v>40.85612</v>
      </c>
      <c r="K118" s="36" t="n">
        <f aca="false">(E118+D118)/J118</f>
        <v>0</v>
      </c>
      <c r="L118" s="37"/>
      <c r="M118" s="188"/>
    </row>
    <row r="119" customFormat="false" ht="18.75" hidden="false" customHeight="true" outlineLevel="0" collapsed="false">
      <c r="A119" s="18" t="n">
        <v>2025</v>
      </c>
      <c r="B119" s="18" t="n">
        <v>9</v>
      </c>
      <c r="C119" s="24"/>
      <c r="D119" s="24"/>
      <c r="E119" s="25"/>
      <c r="F119" s="27"/>
      <c r="G119" s="31" t="n">
        <v>0</v>
      </c>
      <c r="H119" s="24"/>
      <c r="I119" s="184"/>
      <c r="J119" s="34" t="n">
        <f aca="false">'$'!C166</f>
        <v>41.347521</v>
      </c>
      <c r="K119" s="36" t="n">
        <f aca="false">(E119+D119)/J119</f>
        <v>0</v>
      </c>
      <c r="L119" s="37"/>
      <c r="M119" s="188"/>
    </row>
    <row r="120" customFormat="false" ht="18.75" hidden="false" customHeight="true" outlineLevel="0" collapsed="false">
      <c r="A120" s="18" t="n">
        <v>2025</v>
      </c>
      <c r="B120" s="18" t="n">
        <v>10</v>
      </c>
      <c r="C120" s="24"/>
      <c r="D120" s="24"/>
      <c r="E120" s="25"/>
      <c r="F120" s="27"/>
      <c r="G120" s="31" t="n">
        <v>0</v>
      </c>
      <c r="H120" s="24"/>
      <c r="I120" s="184"/>
      <c r="J120" s="34" t="n">
        <f aca="false">'$'!C167</f>
        <v>41.847826</v>
      </c>
      <c r="K120" s="36" t="n">
        <f aca="false">(E120+D120)/J120</f>
        <v>0</v>
      </c>
      <c r="L120" s="37"/>
      <c r="M120" s="188"/>
    </row>
    <row r="121" customFormat="false" ht="18.75" hidden="false" customHeight="true" outlineLevel="0" collapsed="false">
      <c r="A121" s="18" t="n">
        <v>2025</v>
      </c>
      <c r="B121" s="18" t="n">
        <v>11</v>
      </c>
      <c r="C121" s="24"/>
      <c r="D121" s="24"/>
      <c r="E121" s="25"/>
      <c r="F121" s="27"/>
      <c r="G121" s="31" t="n">
        <v>0</v>
      </c>
      <c r="H121" s="24"/>
      <c r="I121" s="184"/>
      <c r="J121" s="34" t="n">
        <f aca="false">'$'!C168</f>
        <v>43.1816648593448</v>
      </c>
      <c r="K121" s="36" t="n">
        <f aca="false">(E121+D121)/J121</f>
        <v>0</v>
      </c>
      <c r="L121" s="37"/>
      <c r="M121" s="188"/>
    </row>
    <row r="122" customFormat="false" ht="18.75" hidden="false" customHeight="true" outlineLevel="0" collapsed="false">
      <c r="A122" s="18" t="n">
        <v>2025</v>
      </c>
      <c r="B122" s="18" t="n">
        <v>12</v>
      </c>
      <c r="C122" s="24"/>
      <c r="D122" s="24"/>
      <c r="E122" s="25"/>
      <c r="F122" s="27"/>
      <c r="G122" s="31" t="n">
        <v>0</v>
      </c>
      <c r="H122" s="24"/>
      <c r="I122" s="184"/>
      <c r="J122" s="34" t="n">
        <f aca="false">'$'!C169</f>
        <v>45.2043004238843</v>
      </c>
      <c r="K122" s="36" t="n">
        <f aca="false">(E122+D122)/J122</f>
        <v>0</v>
      </c>
      <c r="L122" s="37"/>
      <c r="M122" s="188"/>
    </row>
  </sheetData>
  <mergeCells count="8">
    <mergeCell ref="A1:A2"/>
    <mergeCell ref="B1:B2"/>
    <mergeCell ref="C1:E1"/>
    <mergeCell ref="G1:G2"/>
    <mergeCell ref="H1:H2"/>
    <mergeCell ref="I1:I2"/>
    <mergeCell ref="J1:J2"/>
    <mergeCell ref="K1:L1"/>
  </mergeCell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&amp;LOSMANİYE</oddHeader>
    <oddFooter>&amp;CPage &amp;P of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1796875" defaultRowHeight="15" zeroHeight="false" outlineLevelRow="0" outlineLevelCol="0"/>
  <cols>
    <col collapsed="false" customWidth="true" hidden="false" outlineLevel="0" max="4" min="1" style="0" width="10.86"/>
    <col collapsed="false" customWidth="true" hidden="false" outlineLevel="0" max="5" min="5" style="0" width="3.71"/>
    <col collapsed="false" customWidth="true" hidden="false" outlineLevel="0" max="6" min="6" style="0" width="10.86"/>
  </cols>
  <sheetData>
    <row r="1" customFormat="false" ht="18.75" hidden="false" customHeight="true" outlineLevel="0" collapsed="false">
      <c r="A1" s="18" t="s">
        <v>109</v>
      </c>
      <c r="B1" s="18" t="s">
        <v>110</v>
      </c>
      <c r="C1" s="194" t="s">
        <v>111</v>
      </c>
      <c r="D1" s="195"/>
      <c r="E1" s="194"/>
      <c r="F1" s="196" t="s">
        <v>112</v>
      </c>
    </row>
    <row r="2" customFormat="false" ht="18.75" hidden="false" customHeight="true" outlineLevel="0" collapsed="false">
      <c r="A2" s="18" t="n">
        <v>2012</v>
      </c>
      <c r="B2" s="18" t="n">
        <v>1</v>
      </c>
      <c r="C2" s="197" t="n">
        <v>1.842267</v>
      </c>
      <c r="D2" s="195"/>
      <c r="E2" s="194" t="s">
        <v>110</v>
      </c>
      <c r="F2" s="194" t="s">
        <v>113</v>
      </c>
    </row>
    <row r="3" customFormat="false" ht="18.75" hidden="false" customHeight="true" outlineLevel="0" collapsed="false">
      <c r="A3" s="18" t="n">
        <v>2012</v>
      </c>
      <c r="B3" s="18" t="n">
        <v>2</v>
      </c>
      <c r="C3" s="197" t="n">
        <v>1.757901</v>
      </c>
      <c r="D3" s="195"/>
      <c r="E3" s="194" t="n">
        <v>2</v>
      </c>
      <c r="F3" s="198" t="n">
        <f aca="false">AVERAGE(C87/C86,C99/C98,C111/C110,C123/C122,C135/C134,C147/C146)-1</f>
        <v>-0.000239146246941879</v>
      </c>
    </row>
    <row r="4" customFormat="false" ht="18.75" hidden="false" customHeight="true" outlineLevel="0" collapsed="false">
      <c r="A4" s="18" t="n">
        <v>2012</v>
      </c>
      <c r="B4" s="18" t="n">
        <v>3</v>
      </c>
      <c r="C4" s="197" t="n">
        <v>1.789832</v>
      </c>
      <c r="D4" s="195"/>
      <c r="E4" s="194" t="n">
        <v>3</v>
      </c>
      <c r="F4" s="198" t="n">
        <f aca="false">AVERAGE(C88/C87,C100/C99,C112/C111,C124/C123,C136/C135,C148/C147)-1</f>
        <v>0.0467800860024168</v>
      </c>
    </row>
    <row r="5" customFormat="false" ht="18.75" hidden="false" customHeight="true" outlineLevel="0" collapsed="false">
      <c r="A5" s="18" t="n">
        <v>2012</v>
      </c>
      <c r="B5" s="18" t="n">
        <v>4</v>
      </c>
      <c r="C5" s="197" t="n">
        <v>1.787371</v>
      </c>
      <c r="D5" s="195"/>
      <c r="E5" s="194" t="n">
        <v>4</v>
      </c>
      <c r="F5" s="198" t="n">
        <f aca="false">AVERAGE(C89/C88,C101/C100,C113/C112,C125/C124,C137/C136,C149/C148)-1</f>
        <v>0.0398674157019681</v>
      </c>
    </row>
    <row r="6" customFormat="false" ht="18.75" hidden="false" customHeight="true" outlineLevel="0" collapsed="false">
      <c r="A6" s="18" t="n">
        <v>2012</v>
      </c>
      <c r="B6" s="18" t="n">
        <v>5</v>
      </c>
      <c r="C6" s="197" t="n">
        <v>1.809909</v>
      </c>
      <c r="D6" s="195"/>
      <c r="E6" s="194" t="n">
        <v>5</v>
      </c>
      <c r="F6" s="198" t="n">
        <f aca="false">AVERAGE(C90/C89,C102/C101,C114/C113,C126/C125,C138/C137,C150/C149)-1</f>
        <v>0.0271159680685815</v>
      </c>
    </row>
    <row r="7" customFormat="false" ht="18.75" hidden="false" customHeight="true" outlineLevel="0" collapsed="false">
      <c r="A7" s="18" t="n">
        <v>2012</v>
      </c>
      <c r="B7" s="18" t="n">
        <v>6</v>
      </c>
      <c r="C7" s="197" t="n">
        <v>1.822835</v>
      </c>
      <c r="D7" s="195"/>
      <c r="E7" s="194" t="n">
        <v>6</v>
      </c>
      <c r="F7" s="198" t="n">
        <f aca="false">AVERAGE(C91/C90,C103/C102,C115/C114,C127/C126,C139/C138,C151/C150)-1</f>
        <v>0.0447300074727017</v>
      </c>
    </row>
    <row r="8" customFormat="false" ht="18.75" hidden="false" customHeight="true" outlineLevel="0" collapsed="false">
      <c r="A8" s="18" t="n">
        <v>2012</v>
      </c>
      <c r="B8" s="18" t="n">
        <v>7</v>
      </c>
      <c r="C8" s="197" t="n">
        <v>1.811551</v>
      </c>
      <c r="D8" s="195"/>
      <c r="E8" s="194" t="n">
        <v>7</v>
      </c>
      <c r="F8" s="198" t="n">
        <f aca="false">AVERAGE(C92/C91,C104/C103,C116/C115,C128/C127,C140/C139,C152/C151)-1</f>
        <v>0.0230968897254642</v>
      </c>
    </row>
    <row r="9" customFormat="false" ht="18.75" hidden="false" customHeight="true" outlineLevel="0" collapsed="false">
      <c r="A9" s="18" t="n">
        <v>2012</v>
      </c>
      <c r="B9" s="18" t="n">
        <v>8</v>
      </c>
      <c r="C9" s="197" t="n">
        <v>1.794777</v>
      </c>
      <c r="D9" s="195"/>
      <c r="E9" s="194" t="n">
        <v>8</v>
      </c>
      <c r="F9" s="198" t="n">
        <f aca="false">AVERAGE(C93/C92,C105/C104,C117/C116,C129/C128,C141/C140,C153/C152)-1</f>
        <v>0.0190397123569859</v>
      </c>
    </row>
    <row r="10" customFormat="false" ht="18.75" hidden="false" customHeight="true" outlineLevel="0" collapsed="false">
      <c r="A10" s="18" t="n">
        <v>2012</v>
      </c>
      <c r="B10" s="18" t="n">
        <v>9</v>
      </c>
      <c r="C10" s="197" t="n">
        <v>1.801074</v>
      </c>
      <c r="D10" s="195"/>
      <c r="E10" s="194" t="n">
        <v>9</v>
      </c>
      <c r="F10" s="198" t="n">
        <f aca="false">AVERAGE(C94/C93,C106/C105,C118/C117,C130/C129,C142/C141,C154/C153)-1</f>
        <v>0.0148529409367046</v>
      </c>
    </row>
    <row r="11" customFormat="false" ht="18.75" hidden="false" customHeight="true" outlineLevel="0" collapsed="false">
      <c r="A11" s="18" t="n">
        <v>2012</v>
      </c>
      <c r="B11" s="18" t="n">
        <v>10</v>
      </c>
      <c r="C11" s="197" t="n">
        <v>1.80206</v>
      </c>
      <c r="D11" s="195"/>
      <c r="E11" s="194" t="n">
        <v>10</v>
      </c>
      <c r="F11" s="198" t="n">
        <f aca="false">AVERAGE(C95/C94,C107/C106,C119/C118,C131/C130,C143/C142,C155/C154)-1</f>
        <v>0.0326900336323155</v>
      </c>
    </row>
    <row r="12" customFormat="false" ht="18.75" hidden="false" customHeight="true" outlineLevel="0" collapsed="false">
      <c r="A12" s="18" t="n">
        <v>2012</v>
      </c>
      <c r="B12" s="18" t="n">
        <v>11</v>
      </c>
      <c r="C12" s="197" t="n">
        <v>1.793263</v>
      </c>
      <c r="D12" s="195"/>
      <c r="E12" s="194" t="n">
        <v>11</v>
      </c>
      <c r="F12" s="198" t="n">
        <f aca="false">AVERAGE(C96/C95,C108/C107,C120/C119,C132/C131,C144/C143,C156/C155)-1</f>
        <v>0.031873552029795</v>
      </c>
    </row>
    <row r="13" customFormat="false" ht="18.75" hidden="false" customHeight="true" outlineLevel="0" collapsed="false">
      <c r="A13" s="18" t="n">
        <v>2012</v>
      </c>
      <c r="B13" s="18" t="n">
        <v>12</v>
      </c>
      <c r="C13" s="197" t="n">
        <v>1.787485</v>
      </c>
      <c r="D13" s="195"/>
      <c r="E13" s="194" t="n">
        <v>12</v>
      </c>
      <c r="F13" s="198" t="n">
        <f aca="false">AVERAGE(C97/C96,C109/C108,C121/C120,C133/C132,C145/C144,C157/C156)-1</f>
        <v>0.0468401478064306</v>
      </c>
    </row>
    <row r="14" customFormat="false" ht="18.75" hidden="false" customHeight="true" outlineLevel="0" collapsed="false">
      <c r="A14" s="18" t="n">
        <v>2013</v>
      </c>
      <c r="B14" s="18" t="n">
        <v>1</v>
      </c>
      <c r="C14" s="197" t="n">
        <v>1.770204</v>
      </c>
      <c r="D14" s="195"/>
      <c r="E14" s="194" t="n">
        <v>1</v>
      </c>
      <c r="F14" s="198" t="n">
        <f aca="false">AVERAGE(C98/C97,C110/C109,C122/C121,C134/C133,C146/C145,C158/C157)-1</f>
        <v>0.005343045230086</v>
      </c>
    </row>
    <row r="15" customFormat="false" ht="18.75" hidden="false" customHeight="true" outlineLevel="0" collapsed="false">
      <c r="A15" s="18" t="n">
        <v>2013</v>
      </c>
      <c r="B15" s="18" t="n">
        <v>2</v>
      </c>
      <c r="C15" s="197" t="n">
        <v>1.775661</v>
      </c>
      <c r="D15" s="195"/>
      <c r="E15" s="194"/>
      <c r="F15" s="194"/>
    </row>
    <row r="16" customFormat="false" ht="18.75" hidden="false" customHeight="true" outlineLevel="0" collapsed="false">
      <c r="A16" s="18" t="n">
        <v>2013</v>
      </c>
      <c r="B16" s="18" t="n">
        <v>3</v>
      </c>
      <c r="C16" s="197" t="n">
        <v>1.807595</v>
      </c>
      <c r="D16" s="195"/>
      <c r="E16" s="194"/>
      <c r="F16" s="194"/>
    </row>
    <row r="17" customFormat="false" ht="18.75" hidden="false" customHeight="true" outlineLevel="0" collapsed="false">
      <c r="A17" s="18" t="n">
        <v>2013</v>
      </c>
      <c r="B17" s="18" t="n">
        <v>4</v>
      </c>
      <c r="C17" s="197" t="n">
        <v>1.795447</v>
      </c>
      <c r="D17" s="195"/>
      <c r="E17" s="194"/>
      <c r="F17" s="194"/>
    </row>
    <row r="18" customFormat="false" ht="18.75" hidden="false" customHeight="true" outlineLevel="0" collapsed="false">
      <c r="A18" s="18" t="n">
        <v>2013</v>
      </c>
      <c r="B18" s="18" t="n">
        <v>5</v>
      </c>
      <c r="C18" s="197" t="n">
        <v>1.825108</v>
      </c>
      <c r="D18" s="195"/>
      <c r="E18" s="194"/>
      <c r="F18" s="194"/>
    </row>
    <row r="19" customFormat="false" ht="18.75" hidden="false" customHeight="true" outlineLevel="0" collapsed="false">
      <c r="A19" s="18" t="n">
        <v>2013</v>
      </c>
      <c r="B19" s="18" t="n">
        <v>6</v>
      </c>
      <c r="C19" s="197" t="n">
        <v>1.897836</v>
      </c>
      <c r="D19" s="195"/>
      <c r="E19" s="194"/>
      <c r="F19" s="194"/>
    </row>
    <row r="20" customFormat="false" ht="18.75" hidden="false" customHeight="true" outlineLevel="0" collapsed="false">
      <c r="A20" s="18" t="n">
        <v>2013</v>
      </c>
      <c r="B20" s="18" t="n">
        <v>7</v>
      </c>
      <c r="C20" s="197" t="n">
        <v>1.934933</v>
      </c>
      <c r="D20" s="195"/>
      <c r="E20" s="194"/>
      <c r="F20" s="194"/>
    </row>
    <row r="21" customFormat="false" ht="18.75" hidden="false" customHeight="true" outlineLevel="0" collapsed="false">
      <c r="A21" s="18" t="n">
        <v>2013</v>
      </c>
      <c r="B21" s="18" t="n">
        <v>8</v>
      </c>
      <c r="C21" s="197" t="n">
        <v>1.959233</v>
      </c>
      <c r="D21" s="195"/>
      <c r="E21" s="194"/>
      <c r="F21" s="194"/>
    </row>
    <row r="22" customFormat="false" ht="18.75" hidden="false" customHeight="true" outlineLevel="0" collapsed="false">
      <c r="A22" s="18" t="n">
        <v>2013</v>
      </c>
      <c r="B22" s="18" t="n">
        <v>9</v>
      </c>
      <c r="C22" s="197" t="n">
        <v>2.01943</v>
      </c>
      <c r="D22" s="195"/>
      <c r="E22" s="194"/>
      <c r="F22" s="194"/>
    </row>
    <row r="23" customFormat="false" ht="18.75" hidden="false" customHeight="true" outlineLevel="0" collapsed="false">
      <c r="A23" s="18" t="n">
        <v>2013</v>
      </c>
      <c r="B23" s="18" t="n">
        <v>10</v>
      </c>
      <c r="C23" s="197" t="n">
        <v>1.983254</v>
      </c>
      <c r="D23" s="195"/>
      <c r="E23" s="194"/>
      <c r="F23" s="194"/>
    </row>
    <row r="24" customFormat="false" ht="18.75" hidden="false" customHeight="true" outlineLevel="0" collapsed="false">
      <c r="A24" s="18" t="n">
        <v>2013</v>
      </c>
      <c r="B24" s="18" t="n">
        <v>11</v>
      </c>
      <c r="C24" s="197" t="n">
        <v>2.024689</v>
      </c>
      <c r="D24" s="195"/>
      <c r="E24" s="194"/>
      <c r="F24" s="194"/>
    </row>
    <row r="25" customFormat="false" ht="18.75" hidden="false" customHeight="true" outlineLevel="0" collapsed="false">
      <c r="A25" s="18" t="n">
        <v>2013</v>
      </c>
      <c r="B25" s="18" t="n">
        <v>12</v>
      </c>
      <c r="C25" s="197" t="n">
        <v>2.067259</v>
      </c>
      <c r="D25" s="195" t="n">
        <f aca="false">AVERAGE(C14:C25)/AVERAGE(C2:C13)-1</f>
        <v>0.058347455420231</v>
      </c>
      <c r="E25" s="194"/>
      <c r="F25" s="194"/>
    </row>
    <row r="26" customFormat="false" ht="18.75" hidden="false" customHeight="true" outlineLevel="0" collapsed="false">
      <c r="A26" s="18" t="n">
        <v>2014</v>
      </c>
      <c r="B26" s="18" t="n">
        <v>1</v>
      </c>
      <c r="C26" s="197" t="n">
        <v>2.221045</v>
      </c>
      <c r="D26" s="195"/>
      <c r="E26" s="194"/>
      <c r="F26" s="194"/>
    </row>
    <row r="27" customFormat="false" ht="18.75" hidden="false" customHeight="true" outlineLevel="0" collapsed="false">
      <c r="A27" s="18" t="n">
        <v>2014</v>
      </c>
      <c r="B27" s="18" t="n">
        <v>2</v>
      </c>
      <c r="C27" s="197" t="n">
        <v>2.206518</v>
      </c>
      <c r="D27" s="195"/>
      <c r="E27" s="194"/>
      <c r="F27" s="194"/>
    </row>
    <row r="28" customFormat="false" ht="18.75" hidden="false" customHeight="true" outlineLevel="0" collapsed="false">
      <c r="A28" s="18" t="n">
        <v>2014</v>
      </c>
      <c r="B28" s="18" t="n">
        <v>3</v>
      </c>
      <c r="C28" s="197" t="n">
        <v>2.21216</v>
      </c>
      <c r="D28" s="195"/>
      <c r="E28" s="194"/>
      <c r="F28" s="194"/>
    </row>
    <row r="29" customFormat="false" ht="18.75" hidden="false" customHeight="true" outlineLevel="0" collapsed="false">
      <c r="A29" s="18" t="n">
        <v>2014</v>
      </c>
      <c r="B29" s="18" t="n">
        <v>4</v>
      </c>
      <c r="C29" s="197" t="n">
        <v>2.124484</v>
      </c>
      <c r="D29" s="195"/>
      <c r="E29" s="194"/>
      <c r="F29" s="194"/>
    </row>
    <row r="30" customFormat="false" ht="18.75" hidden="false" customHeight="true" outlineLevel="0" collapsed="false">
      <c r="A30" s="18" t="n">
        <v>2014</v>
      </c>
      <c r="B30" s="18" t="n">
        <v>5</v>
      </c>
      <c r="C30" s="197" t="n">
        <v>2.090432</v>
      </c>
      <c r="D30" s="195"/>
      <c r="E30" s="194"/>
      <c r="F30" s="194"/>
    </row>
    <row r="31" customFormat="false" ht="18.75" hidden="false" customHeight="true" outlineLevel="0" collapsed="false">
      <c r="A31" s="18" t="n">
        <v>2014</v>
      </c>
      <c r="B31" s="18" t="n">
        <v>6</v>
      </c>
      <c r="C31" s="197" t="n">
        <v>2.118606</v>
      </c>
      <c r="D31" s="195"/>
      <c r="E31" s="194"/>
      <c r="F31" s="194"/>
    </row>
    <row r="32" customFormat="false" ht="18.75" hidden="false" customHeight="true" outlineLevel="0" collapsed="false">
      <c r="A32" s="18" t="n">
        <v>2014</v>
      </c>
      <c r="B32" s="18" t="n">
        <v>7</v>
      </c>
      <c r="C32" s="197" t="n">
        <v>2.119044</v>
      </c>
      <c r="D32" s="195"/>
      <c r="E32" s="194"/>
      <c r="F32" s="194"/>
    </row>
    <row r="33" customFormat="false" ht="18.75" hidden="false" customHeight="true" outlineLevel="0" collapsed="false">
      <c r="A33" s="18" t="n">
        <v>2014</v>
      </c>
      <c r="B33" s="18" t="n">
        <v>8</v>
      </c>
      <c r="C33" s="197" t="n">
        <v>2.15926</v>
      </c>
      <c r="D33" s="195"/>
      <c r="E33" s="194"/>
      <c r="F33" s="194"/>
    </row>
    <row r="34" customFormat="false" ht="18.75" hidden="false" customHeight="true" outlineLevel="0" collapsed="false">
      <c r="A34" s="18" t="n">
        <v>2014</v>
      </c>
      <c r="B34" s="18" t="n">
        <v>9</v>
      </c>
      <c r="C34" s="197" t="n">
        <v>2.213771</v>
      </c>
      <c r="D34" s="195"/>
      <c r="E34" s="194"/>
      <c r="F34" s="194"/>
    </row>
    <row r="35" customFormat="false" ht="18.75" hidden="false" customHeight="true" outlineLevel="0" collapsed="false">
      <c r="A35" s="18" t="n">
        <v>2014</v>
      </c>
      <c r="B35" s="18" t="n">
        <v>10</v>
      </c>
      <c r="C35" s="197" t="n">
        <v>2.25606</v>
      </c>
      <c r="D35" s="195"/>
      <c r="E35" s="194"/>
      <c r="F35" s="194"/>
    </row>
    <row r="36" customFormat="false" ht="18.75" hidden="false" customHeight="true" outlineLevel="0" collapsed="false">
      <c r="A36" s="18" t="n">
        <v>2014</v>
      </c>
      <c r="B36" s="18" t="n">
        <v>11</v>
      </c>
      <c r="C36" s="197" t="n">
        <v>2.232761</v>
      </c>
      <c r="D36" s="195"/>
      <c r="E36" s="194"/>
      <c r="F36" s="194"/>
    </row>
    <row r="37" customFormat="false" ht="18.75" hidden="false" customHeight="true" outlineLevel="0" collapsed="false">
      <c r="A37" s="18" t="n">
        <v>2014</v>
      </c>
      <c r="B37" s="18" t="n">
        <v>12</v>
      </c>
      <c r="C37" s="197" t="n">
        <v>2.29694</v>
      </c>
      <c r="D37" s="195" t="n">
        <f aca="false">AVERAGE(C26:C37)/AVERAGE(C14:C25)-1</f>
        <v>0.148308650379961</v>
      </c>
      <c r="E37" s="194"/>
      <c r="F37" s="194"/>
    </row>
    <row r="38" customFormat="false" ht="18.75" hidden="false" customHeight="true" outlineLevel="0" collapsed="false">
      <c r="A38" s="18" t="n">
        <v>2015</v>
      </c>
      <c r="B38" s="18" t="n">
        <v>1</v>
      </c>
      <c r="C38" s="197" t="n">
        <v>2.33742</v>
      </c>
      <c r="D38" s="195"/>
      <c r="E38" s="194"/>
      <c r="F38" s="194"/>
    </row>
    <row r="39" customFormat="false" ht="18.75" hidden="false" customHeight="true" outlineLevel="0" collapsed="false">
      <c r="A39" s="18" t="n">
        <v>2015</v>
      </c>
      <c r="B39" s="18" t="n">
        <v>2</v>
      </c>
      <c r="C39" s="197" t="n">
        <v>2.465029</v>
      </c>
      <c r="D39" s="195"/>
      <c r="E39" s="194"/>
      <c r="F39" s="194"/>
    </row>
    <row r="40" customFormat="false" ht="18.75" hidden="false" customHeight="true" outlineLevel="0" collapsed="false">
      <c r="A40" s="18" t="n">
        <v>2015</v>
      </c>
      <c r="B40" s="18" t="n">
        <v>3</v>
      </c>
      <c r="C40" s="197" t="n">
        <v>2.595899</v>
      </c>
      <c r="D40" s="195"/>
      <c r="E40" s="194"/>
      <c r="F40" s="194"/>
    </row>
    <row r="41" customFormat="false" ht="18.75" hidden="false" customHeight="true" outlineLevel="0" collapsed="false">
      <c r="A41" s="18" t="n">
        <v>2015</v>
      </c>
      <c r="B41" s="18" t="n">
        <v>4</v>
      </c>
      <c r="C41" s="197" t="n">
        <v>2.651767</v>
      </c>
      <c r="D41" s="195"/>
      <c r="E41" s="194"/>
      <c r="F41" s="194"/>
    </row>
    <row r="42" customFormat="false" ht="18.75" hidden="false" customHeight="true" outlineLevel="0" collapsed="false">
      <c r="A42" s="18" t="n">
        <v>2015</v>
      </c>
      <c r="B42" s="18" t="n">
        <v>5</v>
      </c>
      <c r="C42" s="197" t="n">
        <v>2.644839</v>
      </c>
      <c r="D42" s="195"/>
      <c r="E42" s="194"/>
      <c r="F42" s="194"/>
    </row>
    <row r="43" customFormat="false" ht="18.75" hidden="false" customHeight="true" outlineLevel="0" collapsed="false">
      <c r="A43" s="18" t="n">
        <v>2015</v>
      </c>
      <c r="B43" s="18" t="n">
        <v>6</v>
      </c>
      <c r="C43" s="197" t="n">
        <v>2.695537</v>
      </c>
      <c r="D43" s="195"/>
      <c r="E43" s="194"/>
      <c r="F43" s="194"/>
    </row>
    <row r="44" customFormat="false" ht="18.75" hidden="false" customHeight="true" outlineLevel="0" collapsed="false">
      <c r="A44" s="18" t="n">
        <v>2015</v>
      </c>
      <c r="B44" s="18" t="n">
        <v>7</v>
      </c>
      <c r="C44" s="197" t="n">
        <v>2.697111</v>
      </c>
      <c r="D44" s="195"/>
      <c r="E44" s="194"/>
      <c r="F44" s="194"/>
    </row>
    <row r="45" customFormat="false" ht="18.75" hidden="false" customHeight="true" outlineLevel="0" collapsed="false">
      <c r="A45" s="18" t="n">
        <v>2015</v>
      </c>
      <c r="B45" s="18" t="n">
        <v>8</v>
      </c>
      <c r="C45" s="197" t="n">
        <v>2.85218</v>
      </c>
      <c r="D45" s="195"/>
      <c r="E45" s="194"/>
      <c r="F45" s="194"/>
    </row>
    <row r="46" customFormat="false" ht="18.75" hidden="false" customHeight="true" outlineLevel="0" collapsed="false">
      <c r="A46" s="18" t="n">
        <v>2015</v>
      </c>
      <c r="B46" s="18" t="n">
        <v>9</v>
      </c>
      <c r="C46" s="197" t="n">
        <v>3.019192</v>
      </c>
      <c r="D46" s="195"/>
      <c r="E46" s="194"/>
      <c r="F46" s="194"/>
    </row>
    <row r="47" customFormat="false" ht="18.75" hidden="false" customHeight="true" outlineLevel="0" collapsed="false">
      <c r="A47" s="18" t="n">
        <v>2015</v>
      </c>
      <c r="B47" s="18" t="n">
        <v>10</v>
      </c>
      <c r="C47" s="197" t="n">
        <v>2.924633</v>
      </c>
      <c r="D47" s="195"/>
      <c r="E47" s="194"/>
      <c r="F47" s="194"/>
    </row>
    <row r="48" customFormat="false" ht="18.75" hidden="false" customHeight="true" outlineLevel="0" collapsed="false">
      <c r="A48" s="18" t="n">
        <v>2015</v>
      </c>
      <c r="B48" s="18" t="n">
        <v>11</v>
      </c>
      <c r="C48" s="197" t="n">
        <v>2.88002</v>
      </c>
      <c r="D48" s="195"/>
      <c r="E48" s="194"/>
      <c r="F48" s="194"/>
    </row>
    <row r="49" customFormat="false" ht="18.75" hidden="false" customHeight="true" outlineLevel="0" collapsed="false">
      <c r="A49" s="18" t="n">
        <v>2015</v>
      </c>
      <c r="B49" s="18" t="n">
        <v>12</v>
      </c>
      <c r="C49" s="197" t="n">
        <v>2.92173</v>
      </c>
      <c r="D49" s="195" t="n">
        <f aca="false">AVERAGE(C38:C49)/AVERAGE(C26:C37)-1</f>
        <v>0.245105182525626</v>
      </c>
      <c r="E49" s="194"/>
      <c r="F49" s="194"/>
    </row>
    <row r="50" customFormat="false" ht="18.75" hidden="false" customHeight="true" outlineLevel="0" collapsed="false">
      <c r="A50" s="18" t="n">
        <v>2016</v>
      </c>
      <c r="B50" s="18" t="n">
        <v>1</v>
      </c>
      <c r="C50" s="197" t="n">
        <v>3.001791</v>
      </c>
      <c r="D50" s="195"/>
      <c r="E50" s="194"/>
      <c r="F50" s="194"/>
    </row>
    <row r="51" customFormat="false" ht="18.75" hidden="false" customHeight="true" outlineLevel="0" collapsed="false">
      <c r="A51" s="18" t="n">
        <v>2016</v>
      </c>
      <c r="B51" s="18" t="n">
        <v>2</v>
      </c>
      <c r="C51" s="197" t="n">
        <v>2.945324</v>
      </c>
      <c r="D51" s="195"/>
      <c r="E51" s="194"/>
      <c r="F51" s="194"/>
    </row>
    <row r="52" customFormat="false" ht="18.75" hidden="false" customHeight="true" outlineLevel="0" collapsed="false">
      <c r="A52" s="18" t="n">
        <v>2016</v>
      </c>
      <c r="B52" s="18" t="n">
        <v>3</v>
      </c>
      <c r="C52" s="197" t="n">
        <v>2.882802</v>
      </c>
      <c r="D52" s="195"/>
      <c r="E52" s="194"/>
      <c r="F52" s="194"/>
    </row>
    <row r="53" customFormat="false" ht="18.75" hidden="false" customHeight="true" outlineLevel="0" collapsed="false">
      <c r="A53" s="18" t="n">
        <v>2016</v>
      </c>
      <c r="B53" s="18" t="n">
        <v>4</v>
      </c>
      <c r="C53" s="197" t="n">
        <v>2.834917</v>
      </c>
      <c r="D53" s="195"/>
      <c r="E53" s="194"/>
      <c r="F53" s="194"/>
    </row>
    <row r="54" customFormat="false" ht="18.75" hidden="false" customHeight="true" outlineLevel="0" collapsed="false">
      <c r="A54" s="18" t="n">
        <v>2016</v>
      </c>
      <c r="B54" s="18" t="n">
        <v>5</v>
      </c>
      <c r="C54" s="197" t="n">
        <v>2.940724</v>
      </c>
      <c r="D54" s="195"/>
      <c r="E54" s="194"/>
      <c r="F54" s="194"/>
    </row>
    <row r="55" customFormat="false" ht="18.75" hidden="false" customHeight="true" outlineLevel="0" collapsed="false">
      <c r="A55" s="18" t="n">
        <v>2016</v>
      </c>
      <c r="B55" s="18" t="n">
        <v>6</v>
      </c>
      <c r="C55" s="197" t="n">
        <v>2.914586</v>
      </c>
      <c r="D55" s="195"/>
      <c r="E55" s="194"/>
      <c r="F55" s="194"/>
    </row>
    <row r="56" customFormat="false" ht="18.75" hidden="false" customHeight="true" outlineLevel="0" collapsed="false">
      <c r="A56" s="18" t="n">
        <v>2016</v>
      </c>
      <c r="B56" s="18" t="n">
        <v>7</v>
      </c>
      <c r="C56" s="197" t="n">
        <v>2.969792</v>
      </c>
      <c r="D56" s="195"/>
      <c r="E56" s="194"/>
      <c r="F56" s="194"/>
    </row>
    <row r="57" customFormat="false" ht="18.75" hidden="false" customHeight="true" outlineLevel="0" collapsed="false">
      <c r="A57" s="18" t="n">
        <v>2016</v>
      </c>
      <c r="B57" s="18" t="n">
        <v>8</v>
      </c>
      <c r="C57" s="197" t="n">
        <v>2.960826</v>
      </c>
      <c r="D57" s="195"/>
      <c r="E57" s="194"/>
      <c r="F57" s="194"/>
    </row>
    <row r="58" customFormat="false" ht="18.75" hidden="false" customHeight="true" outlineLevel="0" collapsed="false">
      <c r="A58" s="18" t="n">
        <v>2016</v>
      </c>
      <c r="B58" s="18" t="n">
        <v>9</v>
      </c>
      <c r="C58" s="197" t="n">
        <v>2.968482</v>
      </c>
      <c r="D58" s="195"/>
      <c r="E58" s="194"/>
      <c r="F58" s="194"/>
    </row>
    <row r="59" customFormat="false" ht="18.75" hidden="false" customHeight="true" outlineLevel="0" collapsed="false">
      <c r="A59" s="18" t="n">
        <v>2016</v>
      </c>
      <c r="B59" s="18" t="n">
        <v>10</v>
      </c>
      <c r="C59" s="197" t="n">
        <v>3.073362</v>
      </c>
      <c r="D59" s="195"/>
      <c r="E59" s="194"/>
      <c r="F59" s="194"/>
    </row>
    <row r="60" customFormat="false" ht="18.75" hidden="false" customHeight="true" outlineLevel="0" collapsed="false">
      <c r="A60" s="18" t="n">
        <v>2016</v>
      </c>
      <c r="B60" s="18" t="n">
        <v>11</v>
      </c>
      <c r="C60" s="197" t="n">
        <v>3.299438</v>
      </c>
      <c r="D60" s="195"/>
      <c r="E60" s="194"/>
      <c r="F60" s="194"/>
    </row>
    <row r="61" customFormat="false" ht="18.75" hidden="false" customHeight="true" outlineLevel="0" collapsed="false">
      <c r="A61" s="18" t="n">
        <v>2016</v>
      </c>
      <c r="B61" s="18" t="n">
        <v>12</v>
      </c>
      <c r="C61" s="197" t="n">
        <v>3.502333</v>
      </c>
      <c r="D61" s="195" t="n">
        <f aca="false">AVERAGE(C50:C61)/AVERAGE(C38:C49)-1</f>
        <v>0.110417028640684</v>
      </c>
      <c r="E61" s="194"/>
      <c r="F61" s="194"/>
    </row>
    <row r="62" customFormat="false" ht="18.75" hidden="false" customHeight="true" outlineLevel="0" collapsed="false">
      <c r="A62" s="18" t="n">
        <v>2017</v>
      </c>
      <c r="B62" s="18" t="n">
        <v>1</v>
      </c>
      <c r="C62" s="197" t="n">
        <v>3.812</v>
      </c>
      <c r="D62" s="195"/>
      <c r="E62" s="194"/>
      <c r="F62" s="194"/>
    </row>
    <row r="63" customFormat="false" ht="18.75" hidden="false" customHeight="true" outlineLevel="0" collapsed="false">
      <c r="A63" s="18" t="n">
        <v>2017</v>
      </c>
      <c r="B63" s="18" t="n">
        <v>2</v>
      </c>
      <c r="C63" s="197" t="n">
        <v>3.666612</v>
      </c>
      <c r="D63" s="195"/>
      <c r="E63" s="194"/>
      <c r="F63" s="194"/>
    </row>
    <row r="64" customFormat="false" ht="18.75" hidden="false" customHeight="true" outlineLevel="0" collapsed="false">
      <c r="A64" s="18" t="n">
        <v>2017</v>
      </c>
      <c r="B64" s="18" t="n">
        <v>3</v>
      </c>
      <c r="C64" s="197" t="n">
        <v>3.599536</v>
      </c>
      <c r="D64" s="195"/>
      <c r="E64" s="194"/>
      <c r="F64" s="194"/>
    </row>
    <row r="65" customFormat="false" ht="18.75" hidden="false" customHeight="true" outlineLevel="0" collapsed="false">
      <c r="A65" s="18" t="n">
        <v>2017</v>
      </c>
      <c r="B65" s="18" t="n">
        <v>4</v>
      </c>
      <c r="C65" s="197" t="n">
        <v>3.653912</v>
      </c>
      <c r="D65" s="195"/>
      <c r="E65" s="194"/>
      <c r="F65" s="194"/>
    </row>
    <row r="66" customFormat="false" ht="18.75" hidden="false" customHeight="true" outlineLevel="0" collapsed="false">
      <c r="A66" s="18" t="n">
        <v>2017</v>
      </c>
      <c r="B66" s="18" t="n">
        <v>5</v>
      </c>
      <c r="C66" s="197" t="n">
        <v>3.568617</v>
      </c>
      <c r="D66" s="195"/>
      <c r="E66" s="194"/>
      <c r="F66" s="194"/>
    </row>
    <row r="67" customFormat="false" ht="18.75" hidden="false" customHeight="true" outlineLevel="0" collapsed="false">
      <c r="A67" s="18" t="n">
        <v>2017</v>
      </c>
      <c r="B67" s="18" t="n">
        <v>6</v>
      </c>
      <c r="C67" s="197" t="n">
        <v>3.519175</v>
      </c>
      <c r="D67" s="195"/>
      <c r="E67" s="194"/>
      <c r="F67" s="194"/>
    </row>
    <row r="68" customFormat="false" ht="18.75" hidden="false" customHeight="true" outlineLevel="0" collapsed="false">
      <c r="A68" s="18" t="n">
        <v>2017</v>
      </c>
      <c r="B68" s="18" t="n">
        <v>7</v>
      </c>
      <c r="C68" s="197" t="n">
        <v>3.556397</v>
      </c>
      <c r="D68" s="195"/>
      <c r="E68" s="194"/>
      <c r="F68" s="194"/>
    </row>
    <row r="69" customFormat="false" ht="18.75" hidden="false" customHeight="true" outlineLevel="0" collapsed="false">
      <c r="A69" s="18" t="n">
        <v>2017</v>
      </c>
      <c r="B69" s="18" t="n">
        <v>8</v>
      </c>
      <c r="C69" s="197" t="n">
        <v>3.50946</v>
      </c>
      <c r="D69" s="195"/>
      <c r="E69" s="194"/>
      <c r="F69" s="194"/>
    </row>
    <row r="70" customFormat="false" ht="18.75" hidden="false" customHeight="true" outlineLevel="0" collapsed="false">
      <c r="A70" s="18" t="n">
        <v>2017</v>
      </c>
      <c r="B70" s="18" t="n">
        <v>9</v>
      </c>
      <c r="C70" s="197" t="n">
        <v>3.467228</v>
      </c>
      <c r="D70" s="195"/>
      <c r="E70" s="194"/>
      <c r="F70" s="194"/>
    </row>
    <row r="71" customFormat="false" ht="18.75" hidden="false" customHeight="true" outlineLevel="0" collapsed="false">
      <c r="A71" s="18" t="n">
        <v>2017</v>
      </c>
      <c r="B71" s="18" t="n">
        <v>10</v>
      </c>
      <c r="C71" s="197" t="n">
        <v>3.672914</v>
      </c>
      <c r="D71" s="195"/>
      <c r="E71" s="194"/>
      <c r="F71" s="194"/>
    </row>
    <row r="72" customFormat="false" ht="18.75" hidden="false" customHeight="true" outlineLevel="0" collapsed="false">
      <c r="A72" s="18" t="n">
        <v>2017</v>
      </c>
      <c r="B72" s="18" t="n">
        <v>11</v>
      </c>
      <c r="C72" s="197" t="n">
        <v>3.889185</v>
      </c>
      <c r="D72" s="195"/>
      <c r="E72" s="194"/>
      <c r="F72" s="194"/>
    </row>
    <row r="73" customFormat="false" ht="18.75" hidden="false" customHeight="true" outlineLevel="0" collapsed="false">
      <c r="A73" s="18" t="n">
        <v>2017</v>
      </c>
      <c r="B73" s="18" t="n">
        <v>12</v>
      </c>
      <c r="C73" s="197" t="n">
        <v>3.843316</v>
      </c>
      <c r="D73" s="195" t="n">
        <f aca="false">AVERAGE(C62:C73)/AVERAGE(C50:C61)-1</f>
        <v>0.205651002082224</v>
      </c>
      <c r="E73" s="194"/>
      <c r="F73" s="194"/>
    </row>
    <row r="74" customFormat="false" ht="18.75" hidden="false" customHeight="true" outlineLevel="0" collapsed="false">
      <c r="A74" s="18" t="n">
        <v>2018</v>
      </c>
      <c r="B74" s="18" t="n">
        <v>1</v>
      </c>
      <c r="C74" s="197" t="n">
        <v>3.772753</v>
      </c>
      <c r="D74" s="195"/>
      <c r="E74" s="194"/>
      <c r="F74" s="194"/>
    </row>
    <row r="75" customFormat="false" ht="18.75" hidden="false" customHeight="true" outlineLevel="0" collapsed="false">
      <c r="A75" s="18" t="n">
        <v>2018</v>
      </c>
      <c r="B75" s="18" t="n">
        <v>2</v>
      </c>
      <c r="C75" s="197" t="n">
        <f aca="false">3.78455</f>
        <v>3.78455</v>
      </c>
      <c r="D75" s="195"/>
      <c r="E75" s="194"/>
      <c r="F75" s="194"/>
    </row>
    <row r="76" customFormat="false" ht="18.75" hidden="false" customHeight="true" outlineLevel="0" collapsed="false">
      <c r="A76" s="18" t="n">
        <v>2018</v>
      </c>
      <c r="B76" s="18" t="n">
        <v>3</v>
      </c>
      <c r="C76" s="197" t="n">
        <f aca="false">3.889189</f>
        <v>3.889189</v>
      </c>
      <c r="D76" s="195"/>
      <c r="E76" s="194"/>
      <c r="F76" s="194"/>
    </row>
    <row r="77" customFormat="false" ht="18.75" hidden="false" customHeight="true" outlineLevel="0" collapsed="false">
      <c r="A77" s="18" t="n">
        <v>2018</v>
      </c>
      <c r="B77" s="18" t="n">
        <v>4</v>
      </c>
      <c r="C77" s="197" t="n">
        <f aca="false">4.060187</f>
        <v>4.060187</v>
      </c>
      <c r="D77" s="195"/>
      <c r="E77" s="194"/>
      <c r="F77" s="194"/>
    </row>
    <row r="78" customFormat="false" ht="18.75" hidden="false" customHeight="true" outlineLevel="0" collapsed="false">
      <c r="A78" s="18" t="n">
        <v>2018</v>
      </c>
      <c r="B78" s="18" t="n">
        <v>5</v>
      </c>
      <c r="C78" s="197" t="n">
        <v>4.417734</v>
      </c>
      <c r="D78" s="195"/>
      <c r="E78" s="194"/>
      <c r="F78" s="194"/>
    </row>
    <row r="79" customFormat="false" ht="18.75" hidden="false" customHeight="true" outlineLevel="0" collapsed="false">
      <c r="A79" s="18" t="n">
        <v>2018</v>
      </c>
      <c r="B79" s="18" t="n">
        <v>6</v>
      </c>
      <c r="C79" s="197" t="n">
        <v>4.629054</v>
      </c>
      <c r="D79" s="195"/>
      <c r="E79" s="194"/>
      <c r="F79" s="194"/>
    </row>
    <row r="80" customFormat="false" ht="18.75" hidden="false" customHeight="true" outlineLevel="0" collapsed="false">
      <c r="A80" s="18" t="n">
        <v>2018</v>
      </c>
      <c r="B80" s="18" t="n">
        <v>7</v>
      </c>
      <c r="C80" s="197" t="n">
        <f aca="false">4.761595</f>
        <v>4.761595</v>
      </c>
      <c r="D80" s="195"/>
      <c r="E80" s="194"/>
      <c r="F80" s="194"/>
    </row>
    <row r="81" customFormat="false" ht="18.75" hidden="false" customHeight="true" outlineLevel="0" collapsed="false">
      <c r="A81" s="18" t="n">
        <v>2018</v>
      </c>
      <c r="B81" s="18" t="n">
        <v>8</v>
      </c>
      <c r="C81" s="197" t="n">
        <f aca="false">5.888005</f>
        <v>5.888005</v>
      </c>
      <c r="D81" s="195"/>
      <c r="E81" s="194"/>
      <c r="F81" s="194"/>
    </row>
    <row r="82" customFormat="false" ht="18.75" hidden="false" customHeight="true" outlineLevel="0" collapsed="false">
      <c r="A82" s="18" t="n">
        <v>2018</v>
      </c>
      <c r="B82" s="18" t="n">
        <v>9</v>
      </c>
      <c r="C82" s="197" t="n">
        <f aca="false">6.333883</f>
        <v>6.333883</v>
      </c>
      <c r="D82" s="195"/>
      <c r="E82" s="194"/>
      <c r="F82" s="194"/>
    </row>
    <row r="83" customFormat="false" ht="18.75" hidden="false" customHeight="true" outlineLevel="0" collapsed="false">
      <c r="A83" s="18" t="n">
        <v>2018</v>
      </c>
      <c r="B83" s="18" t="n">
        <v>10</v>
      </c>
      <c r="C83" s="197" t="n">
        <f aca="false">5.831909</f>
        <v>5.831909</v>
      </c>
      <c r="D83" s="195"/>
      <c r="E83" s="194"/>
      <c r="F83" s="194"/>
    </row>
    <row r="84" customFormat="false" ht="18.75" hidden="false" customHeight="true" outlineLevel="0" collapsed="false">
      <c r="A84" s="18" t="n">
        <v>2018</v>
      </c>
      <c r="B84" s="18" t="n">
        <v>11</v>
      </c>
      <c r="C84" s="197" t="n">
        <f aca="false">5.374481</f>
        <v>5.374481</v>
      </c>
      <c r="D84" s="195"/>
      <c r="E84" s="194"/>
      <c r="F84" s="194"/>
    </row>
    <row r="85" customFormat="false" ht="18.75" hidden="false" customHeight="true" outlineLevel="0" collapsed="false">
      <c r="A85" s="18" t="n">
        <v>2018</v>
      </c>
      <c r="B85" s="18" t="n">
        <v>12</v>
      </c>
      <c r="C85" s="197" t="n">
        <f aca="false">5.309368</f>
        <v>5.309368</v>
      </c>
      <c r="D85" s="195" t="n">
        <f aca="false">AVERAGE(C74:C85)/AVERAGE(C62:C73)-1</f>
        <v>0.326665775712943</v>
      </c>
      <c r="E85" s="194"/>
      <c r="F85" s="194"/>
    </row>
    <row r="86" customFormat="false" ht="18.75" hidden="false" customHeight="true" outlineLevel="0" collapsed="false">
      <c r="A86" s="18" t="n">
        <v>2019</v>
      </c>
      <c r="B86" s="18" t="n">
        <v>1</v>
      </c>
      <c r="C86" s="197" t="n">
        <v>5.36303</v>
      </c>
      <c r="D86" s="195"/>
      <c r="E86" s="194"/>
      <c r="F86" s="194"/>
    </row>
    <row r="87" customFormat="false" ht="18.75" hidden="false" customHeight="true" outlineLevel="0" collapsed="false">
      <c r="A87" s="18" t="n">
        <v>2019</v>
      </c>
      <c r="B87" s="18" t="n">
        <v>2</v>
      </c>
      <c r="C87" s="197" t="n">
        <v>5.269724</v>
      </c>
      <c r="D87" s="195"/>
      <c r="E87" s="194"/>
      <c r="F87" s="194"/>
    </row>
    <row r="88" customFormat="false" ht="18.75" hidden="false" customHeight="true" outlineLevel="0" collapsed="false">
      <c r="A88" s="18" t="n">
        <v>2019</v>
      </c>
      <c r="B88" s="18" t="n">
        <v>3</v>
      </c>
      <c r="C88" s="197" t="n">
        <v>5.476742</v>
      </c>
      <c r="D88" s="195"/>
      <c r="E88" s="194"/>
      <c r="F88" s="194"/>
    </row>
    <row r="89" customFormat="false" ht="18.75" hidden="false" customHeight="true" outlineLevel="0" collapsed="false">
      <c r="A89" s="18" t="n">
        <v>2019</v>
      </c>
      <c r="B89" s="18" t="n">
        <v>4</v>
      </c>
      <c r="C89" s="197" t="n">
        <v>5.764748</v>
      </c>
      <c r="D89" s="195"/>
      <c r="E89" s="194"/>
      <c r="F89" s="194"/>
    </row>
    <row r="90" customFormat="false" ht="18.75" hidden="false" customHeight="true" outlineLevel="0" collapsed="false">
      <c r="A90" s="18" t="n">
        <v>2019</v>
      </c>
      <c r="B90" s="18" t="n">
        <v>5</v>
      </c>
      <c r="C90" s="197" t="n">
        <v>6.044426</v>
      </c>
      <c r="D90" s="195"/>
      <c r="E90" s="194"/>
      <c r="F90" s="194"/>
    </row>
    <row r="91" customFormat="false" ht="18.75" hidden="false" customHeight="true" outlineLevel="0" collapsed="false">
      <c r="A91" s="18" t="n">
        <v>2019</v>
      </c>
      <c r="B91" s="18" t="n">
        <v>6</v>
      </c>
      <c r="C91" s="197" t="n">
        <v>5.820426</v>
      </c>
      <c r="D91" s="195"/>
      <c r="E91" s="194"/>
      <c r="F91" s="194"/>
    </row>
    <row r="92" customFormat="false" ht="18.75" hidden="false" customHeight="true" outlineLevel="0" collapsed="false">
      <c r="A92" s="18" t="n">
        <v>2019</v>
      </c>
      <c r="B92" s="18" t="n">
        <v>7</v>
      </c>
      <c r="C92" s="197" t="n">
        <v>5.676879</v>
      </c>
      <c r="D92" s="195"/>
      <c r="E92" s="194"/>
      <c r="F92" s="194"/>
    </row>
    <row r="93" customFormat="false" ht="18.75" hidden="false" customHeight="true" outlineLevel="0" collapsed="false">
      <c r="A93" s="18" t="n">
        <v>2019</v>
      </c>
      <c r="B93" s="18" t="n">
        <v>8</v>
      </c>
      <c r="C93" s="197" t="n">
        <v>5.641561</v>
      </c>
      <c r="D93" s="195"/>
      <c r="E93" s="194"/>
      <c r="F93" s="194"/>
    </row>
    <row r="94" customFormat="false" ht="18.75" hidden="false" customHeight="true" outlineLevel="0" collapsed="false">
      <c r="A94" s="18" t="n">
        <v>2019</v>
      </c>
      <c r="B94" s="18" t="n">
        <v>9</v>
      </c>
      <c r="C94" s="197" t="n">
        <v>5.719617</v>
      </c>
      <c r="D94" s="195"/>
      <c r="E94" s="194"/>
      <c r="F94" s="194"/>
    </row>
    <row r="95" customFormat="false" ht="18.75" hidden="false" customHeight="true" outlineLevel="0" collapsed="false">
      <c r="A95" s="18" t="n">
        <v>2019</v>
      </c>
      <c r="B95" s="18" t="n">
        <v>10</v>
      </c>
      <c r="C95" s="197" t="n">
        <v>5.792574</v>
      </c>
      <c r="D95" s="195"/>
      <c r="E95" s="194"/>
      <c r="F95" s="194"/>
    </row>
    <row r="96" customFormat="false" ht="18.75" hidden="false" customHeight="true" outlineLevel="0" collapsed="false">
      <c r="A96" s="18" t="n">
        <v>2019</v>
      </c>
      <c r="B96" s="18" t="n">
        <v>11</v>
      </c>
      <c r="C96" s="197" t="n">
        <v>5.740255</v>
      </c>
      <c r="D96" s="195"/>
      <c r="E96" s="194"/>
      <c r="F96" s="194"/>
    </row>
    <row r="97" customFormat="false" ht="18.75" hidden="false" customHeight="true" outlineLevel="0" collapsed="false">
      <c r="A97" s="18" t="n">
        <v>2019</v>
      </c>
      <c r="B97" s="18" t="n">
        <v>12</v>
      </c>
      <c r="C97" s="197" t="n">
        <f aca="false">5.853509</f>
        <v>5.853509</v>
      </c>
      <c r="D97" s="195" t="n">
        <f aca="false">AVERAGE(C86:C97)/AVERAGE(C74:C85)-1</f>
        <v>0.174165570364091</v>
      </c>
      <c r="E97" s="194"/>
      <c r="F97" s="194"/>
    </row>
    <row r="98" customFormat="false" ht="18.75" hidden="false" customHeight="true" outlineLevel="0" collapsed="false">
      <c r="A98" s="18" t="n">
        <v>2020</v>
      </c>
      <c r="B98" s="18" t="n">
        <v>1</v>
      </c>
      <c r="C98" s="197" t="n">
        <f aca="false">5.924601</f>
        <v>5.924601</v>
      </c>
      <c r="D98" s="195"/>
      <c r="E98" s="194"/>
      <c r="F98" s="194"/>
    </row>
    <row r="99" customFormat="false" ht="18.75" hidden="false" customHeight="true" outlineLevel="0" collapsed="false">
      <c r="A99" s="18" t="n">
        <v>2020</v>
      </c>
      <c r="B99" s="18" t="n">
        <v>2</v>
      </c>
      <c r="C99" s="197" t="n">
        <v>6.057833</v>
      </c>
      <c r="D99" s="195"/>
      <c r="E99" s="194"/>
      <c r="F99" s="194"/>
    </row>
    <row r="100" customFormat="false" ht="18.75" hidden="false" customHeight="true" outlineLevel="0" collapsed="false">
      <c r="A100" s="18" t="n">
        <v>2020</v>
      </c>
      <c r="B100" s="18" t="n">
        <v>3</v>
      </c>
      <c r="C100" s="197" t="n">
        <v>6.335075</v>
      </c>
      <c r="D100" s="195"/>
      <c r="E100" s="194"/>
      <c r="F100" s="194"/>
    </row>
    <row r="101" customFormat="false" ht="18.75" hidden="false" customHeight="true" outlineLevel="0" collapsed="false">
      <c r="A101" s="18" t="n">
        <v>2020</v>
      </c>
      <c r="B101" s="18" t="n">
        <v>4</v>
      </c>
      <c r="C101" s="197" t="n">
        <v>6.839434</v>
      </c>
      <c r="D101" s="195"/>
      <c r="E101" s="194"/>
      <c r="F101" s="194"/>
    </row>
    <row r="102" customFormat="false" ht="18.75" hidden="false" customHeight="true" outlineLevel="0" collapsed="false">
      <c r="A102" s="18" t="n">
        <v>2020</v>
      </c>
      <c r="B102" s="18" t="n">
        <v>5</v>
      </c>
      <c r="C102" s="197" t="n">
        <f aca="false">6.931656</f>
        <v>6.931656</v>
      </c>
      <c r="D102" s="195"/>
      <c r="E102" s="194"/>
      <c r="F102" s="194"/>
    </row>
    <row r="103" customFormat="false" ht="18.75" hidden="false" customHeight="true" outlineLevel="0" collapsed="false">
      <c r="A103" s="18" t="n">
        <v>2020</v>
      </c>
      <c r="B103" s="18" t="n">
        <v>6</v>
      </c>
      <c r="C103" s="197" t="n">
        <f aca="false">6.816762</f>
        <v>6.816762</v>
      </c>
      <c r="D103" s="195"/>
      <c r="E103" s="194"/>
      <c r="F103" s="194"/>
    </row>
    <row r="104" customFormat="false" ht="18.75" hidden="false" customHeight="true" outlineLevel="0" collapsed="false">
      <c r="A104" s="18" t="n">
        <v>2020</v>
      </c>
      <c r="B104" s="18" t="n">
        <v>7</v>
      </c>
      <c r="C104" s="197" t="n">
        <v>6.867708</v>
      </c>
      <c r="D104" s="195"/>
      <c r="E104" s="194"/>
      <c r="F104" s="194"/>
    </row>
    <row r="105" customFormat="false" ht="18.75" hidden="false" customHeight="true" outlineLevel="0" collapsed="false">
      <c r="A105" s="18" t="n">
        <v>2020</v>
      </c>
      <c r="B105" s="18" t="n">
        <v>8</v>
      </c>
      <c r="C105" s="197" t="n">
        <v>7.26562</v>
      </c>
      <c r="D105" s="195"/>
      <c r="E105" s="194"/>
      <c r="F105" s="194"/>
    </row>
    <row r="106" customFormat="false" ht="18.75" hidden="false" customHeight="true" outlineLevel="0" collapsed="false">
      <c r="A106" s="18" t="n">
        <v>2020</v>
      </c>
      <c r="B106" s="18" t="n">
        <v>9</v>
      </c>
      <c r="C106" s="197" t="n">
        <f aca="false">7.537593</f>
        <v>7.537593</v>
      </c>
      <c r="D106" s="195"/>
      <c r="E106" s="194"/>
      <c r="F106" s="194"/>
    </row>
    <row r="107" customFormat="false" ht="18.75" hidden="false" customHeight="true" outlineLevel="0" collapsed="false">
      <c r="A107" s="18" t="n">
        <v>2020</v>
      </c>
      <c r="B107" s="18" t="n">
        <v>10</v>
      </c>
      <c r="C107" s="197" t="n">
        <f aca="false">7.930235</f>
        <v>7.930235</v>
      </c>
      <c r="D107" s="195"/>
      <c r="E107" s="194"/>
      <c r="F107" s="194"/>
    </row>
    <row r="108" customFormat="false" ht="18.75" hidden="false" customHeight="true" outlineLevel="0" collapsed="false">
      <c r="A108" s="18" t="n">
        <v>2020</v>
      </c>
      <c r="B108" s="18" t="n">
        <v>11</v>
      </c>
      <c r="C108" s="197" t="n">
        <v>7.983238</v>
      </c>
      <c r="D108" s="195"/>
      <c r="E108" s="194"/>
      <c r="F108" s="194"/>
    </row>
    <row r="109" customFormat="false" ht="18.75" hidden="false" customHeight="true" outlineLevel="0" collapsed="false">
      <c r="A109" s="18" t="n">
        <v>2020</v>
      </c>
      <c r="B109" s="18" t="n">
        <v>12</v>
      </c>
      <c r="C109" s="197" t="n">
        <v>7.718763</v>
      </c>
      <c r="D109" s="195" t="n">
        <f aca="false">AVERAGE(C98:C109)/AVERAGE(C86:C97)-1</f>
        <v>0.235390335274934</v>
      </c>
      <c r="E109" s="194"/>
      <c r="F109" s="194"/>
    </row>
    <row r="110" customFormat="false" ht="18.75" hidden="false" customHeight="true" outlineLevel="0" collapsed="false">
      <c r="A110" s="18" t="n">
        <v>2021</v>
      </c>
      <c r="B110" s="18" t="n">
        <v>1</v>
      </c>
      <c r="C110" s="197" t="n">
        <v>7.403641</v>
      </c>
      <c r="D110" s="195"/>
      <c r="E110" s="194"/>
      <c r="F110" s="194"/>
    </row>
    <row r="111" customFormat="false" ht="18.75" hidden="false" customHeight="true" outlineLevel="0" collapsed="false">
      <c r="A111" s="18" t="n">
        <v>2021</v>
      </c>
      <c r="B111" s="18" t="n">
        <v>2</v>
      </c>
      <c r="C111" s="197" t="n">
        <f aca="false">7.099851</f>
        <v>7.099851</v>
      </c>
      <c r="D111" s="195"/>
      <c r="E111" s="194"/>
      <c r="F111" s="194"/>
    </row>
    <row r="112" customFormat="false" ht="18.75" hidden="false" customHeight="true" outlineLevel="0" collapsed="false">
      <c r="A112" s="18" t="n">
        <v>2021</v>
      </c>
      <c r="B112" s="18" t="n">
        <v>3</v>
      </c>
      <c r="C112" s="197" t="n">
        <v>7.64142</v>
      </c>
      <c r="D112" s="195"/>
      <c r="E112" s="194"/>
      <c r="F112" s="194"/>
    </row>
    <row r="113" customFormat="false" ht="18.75" hidden="false" customHeight="true" outlineLevel="0" collapsed="false">
      <c r="A113" s="18" t="n">
        <v>2021</v>
      </c>
      <c r="B113" s="18" t="n">
        <v>4</v>
      </c>
      <c r="C113" s="197" t="n">
        <v>8.183046</v>
      </c>
      <c r="D113" s="195"/>
      <c r="E113" s="194"/>
      <c r="F113" s="194"/>
    </row>
    <row r="114" customFormat="false" ht="18.75" hidden="false" customHeight="true" outlineLevel="0" collapsed="false">
      <c r="A114" s="18" t="n">
        <v>2021</v>
      </c>
      <c r="B114" s="18" t="n">
        <v>5</v>
      </c>
      <c r="C114" s="197" t="n">
        <v>8.384721</v>
      </c>
      <c r="D114" s="195"/>
      <c r="E114" s="194"/>
      <c r="F114" s="194"/>
    </row>
    <row r="115" customFormat="false" ht="18.75" hidden="false" customHeight="true" outlineLevel="0" collapsed="false">
      <c r="A115" s="18" t="n">
        <v>2021</v>
      </c>
      <c r="B115" s="18" t="n">
        <v>6</v>
      </c>
      <c r="C115" s="197" t="n">
        <v>8.631709</v>
      </c>
      <c r="D115" s="195"/>
      <c r="E115" s="194"/>
      <c r="F115" s="194"/>
    </row>
    <row r="116" customFormat="false" ht="18.75" hidden="false" customHeight="true" outlineLevel="0" collapsed="false">
      <c r="A116" s="18" t="n">
        <v>2021</v>
      </c>
      <c r="B116" s="18" t="n">
        <v>7</v>
      </c>
      <c r="C116" s="197" t="n">
        <v>8.605101</v>
      </c>
      <c r="D116" s="195"/>
      <c r="E116" s="194"/>
      <c r="F116" s="194"/>
    </row>
    <row r="117" customFormat="false" ht="18.75" hidden="false" customHeight="true" outlineLevel="0" collapsed="false">
      <c r="A117" s="18" t="n">
        <v>2021</v>
      </c>
      <c r="B117" s="18" t="n">
        <v>8</v>
      </c>
      <c r="C117" s="197" t="n">
        <v>8.484798</v>
      </c>
      <c r="D117" s="195"/>
      <c r="E117" s="194"/>
      <c r="F117" s="194"/>
    </row>
    <row r="118" customFormat="false" ht="18.75" hidden="false" customHeight="true" outlineLevel="0" collapsed="false">
      <c r="A118" s="18" t="n">
        <v>2021</v>
      </c>
      <c r="B118" s="18" t="n">
        <v>9</v>
      </c>
      <c r="C118" s="197" t="n">
        <v>8.554109</v>
      </c>
      <c r="D118" s="195"/>
      <c r="E118" s="194"/>
      <c r="F118" s="194"/>
    </row>
    <row r="119" customFormat="false" ht="18.75" hidden="false" customHeight="true" outlineLevel="0" collapsed="false">
      <c r="A119" s="18" t="n">
        <v>2021</v>
      </c>
      <c r="B119" s="18" t="n">
        <v>10</v>
      </c>
      <c r="C119" s="197" t="n">
        <v>9.219938</v>
      </c>
      <c r="D119" s="195"/>
      <c r="E119" s="194"/>
      <c r="F119" s="194"/>
    </row>
    <row r="120" customFormat="false" ht="18.75" hidden="false" customHeight="true" outlineLevel="0" collapsed="false">
      <c r="A120" s="18" t="n">
        <v>2021</v>
      </c>
      <c r="B120" s="18" t="n">
        <v>11</v>
      </c>
      <c r="C120" s="197" t="n">
        <v>10.680956</v>
      </c>
      <c r="D120" s="195"/>
      <c r="E120" s="194"/>
      <c r="F120" s="194"/>
    </row>
    <row r="121" customFormat="false" ht="18.75" hidden="false" customHeight="true" outlineLevel="0" collapsed="false">
      <c r="A121" s="18" t="n">
        <v>2021</v>
      </c>
      <c r="B121" s="18" t="n">
        <v>12</v>
      </c>
      <c r="C121" s="197" t="n">
        <v>13.466856</v>
      </c>
      <c r="D121" s="195" t="n">
        <f aca="false">AVERAGE(C110:C121)/AVERAGE(C98:C109)-1</f>
        <v>0.263009354944354</v>
      </c>
      <c r="E121" s="194"/>
      <c r="F121" s="194"/>
    </row>
    <row r="122" customFormat="false" ht="18.75" hidden="false" customHeight="true" outlineLevel="0" collapsed="false">
      <c r="A122" s="18" t="n">
        <v>2022</v>
      </c>
      <c r="B122" s="18" t="n">
        <v>1</v>
      </c>
      <c r="C122" s="197" t="n">
        <v>13.535066</v>
      </c>
      <c r="D122" s="195"/>
      <c r="E122" s="194"/>
      <c r="F122" s="194"/>
    </row>
    <row r="123" customFormat="false" ht="18.75" hidden="false" customHeight="true" outlineLevel="0" collapsed="false">
      <c r="A123" s="18" t="n">
        <v>2022</v>
      </c>
      <c r="B123" s="18" t="n">
        <v>2</v>
      </c>
      <c r="C123" s="197" t="n">
        <v>13.629202</v>
      </c>
      <c r="D123" s="195"/>
      <c r="E123" s="194"/>
      <c r="F123" s="194"/>
    </row>
    <row r="124" customFormat="false" ht="18.75" hidden="false" customHeight="true" outlineLevel="0" collapsed="false">
      <c r="A124" s="18" t="n">
        <v>2022</v>
      </c>
      <c r="B124" s="18" t="n">
        <v>3</v>
      </c>
      <c r="C124" s="197" t="n">
        <v>14.600894</v>
      </c>
      <c r="D124" s="195"/>
      <c r="E124" s="194"/>
      <c r="F124" s="194"/>
    </row>
    <row r="125" customFormat="false" ht="18.75" hidden="false" customHeight="true" outlineLevel="0" collapsed="false">
      <c r="A125" s="18" t="n">
        <v>2022</v>
      </c>
      <c r="B125" s="18" t="n">
        <v>4</v>
      </c>
      <c r="C125" s="197" t="n">
        <v>14.709928</v>
      </c>
      <c r="D125" s="195"/>
      <c r="E125" s="194"/>
      <c r="F125" s="194"/>
    </row>
    <row r="126" customFormat="false" ht="18.75" hidden="false" customHeight="true" outlineLevel="0" collapsed="false">
      <c r="A126" s="18" t="n">
        <v>2022</v>
      </c>
      <c r="B126" s="18" t="n">
        <v>5</v>
      </c>
      <c r="C126" s="197" t="n">
        <v>15.570749</v>
      </c>
      <c r="D126" s="195"/>
      <c r="E126" s="194"/>
      <c r="F126" s="194"/>
    </row>
    <row r="127" customFormat="false" ht="18.75" hidden="false" customHeight="true" outlineLevel="0" collapsed="false">
      <c r="A127" s="18" t="n">
        <v>2022</v>
      </c>
      <c r="B127" s="18" t="n">
        <v>6</v>
      </c>
      <c r="C127" s="197" t="n">
        <v>16.965875</v>
      </c>
      <c r="D127" s="195"/>
      <c r="E127" s="194"/>
      <c r="F127" s="194"/>
    </row>
    <row r="128" customFormat="false" ht="18.75" hidden="false" customHeight="true" outlineLevel="0" collapsed="false">
      <c r="A128" s="18" t="n">
        <v>2022</v>
      </c>
      <c r="B128" s="18" t="n">
        <v>7</v>
      </c>
      <c r="C128" s="197" t="n">
        <f aca="false">17.410362</f>
        <v>17.410362</v>
      </c>
      <c r="D128" s="195"/>
      <c r="E128" s="194"/>
      <c r="F128" s="194"/>
    </row>
    <row r="129" customFormat="false" ht="18.75" hidden="false" customHeight="true" outlineLevel="0" collapsed="false">
      <c r="A129" s="18" t="n">
        <v>2022</v>
      </c>
      <c r="B129" s="18" t="n">
        <v>8</v>
      </c>
      <c r="C129" s="197" t="n">
        <v>18.018529</v>
      </c>
      <c r="D129" s="195"/>
      <c r="E129" s="194"/>
      <c r="F129" s="194"/>
    </row>
    <row r="130" customFormat="false" ht="18.75" hidden="false" customHeight="true" outlineLevel="0" collapsed="false">
      <c r="A130" s="18" t="n">
        <v>2022</v>
      </c>
      <c r="B130" s="18" t="n">
        <v>9</v>
      </c>
      <c r="C130" s="197" t="n">
        <f aca="false">18.301932</f>
        <v>18.301932</v>
      </c>
      <c r="D130" s="195"/>
      <c r="E130" s="194"/>
      <c r="F130" s="194"/>
    </row>
    <row r="131" customFormat="false" ht="18.75" hidden="false" customHeight="true" outlineLevel="0" collapsed="false">
      <c r="A131" s="18" t="n">
        <v>2022</v>
      </c>
      <c r="B131" s="18" t="n">
        <v>10</v>
      </c>
      <c r="C131" s="197" t="n">
        <f aca="false">18.578678</f>
        <v>18.578678</v>
      </c>
      <c r="D131" s="195"/>
      <c r="E131" s="194"/>
      <c r="F131" s="194"/>
    </row>
    <row r="132" customFormat="false" ht="18.75" hidden="false" customHeight="true" outlineLevel="0" collapsed="false">
      <c r="A132" s="18" t="n">
        <v>2022</v>
      </c>
      <c r="B132" s="18" t="n">
        <v>11</v>
      </c>
      <c r="C132" s="197" t="n">
        <f aca="false">18.598286</f>
        <v>18.598286</v>
      </c>
      <c r="D132" s="195"/>
      <c r="E132" s="194"/>
      <c r="F132" s="194"/>
    </row>
    <row r="133" customFormat="false" ht="18.75" hidden="false" customHeight="true" outlineLevel="0" collapsed="false">
      <c r="A133" s="18" t="n">
        <v>2022</v>
      </c>
      <c r="B133" s="18" t="n">
        <v>12</v>
      </c>
      <c r="C133" s="197" t="n">
        <v>18.653721</v>
      </c>
      <c r="D133" s="195" t="n">
        <f aca="false">AVERAGE(C122:C133)/AVERAGE(C110:C121)-1</f>
        <v>0.867059210663764</v>
      </c>
      <c r="E133" s="194"/>
      <c r="F133" s="194"/>
    </row>
    <row r="134" customFormat="false" ht="18.75" hidden="false" customHeight="true" outlineLevel="0" collapsed="false">
      <c r="A134" s="18" t="n">
        <v>2023</v>
      </c>
      <c r="B134" s="18" t="n">
        <v>1</v>
      </c>
      <c r="C134" s="197" t="n">
        <v>18.779415</v>
      </c>
      <c r="D134" s="195"/>
      <c r="E134" s="194"/>
      <c r="F134" s="194"/>
    </row>
    <row r="135" customFormat="false" ht="18.75" hidden="false" customHeight="true" outlineLevel="0" collapsed="false">
      <c r="A135" s="18" t="n">
        <v>2023</v>
      </c>
      <c r="B135" s="18" t="n">
        <v>2</v>
      </c>
      <c r="C135" s="197" t="n">
        <v>18.848094</v>
      </c>
      <c r="D135" s="195"/>
      <c r="E135" s="194"/>
      <c r="F135" s="194"/>
    </row>
    <row r="136" customFormat="false" ht="18.75" hidden="false" customHeight="true" outlineLevel="0" collapsed="false">
      <c r="A136" s="18" t="n">
        <v>2023</v>
      </c>
      <c r="B136" s="18" t="n">
        <v>3</v>
      </c>
      <c r="C136" s="197" t="n">
        <f aca="false">18.992986</f>
        <v>18.992986</v>
      </c>
      <c r="D136" s="195"/>
      <c r="E136" s="194"/>
      <c r="F136" s="194"/>
    </row>
    <row r="137" customFormat="false" ht="18.75" hidden="false" customHeight="true" outlineLevel="0" collapsed="false">
      <c r="A137" s="18" t="n">
        <v>2023</v>
      </c>
      <c r="B137" s="18" t="n">
        <v>4</v>
      </c>
      <c r="C137" s="197" t="n">
        <v>19.335863</v>
      </c>
      <c r="D137" s="195"/>
      <c r="E137" s="194"/>
      <c r="F137" s="194"/>
    </row>
    <row r="138" customFormat="false" ht="18.75" hidden="false" customHeight="true" outlineLevel="0" collapsed="false">
      <c r="A138" s="18" t="n">
        <v>2023</v>
      </c>
      <c r="B138" s="18" t="n">
        <v>5</v>
      </c>
      <c r="C138" s="197" t="n">
        <v>19.735976</v>
      </c>
      <c r="D138" s="195"/>
      <c r="E138" s="194"/>
      <c r="F138" s="194"/>
    </row>
    <row r="139" customFormat="false" ht="18.75" hidden="false" customHeight="true" outlineLevel="0" collapsed="false">
      <c r="A139" s="18" t="n">
        <v>2023</v>
      </c>
      <c r="B139" s="18" t="n">
        <v>6</v>
      </c>
      <c r="C139" s="197" t="n">
        <v>23.541627</v>
      </c>
      <c r="D139" s="195"/>
      <c r="E139" s="194"/>
      <c r="F139" s="194"/>
    </row>
    <row r="140" customFormat="false" ht="18.75" hidden="false" customHeight="true" outlineLevel="0" collapsed="false">
      <c r="A140" s="18" t="n">
        <v>2023</v>
      </c>
      <c r="B140" s="18" t="n">
        <v>7</v>
      </c>
      <c r="C140" s="197" t="n">
        <v>26.43329</v>
      </c>
      <c r="D140" s="195"/>
      <c r="E140" s="194"/>
      <c r="F140" s="194"/>
    </row>
    <row r="141" customFormat="false" ht="18.75" hidden="false" customHeight="true" outlineLevel="0" collapsed="false">
      <c r="A141" s="18" t="n">
        <v>2023</v>
      </c>
      <c r="B141" s="18" t="n">
        <v>8</v>
      </c>
      <c r="C141" s="197" t="n">
        <v>26.916173</v>
      </c>
      <c r="D141" s="195"/>
      <c r="E141" s="194"/>
      <c r="F141" s="194"/>
    </row>
    <row r="142" customFormat="false" ht="18.75" hidden="false" customHeight="true" outlineLevel="0" collapsed="false">
      <c r="A142" s="18" t="n">
        <v>2023</v>
      </c>
      <c r="B142" s="18" t="n">
        <v>9</v>
      </c>
      <c r="C142" s="197" t="n">
        <f aca="false">26.984571</f>
        <v>26.984571</v>
      </c>
      <c r="D142" s="195"/>
      <c r="E142" s="194"/>
      <c r="F142" s="194"/>
    </row>
    <row r="143" customFormat="false" ht="18.75" hidden="false" customHeight="true" outlineLevel="0" collapsed="false">
      <c r="A143" s="18" t="n">
        <v>2023</v>
      </c>
      <c r="B143" s="18" t="n">
        <v>10</v>
      </c>
      <c r="C143" s="197" t="n">
        <f aca="false">27.86033</f>
        <v>27.86033</v>
      </c>
      <c r="D143" s="195"/>
      <c r="E143" s="194"/>
      <c r="F143" s="194"/>
    </row>
    <row r="144" customFormat="false" ht="18.75" hidden="false" customHeight="true" outlineLevel="0" collapsed="false">
      <c r="A144" s="18" t="n">
        <v>2023</v>
      </c>
      <c r="B144" s="18" t="n">
        <v>11</v>
      </c>
      <c r="C144" s="197" t="n">
        <v>28.646301</v>
      </c>
      <c r="D144" s="195"/>
      <c r="E144" s="194"/>
      <c r="F144" s="194"/>
    </row>
    <row r="145" customFormat="false" ht="18.75" hidden="false" customHeight="true" outlineLevel="0" collapsed="false">
      <c r="A145" s="18" t="n">
        <v>2023</v>
      </c>
      <c r="B145" s="18" t="n">
        <v>12</v>
      </c>
      <c r="C145" s="197" t="n">
        <v>29.088107</v>
      </c>
      <c r="D145" s="195" t="n">
        <f aca="false">AVERAGE(C134:C145)/AVERAGE(C122:C133)-1</f>
        <v>0.436058347283099</v>
      </c>
      <c r="E145" s="194"/>
      <c r="F145" s="194"/>
    </row>
    <row r="146" customFormat="false" ht="18.75" hidden="false" customHeight="true" outlineLevel="0" collapsed="false">
      <c r="A146" s="18" t="n">
        <v>2024</v>
      </c>
      <c r="B146" s="18" t="n">
        <v>1</v>
      </c>
      <c r="C146" s="197" t="n">
        <v>30.065751</v>
      </c>
      <c r="D146" s="195"/>
      <c r="E146" s="194"/>
      <c r="F146" s="194"/>
    </row>
    <row r="147" customFormat="false" ht="18.75" hidden="false" customHeight="true" outlineLevel="0" collapsed="false">
      <c r="A147" s="18" t="n">
        <v>2024</v>
      </c>
      <c r="B147" s="18" t="n">
        <v>2</v>
      </c>
      <c r="C147" s="197" t="n">
        <v>30.78419</v>
      </c>
      <c r="D147" s="195"/>
      <c r="E147" s="194"/>
      <c r="F147" s="194"/>
    </row>
    <row r="148" customFormat="false" ht="18.75" hidden="false" customHeight="true" outlineLevel="0" collapsed="false">
      <c r="A148" s="18" t="n">
        <v>2024</v>
      </c>
      <c r="B148" s="18" t="n">
        <v>3</v>
      </c>
      <c r="C148" s="197" t="n">
        <v>32.02692</v>
      </c>
      <c r="D148" s="195"/>
      <c r="E148" s="194"/>
      <c r="F148" s="194"/>
    </row>
    <row r="149" customFormat="false" ht="18.75" hidden="false" customHeight="true" outlineLevel="0" collapsed="false">
      <c r="A149" s="18" t="n">
        <v>2024</v>
      </c>
      <c r="B149" s="18" t="n">
        <v>4</v>
      </c>
      <c r="C149" s="197" t="n">
        <v>32.366499</v>
      </c>
      <c r="D149" s="195"/>
      <c r="E149" s="194"/>
      <c r="F149" s="194"/>
    </row>
    <row r="150" customFormat="false" ht="18.75" hidden="false" customHeight="true" outlineLevel="0" collapsed="false">
      <c r="A150" s="18" t="n">
        <v>2024</v>
      </c>
      <c r="B150" s="18" t="n">
        <v>5</v>
      </c>
      <c r="C150" s="197" t="n">
        <v>32.26418</v>
      </c>
      <c r="D150" s="195"/>
      <c r="E150" s="194"/>
      <c r="F150" s="194"/>
    </row>
    <row r="151" customFormat="false" ht="18.75" hidden="false" customHeight="true" outlineLevel="0" collapsed="false">
      <c r="A151" s="18" t="n">
        <v>2024</v>
      </c>
      <c r="B151" s="18" t="n">
        <v>6</v>
      </c>
      <c r="C151" s="197" t="n">
        <v>32.591018</v>
      </c>
      <c r="D151" s="195"/>
      <c r="E151" s="194"/>
      <c r="F151" s="194"/>
    </row>
    <row r="152" customFormat="false" ht="18.75" hidden="false" customHeight="true" outlineLevel="0" collapsed="false">
      <c r="A152" s="18" t="n">
        <v>2024</v>
      </c>
      <c r="B152" s="18" t="n">
        <v>7</v>
      </c>
      <c r="C152" s="197" t="n">
        <v>32.911131</v>
      </c>
      <c r="D152" s="195"/>
      <c r="E152" s="194"/>
      <c r="F152" s="194"/>
    </row>
    <row r="153" customFormat="false" ht="18.75" hidden="false" customHeight="true" outlineLevel="0" collapsed="false">
      <c r="A153" s="18" t="n">
        <v>2024</v>
      </c>
      <c r="B153" s="18" t="n">
        <v>8</v>
      </c>
      <c r="C153" s="197" t="n">
        <v>33.678</v>
      </c>
      <c r="D153" s="195"/>
      <c r="E153" s="194"/>
      <c r="F153" s="194"/>
    </row>
    <row r="154" customFormat="false" ht="18.75" hidden="false" customHeight="true" outlineLevel="0" collapsed="false">
      <c r="A154" s="18" t="n">
        <v>2024</v>
      </c>
      <c r="B154" s="18" t="n">
        <v>9</v>
      </c>
      <c r="C154" s="197" t="n">
        <v>34.062282</v>
      </c>
      <c r="D154" s="195"/>
      <c r="E154" s="194"/>
      <c r="F154" s="194"/>
    </row>
    <row r="155" customFormat="false" ht="18.75" hidden="false" customHeight="true" outlineLevel="0" collapsed="false">
      <c r="A155" s="18" t="n">
        <v>2024</v>
      </c>
      <c r="B155" s="18" t="n">
        <v>10</v>
      </c>
      <c r="C155" s="197" t="n">
        <v>34.2626</v>
      </c>
      <c r="D155" s="195"/>
      <c r="E155" s="194"/>
      <c r="F155" s="194"/>
    </row>
    <row r="156" customFormat="false" ht="18.75" hidden="false" customHeight="true" outlineLevel="0" collapsed="false">
      <c r="A156" s="18" t="n">
        <v>2024</v>
      </c>
      <c r="B156" s="18" t="n">
        <v>11</v>
      </c>
      <c r="C156" s="197" t="n">
        <v>34.46339</v>
      </c>
      <c r="D156" s="195"/>
      <c r="E156" s="194"/>
      <c r="F156" s="194"/>
    </row>
    <row r="157" customFormat="false" ht="18.75" hidden="false" customHeight="true" outlineLevel="0" collapsed="false">
      <c r="A157" s="18" t="n">
        <v>2024</v>
      </c>
      <c r="B157" s="18" t="n">
        <v>12</v>
      </c>
      <c r="C157" s="197" t="n">
        <v>34.9875</v>
      </c>
      <c r="D157" s="195" t="n">
        <f aca="false">AVERAGE(C146:C157)/AVERAGE(C134:C145)-1</f>
        <v>0.383292469005759</v>
      </c>
      <c r="E157" s="194"/>
      <c r="F157" s="194"/>
    </row>
    <row r="158" customFormat="false" ht="18.75" hidden="false" customHeight="true" outlineLevel="0" collapsed="false">
      <c r="A158" s="18" t="n">
        <v>2025</v>
      </c>
      <c r="B158" s="18" t="n">
        <v>1</v>
      </c>
      <c r="C158" s="197" t="n">
        <v>35.5237</v>
      </c>
      <c r="D158" s="195" t="n">
        <f aca="false">C158/C157-1</f>
        <v>0.0153254733833512</v>
      </c>
      <c r="E158" s="194"/>
      <c r="F158" s="194"/>
    </row>
    <row r="159" customFormat="false" ht="18.75" hidden="false" customHeight="true" outlineLevel="0" collapsed="false">
      <c r="A159" s="18" t="n">
        <v>2025</v>
      </c>
      <c r="B159" s="18" t="n">
        <v>2</v>
      </c>
      <c r="C159" s="197" t="n">
        <v>36.169082</v>
      </c>
      <c r="D159" s="195" t="n">
        <f aca="false">C159/C158-1</f>
        <v>0.0181676458251816</v>
      </c>
      <c r="E159" s="194"/>
      <c r="F159" s="194"/>
    </row>
    <row r="160" customFormat="false" ht="18.75" hidden="false" customHeight="true" outlineLevel="0" collapsed="false">
      <c r="A160" s="18" t="n">
        <v>2025</v>
      </c>
      <c r="B160" s="18" t="n">
        <v>3</v>
      </c>
      <c r="C160" s="197" t="n">
        <v>37.092994</v>
      </c>
      <c r="D160" s="195" t="n">
        <f aca="false">C160/C159-1</f>
        <v>0.0255442479850607</v>
      </c>
      <c r="E160" s="194"/>
      <c r="F160" s="194"/>
    </row>
    <row r="161" customFormat="false" ht="18.75" hidden="false" customHeight="true" outlineLevel="0" collapsed="false">
      <c r="A161" s="18" t="n">
        <v>2025</v>
      </c>
      <c r="B161" s="18" t="n">
        <v>4</v>
      </c>
      <c r="C161" s="197" t="n">
        <v>38.131488</v>
      </c>
      <c r="D161" s="195" t="n">
        <f aca="false">C161/C160-1</f>
        <v>0.027997039009577</v>
      </c>
      <c r="E161" s="194"/>
      <c r="F161" s="194"/>
    </row>
    <row r="162" customFormat="false" ht="18.75" hidden="false" customHeight="true" outlineLevel="0" collapsed="false">
      <c r="A162" s="18" t="n">
        <v>2025</v>
      </c>
      <c r="B162" s="18" t="n">
        <v>5</v>
      </c>
      <c r="C162" s="197" t="n">
        <f aca="false">38.826157</f>
        <v>38.826157</v>
      </c>
      <c r="D162" s="195" t="n">
        <f aca="false">C162/C161-1</f>
        <v>0.0182177259906564</v>
      </c>
      <c r="E162" s="194"/>
      <c r="F162" s="194"/>
    </row>
    <row r="163" customFormat="false" ht="18.75" hidden="false" customHeight="true" outlineLevel="0" collapsed="false">
      <c r="A163" s="18" t="n">
        <v>2025</v>
      </c>
      <c r="B163" s="18" t="n">
        <v>6</v>
      </c>
      <c r="C163" s="197" t="n">
        <f aca="false">39.477254</f>
        <v>39.477254</v>
      </c>
      <c r="D163" s="195" t="n">
        <f aca="false">C163/C162-1</f>
        <v>0.0167695453351204</v>
      </c>
      <c r="E163" s="194"/>
      <c r="F163" s="194"/>
    </row>
    <row r="164" customFormat="false" ht="18.75" hidden="false" customHeight="true" outlineLevel="0" collapsed="false">
      <c r="A164" s="18" t="n">
        <v>2025</v>
      </c>
      <c r="B164" s="18" t="n">
        <v>7</v>
      </c>
      <c r="C164" s="197" t="n">
        <v>40.244021</v>
      </c>
      <c r="D164" s="195" t="n">
        <f aca="false">C164/C163-1</f>
        <v>0.019423007486792</v>
      </c>
      <c r="E164" s="194"/>
      <c r="F164" s="195"/>
    </row>
    <row r="165" customFormat="false" ht="18.75" hidden="false" customHeight="true" outlineLevel="0" collapsed="false">
      <c r="A165" s="18" t="n">
        <v>2025</v>
      </c>
      <c r="B165" s="18" t="n">
        <v>8</v>
      </c>
      <c r="C165" s="197" t="n">
        <v>40.85612</v>
      </c>
      <c r="D165" s="195" t="n">
        <f aca="false">C165/C164-1</f>
        <v>0.0152096879186103</v>
      </c>
      <c r="E165" s="194"/>
      <c r="F165" s="195"/>
    </row>
    <row r="166" customFormat="false" ht="18.75" hidden="false" customHeight="true" outlineLevel="0" collapsed="false">
      <c r="A166" s="18" t="n">
        <v>2025</v>
      </c>
      <c r="B166" s="18" t="n">
        <v>9</v>
      </c>
      <c r="C166" s="197" t="n">
        <v>41.347521</v>
      </c>
      <c r="D166" s="195" t="n">
        <f aca="false">C166/C165-1</f>
        <v>0.0120275983133005</v>
      </c>
      <c r="E166" s="194"/>
      <c r="F166" s="195"/>
    </row>
    <row r="167" customFormat="false" ht="18.75" hidden="false" customHeight="true" outlineLevel="0" collapsed="false">
      <c r="A167" s="18" t="n">
        <v>2025</v>
      </c>
      <c r="B167" s="18" t="n">
        <v>10</v>
      </c>
      <c r="C167" s="197" t="n">
        <v>41.847826</v>
      </c>
      <c r="D167" s="195" t="n">
        <f aca="false">C167/C166-1</f>
        <v>0.0120999999008404</v>
      </c>
      <c r="E167" s="194"/>
      <c r="F167" s="194"/>
    </row>
    <row r="168" customFormat="false" ht="18.75" hidden="false" customHeight="true" outlineLevel="0" collapsed="false">
      <c r="A168" s="18" t="n">
        <v>2025</v>
      </c>
      <c r="B168" s="18" t="n">
        <v>11</v>
      </c>
      <c r="C168" s="199" t="n">
        <f aca="false">C167*(1+F12)</f>
        <v>43.1816648593448</v>
      </c>
      <c r="D168" s="195"/>
      <c r="E168" s="194"/>
      <c r="F168" s="194"/>
    </row>
    <row r="169" customFormat="false" ht="18.75" hidden="false" customHeight="true" outlineLevel="0" collapsed="false">
      <c r="A169" s="18" t="n">
        <v>2025</v>
      </c>
      <c r="B169" s="18" t="n">
        <v>12</v>
      </c>
      <c r="C169" s="199" t="n">
        <f aca="false">C168*(1+F13)</f>
        <v>45.2043004238843</v>
      </c>
      <c r="D169" s="195" t="n">
        <f aca="false">AVERAGE(C158:C169)/AVERAGE(C146:C157)-1</f>
        <v>0.211524451648081</v>
      </c>
      <c r="E169" s="194"/>
      <c r="F169" s="194"/>
    </row>
  </sheetData>
  <conditionalFormatting sqref="F3:F14">
    <cfRule type="colorScale" priority="2">
      <colorScale>
        <cfvo type="min" val="0"/>
        <cfvo type="formula" val="0"/>
        <cfvo type="max" val="0"/>
        <color rgb="FF57BB8A"/>
        <color rgb="FFFFFFFF"/>
        <color rgb="FFE67C73"/>
      </colorScale>
    </cfRule>
  </conditionalFormatting>
  <hyperlinks>
    <hyperlink ref="F1" r:id="rId1" display="X-Rates Average USD/TRY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179687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6" min="2" style="0" width="10.86"/>
    <col collapsed="false" customWidth="true" hidden="false" outlineLevel="0" max="7" min="7" style="0" width="5.14"/>
    <col collapsed="false" customWidth="true" hidden="false" outlineLevel="0" max="10" min="10" style="0" width="7.29"/>
  </cols>
  <sheetData>
    <row r="1" customFormat="false" ht="16.5" hidden="false" customHeight="true" outlineLevel="0" collapsed="false">
      <c r="A1" s="200" t="s">
        <v>114</v>
      </c>
      <c r="B1" s="200"/>
      <c r="C1" s="200"/>
      <c r="D1" s="200"/>
      <c r="E1" s="200"/>
      <c r="F1" s="201"/>
      <c r="G1" s="201"/>
      <c r="H1" s="202"/>
      <c r="I1" s="202"/>
      <c r="J1" s="202"/>
    </row>
    <row r="2" customFormat="false" ht="16.5" hidden="false" customHeight="true" outlineLevel="0" collapsed="false">
      <c r="A2" s="194" t="s">
        <v>115</v>
      </c>
      <c r="B2" s="203" t="n">
        <v>2029.5</v>
      </c>
      <c r="C2" s="194"/>
      <c r="D2" s="194"/>
      <c r="E2" s="194"/>
      <c r="F2" s="18"/>
      <c r="G2" s="18"/>
      <c r="H2" s="204" t="s">
        <v>116</v>
      </c>
      <c r="I2" s="204" t="s">
        <v>117</v>
      </c>
      <c r="J2" s="204" t="s">
        <v>118</v>
      </c>
    </row>
    <row r="3" customFormat="false" ht="16.5" hidden="false" customHeight="true" outlineLevel="0" collapsed="false">
      <c r="A3" s="194" t="s">
        <v>119</v>
      </c>
      <c r="B3" s="203" t="n">
        <f aca="false">B2*0.155</f>
        <v>314.5725</v>
      </c>
      <c r="C3" s="205"/>
      <c r="D3" s="194"/>
      <c r="E3" s="194"/>
      <c r="F3" s="204" t="n">
        <v>2018</v>
      </c>
      <c r="G3" s="206" t="n">
        <v>1</v>
      </c>
      <c r="H3" s="207" t="n">
        <f aca="false">'$'!C74</f>
        <v>3.772753</v>
      </c>
      <c r="I3" s="208" t="n">
        <f aca="false">$B$14/H3</f>
        <v>4.04798326148374</v>
      </c>
      <c r="J3" s="143" t="n">
        <v>100</v>
      </c>
    </row>
    <row r="4" customFormat="false" ht="16.5" hidden="false" customHeight="true" outlineLevel="0" collapsed="false">
      <c r="A4" s="194" t="s">
        <v>120</v>
      </c>
      <c r="B4" s="203" t="n">
        <f aca="false">B2*0.02</f>
        <v>40.59</v>
      </c>
      <c r="C4" s="194"/>
      <c r="D4" s="194"/>
      <c r="E4" s="194"/>
      <c r="F4" s="204" t="n">
        <v>2018</v>
      </c>
      <c r="G4" s="206" t="n">
        <v>2</v>
      </c>
      <c r="H4" s="207" t="n">
        <f aca="false">'$'!C75</f>
        <v>3.78455</v>
      </c>
      <c r="I4" s="208" t="n">
        <f aca="false">$B$14/H4</f>
        <v>4.03536510119104</v>
      </c>
      <c r="J4" s="143" t="n">
        <f aca="false">I4*$J$3/$I$3</f>
        <v>99.6882852650909</v>
      </c>
    </row>
    <row r="5" customFormat="false" ht="16.5" hidden="false" customHeight="true" outlineLevel="0" collapsed="false">
      <c r="A5" s="194" t="s">
        <v>121</v>
      </c>
      <c r="B5" s="209" t="n">
        <f aca="false">SUM(B2:B4)</f>
        <v>2384.6625</v>
      </c>
      <c r="C5" s="194"/>
      <c r="D5" s="194"/>
      <c r="E5" s="194"/>
      <c r="F5" s="204" t="n">
        <v>2018</v>
      </c>
      <c r="G5" s="206" t="n">
        <v>3</v>
      </c>
      <c r="H5" s="207" t="n">
        <f aca="false">'$'!C76</f>
        <v>3.889189</v>
      </c>
      <c r="I5" s="208" t="n">
        <f aca="false">$B$14/H5</f>
        <v>3.92679321928365</v>
      </c>
      <c r="J5" s="143" t="n">
        <f aca="false">I5*$J$3/$I$3</f>
        <v>97.0061624672907</v>
      </c>
    </row>
    <row r="6" customFormat="false" ht="16.5" hidden="false" customHeight="true" outlineLevel="0" collapsed="false">
      <c r="A6" s="194" t="s">
        <v>122</v>
      </c>
      <c r="B6" s="203" t="n">
        <f aca="false">26*5.9*1.08</f>
        <v>165.672</v>
      </c>
      <c r="C6" s="194"/>
      <c r="D6" s="194"/>
      <c r="E6" s="194"/>
      <c r="F6" s="204" t="n">
        <v>2018</v>
      </c>
      <c r="G6" s="206" t="n">
        <v>4</v>
      </c>
      <c r="H6" s="207" t="n">
        <f aca="false">'$'!C77</f>
        <v>4.060187</v>
      </c>
      <c r="I6" s="208" t="n">
        <f aca="false">$B$14/H6</f>
        <v>3.76141320429639</v>
      </c>
      <c r="J6" s="143" t="n">
        <f aca="false">I6*$J$3/$I$3</f>
        <v>92.9206708952075</v>
      </c>
    </row>
    <row r="7" customFormat="false" ht="16.5" hidden="false" customHeight="true" outlineLevel="0" collapsed="false">
      <c r="A7" s="194" t="s">
        <v>123</v>
      </c>
      <c r="B7" s="203" t="n">
        <f aca="false">SUM(C17:C18)/(B19)</f>
        <v>158.991618773946</v>
      </c>
      <c r="C7" s="194"/>
      <c r="D7" s="194"/>
      <c r="E7" s="194"/>
      <c r="F7" s="204" t="n">
        <v>2018</v>
      </c>
      <c r="G7" s="206" t="n">
        <v>5</v>
      </c>
      <c r="H7" s="207" t="n">
        <f aca="false">'$'!C78</f>
        <v>4.417734</v>
      </c>
      <c r="I7" s="208" t="n">
        <f aca="false">$B$14/H7</f>
        <v>3.45698518600544</v>
      </c>
      <c r="J7" s="143" t="n">
        <f aca="false">I7*$J$3/$I$3</f>
        <v>85.400184800624</v>
      </c>
    </row>
    <row r="8" customFormat="false" ht="16.5" hidden="false" customHeight="true" outlineLevel="0" collapsed="false">
      <c r="A8" s="194" t="s">
        <v>124</v>
      </c>
      <c r="B8" s="203" t="n">
        <f aca="false">B5/26*(14/12)</f>
        <v>107.004086538462</v>
      </c>
      <c r="C8" s="194"/>
      <c r="D8" s="194"/>
      <c r="E8" s="194"/>
      <c r="F8" s="204" t="n">
        <v>2018</v>
      </c>
      <c r="G8" s="206" t="n">
        <v>6</v>
      </c>
      <c r="H8" s="207" t="n">
        <f aca="false">'$'!C79</f>
        <v>4.629054</v>
      </c>
      <c r="I8" s="208" t="n">
        <f aca="false">$B$14/H8</f>
        <v>3.29917106037487</v>
      </c>
      <c r="J8" s="143" t="n">
        <f aca="false">I8*$J$3/$I$3</f>
        <v>81.5015983827365</v>
      </c>
    </row>
    <row r="9" customFormat="false" ht="16.5" hidden="false" customHeight="true" outlineLevel="0" collapsed="false">
      <c r="A9" s="194" t="s">
        <v>125</v>
      </c>
      <c r="B9" s="203" t="n">
        <f aca="false">B5/26</f>
        <v>91.7177884615385</v>
      </c>
      <c r="C9" s="194"/>
      <c r="D9" s="194"/>
      <c r="E9" s="194"/>
      <c r="F9" s="204" t="n">
        <v>2018</v>
      </c>
      <c r="G9" s="206" t="n">
        <v>7</v>
      </c>
      <c r="H9" s="207" t="n">
        <f aca="false">'$'!C80</f>
        <v>4.761595</v>
      </c>
      <c r="I9" s="208" t="n">
        <f aca="false">$B$14/H9</f>
        <v>3.20733724596748</v>
      </c>
      <c r="J9" s="143" t="n">
        <f aca="false">I9*$J$3/$I$3</f>
        <v>79.2329671045102</v>
      </c>
    </row>
    <row r="10" customFormat="false" ht="16.5" hidden="false" customHeight="true" outlineLevel="0" collapsed="false">
      <c r="A10" s="194" t="s">
        <v>126</v>
      </c>
      <c r="B10" s="203" t="n">
        <v>50</v>
      </c>
      <c r="C10" s="194"/>
      <c r="D10" s="194"/>
      <c r="E10" s="194"/>
      <c r="F10" s="204" t="n">
        <v>2018</v>
      </c>
      <c r="G10" s="206" t="n">
        <v>8</v>
      </c>
      <c r="H10" s="207" t="n">
        <f aca="false">'$'!C81</f>
        <v>5.888005</v>
      </c>
      <c r="I10" s="208" t="n">
        <f aca="false">$B$14/H10</f>
        <v>2.5937547596703</v>
      </c>
      <c r="J10" s="143" t="n">
        <f aca="false">I10*$J$3/$I$3</f>
        <v>64.0752343111122</v>
      </c>
    </row>
    <row r="11" customFormat="false" ht="16.5" hidden="false" customHeight="true" outlineLevel="0" collapsed="false">
      <c r="A11" s="194" t="s">
        <v>127</v>
      </c>
      <c r="B11" s="203" t="n">
        <v>20</v>
      </c>
      <c r="C11" s="194"/>
      <c r="D11" s="194"/>
      <c r="E11" s="194"/>
      <c r="F11" s="204" t="n">
        <v>2018</v>
      </c>
      <c r="G11" s="206" t="n">
        <v>9</v>
      </c>
      <c r="H11" s="207" t="n">
        <f aca="false">'$'!C82</f>
        <v>6.333883</v>
      </c>
      <c r="I11" s="208" t="n">
        <f aca="false">$B$14/H11</f>
        <v>2.4111656299481</v>
      </c>
      <c r="J11" s="143" t="n">
        <f aca="false">I11*$J$3/$I$3</f>
        <v>59.5646146289725</v>
      </c>
    </row>
    <row r="12" customFormat="false" ht="16.5" hidden="false" customHeight="true" outlineLevel="0" collapsed="false">
      <c r="A12" s="194" t="s">
        <v>128</v>
      </c>
      <c r="B12" s="203"/>
      <c r="C12" s="194"/>
      <c r="D12" s="194"/>
      <c r="E12" s="194"/>
      <c r="F12" s="204" t="n">
        <v>2018</v>
      </c>
      <c r="G12" s="206" t="n">
        <v>10</v>
      </c>
      <c r="H12" s="207" t="n">
        <f aca="false">'$'!C83</f>
        <v>5.831909</v>
      </c>
      <c r="I12" s="208" t="n">
        <f aca="false">$B$14/H12</f>
        <v>2.61870358294558</v>
      </c>
      <c r="J12" s="143" t="n">
        <f aca="false">I12*$J$3/$I$3</f>
        <v>64.6915615452847</v>
      </c>
    </row>
    <row r="13" customFormat="false" ht="16.5" hidden="false" customHeight="true" outlineLevel="0" collapsed="false">
      <c r="A13" s="194" t="s">
        <v>129</v>
      </c>
      <c r="B13" s="209" t="n">
        <f aca="false">SUM(B5:B12)</f>
        <v>2978.04799377395</v>
      </c>
      <c r="C13" s="194"/>
      <c r="D13" s="194"/>
      <c r="E13" s="194"/>
      <c r="F13" s="204" t="n">
        <v>2018</v>
      </c>
      <c r="G13" s="206" t="n">
        <v>11</v>
      </c>
      <c r="H13" s="207" t="n">
        <f aca="false">'$'!C84</f>
        <v>5.374481</v>
      </c>
      <c r="I13" s="208" t="n">
        <f aca="false">$B$14/H13</f>
        <v>2.84158433041489</v>
      </c>
      <c r="J13" s="143" t="n">
        <f aca="false">I13*$J$3/$I$3</f>
        <v>70.1975316314264</v>
      </c>
    </row>
    <row r="14" customFormat="false" ht="16.5" hidden="false" customHeight="true" outlineLevel="0" collapsed="false">
      <c r="A14" s="194" t="s">
        <v>130</v>
      </c>
      <c r="B14" s="209" t="n">
        <f aca="false">B13/26/7.5</f>
        <v>15.2720409937125</v>
      </c>
      <c r="C14" s="194"/>
      <c r="D14" s="18"/>
      <c r="E14" s="18"/>
      <c r="F14" s="204" t="n">
        <v>2018</v>
      </c>
      <c r="G14" s="206" t="n">
        <v>12</v>
      </c>
      <c r="H14" s="207" t="n">
        <f aca="false">'$'!C85</f>
        <v>5.309368</v>
      </c>
      <c r="I14" s="208" t="n">
        <f aca="false">$B$14/H14</f>
        <v>2.87643293772678</v>
      </c>
      <c r="J14" s="143" t="n">
        <f aca="false">I14*$J$3/$I$3</f>
        <v>71.0584197591879</v>
      </c>
    </row>
    <row r="15" customFormat="false" ht="16.5" hidden="false" customHeight="true" outlineLevel="0" collapsed="false">
      <c r="A15" s="194"/>
      <c r="B15" s="194"/>
      <c r="C15" s="194"/>
      <c r="D15" s="18"/>
      <c r="E15" s="18"/>
      <c r="F15" s="204" t="s">
        <v>131</v>
      </c>
      <c r="G15" s="18"/>
      <c r="H15" s="204"/>
      <c r="I15" s="208" t="n">
        <f aca="false">AVERAGE(I3:I14)</f>
        <v>3.25639079327569</v>
      </c>
      <c r="J15" s="204"/>
    </row>
    <row r="16" customFormat="false" ht="16.5" hidden="false" customHeight="true" outlineLevel="0" collapsed="false">
      <c r="A16" s="194" t="s">
        <v>132</v>
      </c>
      <c r="B16" s="204" t="s">
        <v>133</v>
      </c>
      <c r="C16" s="204" t="s">
        <v>134</v>
      </c>
      <c r="D16" s="18"/>
      <c r="E16" s="18"/>
      <c r="F16" s="18"/>
      <c r="G16" s="18"/>
      <c r="H16" s="204"/>
      <c r="I16" s="204"/>
      <c r="J16" s="204"/>
    </row>
    <row r="17" customFormat="false" ht="16.5" hidden="false" customHeight="true" outlineLevel="0" collapsed="false">
      <c r="A17" s="194" t="s">
        <v>135</v>
      </c>
      <c r="B17" s="203" t="n">
        <v>104.5</v>
      </c>
      <c r="C17" s="203" t="n">
        <f aca="false">(7*5+6)*B17*(26/6)</f>
        <v>18566.1666666667</v>
      </c>
      <c r="D17" s="18"/>
      <c r="E17" s="18"/>
      <c r="F17" s="18"/>
      <c r="G17" s="18"/>
      <c r="H17" s="204"/>
      <c r="I17" s="204"/>
      <c r="J17" s="204"/>
    </row>
    <row r="18" customFormat="false" ht="16.5" hidden="false" customHeight="true" outlineLevel="0" collapsed="false">
      <c r="A18" s="194" t="s">
        <v>136</v>
      </c>
      <c r="B18" s="203" t="n">
        <v>154</v>
      </c>
      <c r="C18" s="203" t="n">
        <f aca="false">(9+5+5+4)*26*B18</f>
        <v>92092</v>
      </c>
      <c r="D18" s="18"/>
      <c r="E18" s="18"/>
      <c r="F18" s="18"/>
      <c r="G18" s="18"/>
      <c r="H18" s="204"/>
      <c r="I18" s="204"/>
      <c r="J18" s="204"/>
    </row>
    <row r="19" customFormat="false" ht="16.5" hidden="false" customHeight="true" outlineLevel="0" collapsed="false">
      <c r="A19" s="194" t="s">
        <v>137</v>
      </c>
      <c r="B19" s="210" t="n">
        <f aca="false">MIN(Σ!I51:I62)</f>
        <v>696</v>
      </c>
      <c r="C19" s="194"/>
      <c r="D19" s="18"/>
      <c r="E19" s="18"/>
      <c r="F19" s="18"/>
      <c r="G19" s="18"/>
      <c r="H19" s="204"/>
      <c r="I19" s="204"/>
      <c r="J19" s="204"/>
    </row>
    <row r="20" customFormat="false" ht="16.5" hidden="false" customHeight="true" outlineLevel="0" collapsed="false">
      <c r="A20" s="194"/>
      <c r="B20" s="194"/>
      <c r="C20" s="194"/>
      <c r="D20" s="18"/>
      <c r="E20" s="18"/>
      <c r="F20" s="18"/>
      <c r="G20" s="18"/>
      <c r="H20" s="204"/>
      <c r="I20" s="204"/>
      <c r="J20" s="204"/>
    </row>
    <row r="21" customFormat="false" ht="17.25" hidden="false" customHeight="true" outlineLevel="0" collapsed="false">
      <c r="A21" s="200" t="s">
        <v>138</v>
      </c>
      <c r="B21" s="200"/>
      <c r="C21" s="200"/>
      <c r="D21" s="200"/>
      <c r="E21" s="200"/>
      <c r="F21" s="211"/>
      <c r="G21" s="211"/>
      <c r="H21" s="212"/>
      <c r="I21" s="212"/>
      <c r="J21" s="212"/>
    </row>
    <row r="22" customFormat="false" ht="17.25" hidden="false" customHeight="true" outlineLevel="0" collapsed="false">
      <c r="A22" s="194" t="s">
        <v>115</v>
      </c>
      <c r="B22" s="203" t="n">
        <v>2558.4</v>
      </c>
      <c r="C22" s="213" t="n">
        <f aca="false">B22/B2-1</f>
        <v>0.260606060606061</v>
      </c>
      <c r="D22" s="194"/>
      <c r="E22" s="194"/>
      <c r="F22" s="18"/>
      <c r="G22" s="18"/>
      <c r="H22" s="204" t="s">
        <v>116</v>
      </c>
      <c r="I22" s="204" t="s">
        <v>117</v>
      </c>
      <c r="J22" s="204" t="s">
        <v>118</v>
      </c>
    </row>
    <row r="23" customFormat="false" ht="17.25" hidden="false" customHeight="true" outlineLevel="0" collapsed="false">
      <c r="A23" s="194" t="s">
        <v>119</v>
      </c>
      <c r="B23" s="203" t="n">
        <f aca="false">B22*0.155</f>
        <v>396.552</v>
      </c>
      <c r="C23" s="213" t="n">
        <f aca="false">B23/B3-1</f>
        <v>0.260606060606061</v>
      </c>
      <c r="D23" s="194"/>
      <c r="E23" s="194"/>
      <c r="F23" s="204" t="n">
        <v>2019</v>
      </c>
      <c r="G23" s="206" t="n">
        <v>1</v>
      </c>
      <c r="H23" s="207" t="n">
        <f aca="false">'$'!C86</f>
        <v>5.36303</v>
      </c>
      <c r="I23" s="208" t="n">
        <f aca="false">$B$34/H23</f>
        <v>3.59067972338829</v>
      </c>
      <c r="J23" s="143" t="n">
        <v>100</v>
      </c>
    </row>
    <row r="24" customFormat="false" ht="17.25" hidden="false" customHeight="true" outlineLevel="0" collapsed="false">
      <c r="A24" s="194" t="s">
        <v>120</v>
      </c>
      <c r="B24" s="203" t="n">
        <f aca="false">B22*0.02</f>
        <v>51.168</v>
      </c>
      <c r="C24" s="213" t="n">
        <f aca="false">B24/B4-1</f>
        <v>0.260606060606061</v>
      </c>
      <c r="D24" s="194"/>
      <c r="E24" s="194"/>
      <c r="F24" s="204" t="n">
        <v>2019</v>
      </c>
      <c r="G24" s="206" t="n">
        <v>2</v>
      </c>
      <c r="H24" s="207" t="n">
        <f aca="false">'$'!C87</f>
        <v>5.269724</v>
      </c>
      <c r="I24" s="208" t="n">
        <f aca="false">$B$34/H24</f>
        <v>3.6542564804007</v>
      </c>
      <c r="J24" s="143" t="n">
        <f aca="false">I24*$J$23/$I$23</f>
        <v>101.770605063946</v>
      </c>
    </row>
    <row r="25" customFormat="false" ht="17.25" hidden="false" customHeight="true" outlineLevel="0" collapsed="false">
      <c r="A25" s="194" t="s">
        <v>121</v>
      </c>
      <c r="B25" s="209" t="n">
        <f aca="false">SUM(B22:B24)</f>
        <v>3006.12</v>
      </c>
      <c r="C25" s="213" t="n">
        <f aca="false">B25/B5-1</f>
        <v>0.26060606060606</v>
      </c>
      <c r="D25" s="194"/>
      <c r="E25" s="194"/>
      <c r="F25" s="204" t="n">
        <v>2019</v>
      </c>
      <c r="G25" s="206" t="n">
        <v>3</v>
      </c>
      <c r="H25" s="207" t="n">
        <f aca="false">'$'!C88</f>
        <v>5.476742</v>
      </c>
      <c r="I25" s="208" t="n">
        <f aca="false">$B$34/H25</f>
        <v>3.51612748545085</v>
      </c>
      <c r="J25" s="143" t="n">
        <f aca="false">I25*$J$23/$I$23</f>
        <v>97.9237291075607</v>
      </c>
    </row>
    <row r="26" customFormat="false" ht="17.25" hidden="false" customHeight="true" outlineLevel="0" collapsed="false">
      <c r="A26" s="194" t="s">
        <v>139</v>
      </c>
      <c r="B26" s="203" t="n">
        <f aca="false">26*7.5*1.08</f>
        <v>210.6</v>
      </c>
      <c r="C26" s="213" t="n">
        <f aca="false">B26/B6-1</f>
        <v>0.271186440677966</v>
      </c>
      <c r="D26" s="194"/>
      <c r="E26" s="194"/>
      <c r="F26" s="204" t="n">
        <v>2019</v>
      </c>
      <c r="G26" s="206" t="n">
        <v>4</v>
      </c>
      <c r="H26" s="207" t="n">
        <f aca="false">'$'!C89</f>
        <v>5.764748</v>
      </c>
      <c r="I26" s="208" t="n">
        <f aca="false">$B$34/H26</f>
        <v>3.3404622503747</v>
      </c>
      <c r="J26" s="143" t="n">
        <f aca="false">I26*$J$23/$I$23</f>
        <v>93.0314733618885</v>
      </c>
    </row>
    <row r="27" customFormat="false" ht="17.25" hidden="false" customHeight="true" outlineLevel="0" collapsed="false">
      <c r="A27" s="194" t="s">
        <v>123</v>
      </c>
      <c r="B27" s="203" t="n">
        <f aca="false">SUM(C37:C38)/(B39)</f>
        <v>189.87</v>
      </c>
      <c r="C27" s="213" t="n">
        <f aca="false">B27/B7-1</f>
        <v>0.194213892934548</v>
      </c>
      <c r="D27" s="194"/>
      <c r="E27" s="194"/>
      <c r="F27" s="204" t="n">
        <v>2019</v>
      </c>
      <c r="G27" s="206" t="n">
        <v>5</v>
      </c>
      <c r="H27" s="207" t="n">
        <f aca="false">'$'!C90</f>
        <v>6.044426</v>
      </c>
      <c r="I27" s="208" t="n">
        <f aca="false">$B$34/H27</f>
        <v>3.185897730723</v>
      </c>
      <c r="J27" s="143" t="n">
        <f aca="false">I27*$J$23/$I$23</f>
        <v>88.7268700121401</v>
      </c>
    </row>
    <row r="28" customFormat="false" ht="17.25" hidden="false" customHeight="true" outlineLevel="0" collapsed="false">
      <c r="A28" s="194" t="s">
        <v>124</v>
      </c>
      <c r="B28" s="203" t="n">
        <f aca="false">B25/26*(14/12)</f>
        <v>134.89</v>
      </c>
      <c r="C28" s="213" t="n">
        <f aca="false">B28/B8-1</f>
        <v>0.26060606060606</v>
      </c>
      <c r="D28" s="194"/>
      <c r="E28" s="194"/>
      <c r="F28" s="204" t="n">
        <v>2019</v>
      </c>
      <c r="G28" s="206" t="n">
        <v>6</v>
      </c>
      <c r="H28" s="207" t="n">
        <f aca="false">'$'!C91</f>
        <v>5.820426</v>
      </c>
      <c r="I28" s="208" t="n">
        <f aca="false">$B$34/H28</f>
        <v>3.30850750046871</v>
      </c>
      <c r="J28" s="143" t="n">
        <f aca="false">I28*$J$23/$I$23</f>
        <v>92.1415374063685</v>
      </c>
    </row>
    <row r="29" customFormat="false" ht="17.25" hidden="false" customHeight="true" outlineLevel="0" collapsed="false">
      <c r="A29" s="194" t="s">
        <v>125</v>
      </c>
      <c r="B29" s="203" t="n">
        <f aca="false">B25/26</f>
        <v>115.62</v>
      </c>
      <c r="C29" s="213" t="n">
        <f aca="false">B29/B9-1</f>
        <v>0.26060606060606</v>
      </c>
      <c r="D29" s="194"/>
      <c r="E29" s="194"/>
      <c r="F29" s="204" t="n">
        <v>2019</v>
      </c>
      <c r="G29" s="206" t="n">
        <v>7</v>
      </c>
      <c r="H29" s="207" t="n">
        <f aca="false">'$'!C92</f>
        <v>5.676879</v>
      </c>
      <c r="I29" s="208" t="n">
        <f aca="false">$B$34/H29</f>
        <v>3.39216725896801</v>
      </c>
      <c r="J29" s="143" t="n">
        <f aca="false">I29*$J$23/$I$23</f>
        <v>94.4714516550379</v>
      </c>
    </row>
    <row r="30" customFormat="false" ht="17.25" hidden="false" customHeight="true" outlineLevel="0" collapsed="false">
      <c r="A30" s="194" t="s">
        <v>126</v>
      </c>
      <c r="B30" s="203" t="n">
        <f aca="false">50*1.4</f>
        <v>70</v>
      </c>
      <c r="C30" s="213" t="n">
        <f aca="false">B30/B10-1</f>
        <v>0.4</v>
      </c>
      <c r="D30" s="194"/>
      <c r="E30" s="194"/>
      <c r="F30" s="204" t="n">
        <v>2019</v>
      </c>
      <c r="G30" s="206" t="n">
        <v>8</v>
      </c>
      <c r="H30" s="207" t="n">
        <f aca="false">'$'!C93</f>
        <v>5.641561</v>
      </c>
      <c r="I30" s="208" t="n">
        <f aca="false">$B$34/H30</f>
        <v>3.41340332523624</v>
      </c>
      <c r="J30" s="143" t="n">
        <f aca="false">I30*$J$23/$I$23</f>
        <v>95.062873555741</v>
      </c>
    </row>
    <row r="31" customFormat="false" ht="17.25" hidden="false" customHeight="true" outlineLevel="0" collapsed="false">
      <c r="A31" s="194" t="s">
        <v>127</v>
      </c>
      <c r="B31" s="203" t="n">
        <f aca="false">20*1.4</f>
        <v>28</v>
      </c>
      <c r="C31" s="213" t="n">
        <f aca="false">B31/B11-1</f>
        <v>0.4</v>
      </c>
      <c r="D31" s="194"/>
      <c r="E31" s="194"/>
      <c r="F31" s="204" t="n">
        <v>2019</v>
      </c>
      <c r="G31" s="206" t="n">
        <v>9</v>
      </c>
      <c r="H31" s="207" t="n">
        <f aca="false">'$'!C94</f>
        <v>5.719617</v>
      </c>
      <c r="I31" s="208" t="n">
        <f aca="false">$B$34/H31</f>
        <v>3.36682037921824</v>
      </c>
      <c r="J31" s="143" t="n">
        <f aca="false">I31*$J$23/$I$23</f>
        <v>93.7655440915012</v>
      </c>
    </row>
    <row r="32" customFormat="false" ht="17.25" hidden="false" customHeight="true" outlineLevel="0" collapsed="false">
      <c r="A32" s="194" t="s">
        <v>128</v>
      </c>
      <c r="B32" s="203"/>
      <c r="C32" s="213"/>
      <c r="D32" s="194"/>
      <c r="E32" s="194"/>
      <c r="F32" s="204" t="n">
        <v>2019</v>
      </c>
      <c r="G32" s="206" t="n">
        <v>10</v>
      </c>
      <c r="H32" s="207" t="n">
        <f aca="false">'$'!C95</f>
        <v>5.792574</v>
      </c>
      <c r="I32" s="208" t="n">
        <f aca="false">$B$34/H32</f>
        <v>3.32441554944712</v>
      </c>
      <c r="J32" s="143" t="n">
        <f aca="false">I32*$J$23/$I$23</f>
        <v>92.584574664044</v>
      </c>
    </row>
    <row r="33" customFormat="false" ht="17.25" hidden="false" customHeight="true" outlineLevel="0" collapsed="false">
      <c r="A33" s="194" t="s">
        <v>129</v>
      </c>
      <c r="B33" s="209" t="n">
        <f aca="false">SUM(B25:B32)</f>
        <v>3755.1</v>
      </c>
      <c r="C33" s="213" t="n">
        <f aca="false">B33/B13-1</f>
        <v>0.260926623026424</v>
      </c>
      <c r="D33" s="194"/>
      <c r="E33" s="194"/>
      <c r="F33" s="204" t="n">
        <v>2019</v>
      </c>
      <c r="G33" s="206" t="n">
        <v>11</v>
      </c>
      <c r="H33" s="207" t="n">
        <f aca="false">'$'!C96</f>
        <v>5.740255</v>
      </c>
      <c r="I33" s="208" t="n">
        <f aca="false">$B$34/H33</f>
        <v>3.3547156140142</v>
      </c>
      <c r="J33" s="143" t="n">
        <f aca="false">I33*$J$23/$I$23</f>
        <v>93.4284278311678</v>
      </c>
    </row>
    <row r="34" customFormat="false" ht="17.25" hidden="false" customHeight="true" outlineLevel="0" collapsed="false">
      <c r="A34" s="194" t="s">
        <v>130</v>
      </c>
      <c r="B34" s="209" t="n">
        <f aca="false">B33/26/7.5</f>
        <v>19.2569230769231</v>
      </c>
      <c r="C34" s="213" t="n">
        <f aca="false">B34/B14-1</f>
        <v>0.260926623026424</v>
      </c>
      <c r="D34" s="18"/>
      <c r="E34" s="18"/>
      <c r="F34" s="204" t="n">
        <v>2019</v>
      </c>
      <c r="G34" s="206" t="n">
        <v>12</v>
      </c>
      <c r="H34" s="207" t="n">
        <f aca="false">'$'!C97</f>
        <v>5.853509</v>
      </c>
      <c r="I34" s="208" t="n">
        <f aca="false">$B$34/H34</f>
        <v>3.28980839987144</v>
      </c>
      <c r="J34" s="143" t="n">
        <f aca="false">I34*$J$23/$I$23</f>
        <v>91.6207696955792</v>
      </c>
    </row>
    <row r="35" customFormat="false" ht="17.25" hidden="false" customHeight="true" outlineLevel="0" collapsed="false">
      <c r="A35" s="194"/>
      <c r="B35" s="194"/>
      <c r="C35" s="194"/>
      <c r="D35" s="18"/>
      <c r="E35" s="18"/>
      <c r="F35" s="204" t="s">
        <v>131</v>
      </c>
      <c r="G35" s="18"/>
      <c r="H35" s="204"/>
      <c r="I35" s="208" t="n">
        <f aca="false">AVERAGE(I23:I34)</f>
        <v>3.39477180813012</v>
      </c>
      <c r="J35" s="204"/>
    </row>
    <row r="36" customFormat="false" ht="17.25" hidden="false" customHeight="true" outlineLevel="0" collapsed="false">
      <c r="A36" s="194" t="s">
        <v>132</v>
      </c>
      <c r="B36" s="204" t="s">
        <v>133</v>
      </c>
      <c r="C36" s="204" t="s">
        <v>134</v>
      </c>
      <c r="D36" s="18"/>
      <c r="E36" s="18"/>
      <c r="F36" s="18"/>
      <c r="G36" s="18"/>
      <c r="H36" s="204"/>
      <c r="I36" s="204"/>
      <c r="J36" s="204"/>
    </row>
    <row r="37" customFormat="false" ht="17.25" hidden="false" customHeight="true" outlineLevel="0" collapsed="false">
      <c r="A37" s="194" t="s">
        <v>135</v>
      </c>
      <c r="B37" s="203" t="n">
        <v>142</v>
      </c>
      <c r="C37" s="214" t="n">
        <f aca="false">(B39*0.21)*B37</f>
        <v>22365</v>
      </c>
      <c r="D37" s="18"/>
      <c r="E37" s="18"/>
      <c r="F37" s="18"/>
      <c r="G37" s="18"/>
      <c r="H37" s="204"/>
      <c r="I37" s="204"/>
      <c r="J37" s="204"/>
    </row>
    <row r="38" customFormat="false" ht="17.25" hidden="false" customHeight="true" outlineLevel="0" collapsed="false">
      <c r="A38" s="194" t="s">
        <v>136</v>
      </c>
      <c r="B38" s="203" t="n">
        <v>165</v>
      </c>
      <c r="C38" s="214" t="n">
        <f aca="false">(B39*0.97)*B38</f>
        <v>120037.5</v>
      </c>
      <c r="D38" s="18"/>
      <c r="E38" s="18"/>
      <c r="F38" s="18"/>
      <c r="G38" s="18"/>
      <c r="H38" s="204"/>
      <c r="I38" s="204"/>
      <c r="J38" s="204"/>
    </row>
    <row r="39" customFormat="false" ht="17.25" hidden="false" customHeight="true" outlineLevel="0" collapsed="false">
      <c r="A39" s="194" t="s">
        <v>140</v>
      </c>
      <c r="B39" s="194" t="n">
        <v>750</v>
      </c>
      <c r="C39" s="194"/>
      <c r="D39" s="18"/>
      <c r="E39" s="18"/>
      <c r="F39" s="18"/>
      <c r="G39" s="18"/>
      <c r="H39" s="204"/>
      <c r="I39" s="204"/>
      <c r="J39" s="204"/>
    </row>
    <row r="40" customFormat="false" ht="17.25" hidden="false" customHeight="true" outlineLevel="0" collapsed="false">
      <c r="A40" s="194"/>
      <c r="B40" s="194"/>
      <c r="C40" s="194"/>
      <c r="D40" s="18"/>
      <c r="E40" s="18"/>
      <c r="F40" s="18"/>
      <c r="G40" s="18"/>
      <c r="H40" s="204"/>
      <c r="I40" s="204"/>
      <c r="J40" s="204"/>
    </row>
    <row r="41" customFormat="false" ht="17.25" hidden="false" customHeight="true" outlineLevel="0" collapsed="false">
      <c r="A41" s="200" t="s">
        <v>141</v>
      </c>
      <c r="B41" s="200"/>
      <c r="C41" s="200"/>
      <c r="D41" s="200"/>
      <c r="E41" s="200"/>
      <c r="F41" s="211"/>
      <c r="G41" s="211"/>
      <c r="H41" s="212"/>
      <c r="I41" s="212"/>
      <c r="J41" s="212"/>
    </row>
    <row r="42" customFormat="false" ht="17.25" hidden="false" customHeight="true" outlineLevel="0" collapsed="false">
      <c r="A42" s="194" t="s">
        <v>142</v>
      </c>
      <c r="B42" s="203" t="n">
        <v>2943</v>
      </c>
      <c r="C42" s="213" t="n">
        <f aca="false">B42/B22-1</f>
        <v>0.150328330206379</v>
      </c>
      <c r="D42" s="194"/>
      <c r="E42" s="194"/>
      <c r="F42" s="18"/>
      <c r="G42" s="18"/>
      <c r="H42" s="204" t="s">
        <v>116</v>
      </c>
      <c r="I42" s="204" t="s">
        <v>117</v>
      </c>
      <c r="J42" s="204" t="s">
        <v>118</v>
      </c>
    </row>
    <row r="43" customFormat="false" ht="17.25" hidden="false" customHeight="true" outlineLevel="0" collapsed="false">
      <c r="A43" s="194" t="s">
        <v>143</v>
      </c>
      <c r="B43" s="203" t="n">
        <f aca="false">B42*0.155</f>
        <v>456.165</v>
      </c>
      <c r="C43" s="213" t="n">
        <f aca="false">B43/B23-1</f>
        <v>0.150328330206379</v>
      </c>
      <c r="D43" s="194"/>
      <c r="E43" s="194"/>
      <c r="F43" s="204" t="n">
        <v>2020</v>
      </c>
      <c r="G43" s="206" t="n">
        <v>1</v>
      </c>
      <c r="H43" s="207" t="n">
        <f aca="false">'$'!C98</f>
        <v>5.924601</v>
      </c>
      <c r="I43" s="116" t="e">
        <f aca="false">$B$54/H43</f>
        <v>#NAME?</v>
      </c>
      <c r="J43" s="143" t="n">
        <v>100</v>
      </c>
    </row>
    <row r="44" customFormat="false" ht="17.25" hidden="false" customHeight="true" outlineLevel="0" collapsed="false">
      <c r="A44" s="194" t="s">
        <v>120</v>
      </c>
      <c r="B44" s="203" t="n">
        <f aca="false">B42*0.02</f>
        <v>58.86</v>
      </c>
      <c r="C44" s="213" t="n">
        <f aca="false">B44/B24-1</f>
        <v>0.150328330206379</v>
      </c>
      <c r="D44" s="194"/>
      <c r="E44" s="194"/>
      <c r="F44" s="204" t="n">
        <v>2020</v>
      </c>
      <c r="G44" s="206" t="n">
        <v>2</v>
      </c>
      <c r="H44" s="207" t="n">
        <f aca="false">'$'!C99</f>
        <v>6.057833</v>
      </c>
      <c r="I44" s="116" t="e">
        <f aca="false">$B$54/H44</f>
        <v>#NAME?</v>
      </c>
      <c r="J44" s="143" t="e">
        <f aca="false">I44*$J$43/$I$43</f>
        <v>#NAME?</v>
      </c>
    </row>
    <row r="45" customFormat="false" ht="17.25" hidden="false" customHeight="true" outlineLevel="0" collapsed="false">
      <c r="A45" s="194" t="s">
        <v>121</v>
      </c>
      <c r="B45" s="209" t="n">
        <f aca="false">SUM(B42:B44)</f>
        <v>3458.025</v>
      </c>
      <c r="C45" s="213" t="n">
        <f aca="false">B45/B25-1</f>
        <v>0.150328330206379</v>
      </c>
      <c r="D45" s="194"/>
      <c r="E45" s="194"/>
      <c r="F45" s="204" t="n">
        <v>2020</v>
      </c>
      <c r="G45" s="206" t="n">
        <v>3</v>
      </c>
      <c r="H45" s="207" t="n">
        <f aca="false">'$'!C100</f>
        <v>6.335075</v>
      </c>
      <c r="I45" s="116" t="e">
        <f aca="false">$B$54/H45</f>
        <v>#NAME?</v>
      </c>
      <c r="J45" s="143" t="e">
        <f aca="false">I45*$J$43/$I$43</f>
        <v>#NAME?</v>
      </c>
    </row>
    <row r="46" customFormat="false" ht="17.25" hidden="false" customHeight="true" outlineLevel="0" collapsed="false">
      <c r="A46" s="194" t="s">
        <v>144</v>
      </c>
      <c r="B46" s="203" t="n">
        <f aca="false">26*(8.3)*1.08</f>
        <v>233.064</v>
      </c>
      <c r="C46" s="213" t="n">
        <f aca="false">B46/B26-1</f>
        <v>0.106666666666667</v>
      </c>
      <c r="D46" s="194"/>
      <c r="E46" s="194"/>
      <c r="F46" s="204" t="n">
        <v>2020</v>
      </c>
      <c r="G46" s="206" t="n">
        <v>4</v>
      </c>
      <c r="H46" s="207" t="n">
        <f aca="false">'$'!C101</f>
        <v>6.839434</v>
      </c>
      <c r="I46" s="116" t="e">
        <f aca="false">$B$54/H46</f>
        <v>#NAME?</v>
      </c>
      <c r="J46" s="143" t="e">
        <f aca="false">I46*$J$43/$I$43</f>
        <v>#NAME?</v>
      </c>
    </row>
    <row r="47" customFormat="false" ht="17.25" hidden="false" customHeight="true" outlineLevel="0" collapsed="false">
      <c r="A47" s="194" t="s">
        <v>123</v>
      </c>
      <c r="B47" s="203" t="e">
        <f aca="false">SUM(C57:C58)/(B59)</f>
        <v>#NAME?</v>
      </c>
      <c r="C47" s="213" t="e">
        <f aca="false">B47/B27-1</f>
        <v>#NAME?</v>
      </c>
      <c r="D47" s="194"/>
      <c r="E47" s="194"/>
      <c r="F47" s="204" t="n">
        <v>2020</v>
      </c>
      <c r="G47" s="206" t="n">
        <v>5</v>
      </c>
      <c r="H47" s="207" t="n">
        <f aca="false">'$'!C102</f>
        <v>6.931656</v>
      </c>
      <c r="I47" s="116" t="e">
        <f aca="false">$B$54/H47</f>
        <v>#NAME?</v>
      </c>
      <c r="J47" s="143" t="e">
        <f aca="false">I47*$J$43/$I$43</f>
        <v>#NAME?</v>
      </c>
    </row>
    <row r="48" customFormat="false" ht="17.25" hidden="false" customHeight="true" outlineLevel="0" collapsed="false">
      <c r="A48" s="194" t="s">
        <v>124</v>
      </c>
      <c r="B48" s="203" t="n">
        <f aca="false">B45/26*(14/12)</f>
        <v>155.167788461539</v>
      </c>
      <c r="C48" s="213" t="n">
        <f aca="false">B48/B28-1</f>
        <v>0.150328330206379</v>
      </c>
      <c r="D48" s="194"/>
      <c r="E48" s="194"/>
      <c r="F48" s="204" t="n">
        <v>2020</v>
      </c>
      <c r="G48" s="206" t="n">
        <v>6</v>
      </c>
      <c r="H48" s="207" t="n">
        <f aca="false">'$'!C103</f>
        <v>6.816762</v>
      </c>
      <c r="I48" s="116" t="e">
        <f aca="false">$B$54/H48</f>
        <v>#NAME?</v>
      </c>
      <c r="J48" s="143" t="e">
        <f aca="false">I48*$J$43/$I$43</f>
        <v>#NAME?</v>
      </c>
    </row>
    <row r="49" customFormat="false" ht="17.25" hidden="false" customHeight="true" outlineLevel="0" collapsed="false">
      <c r="A49" s="194" t="s">
        <v>125</v>
      </c>
      <c r="B49" s="203" t="n">
        <f aca="false">B45/26</f>
        <v>133.000961538462</v>
      </c>
      <c r="C49" s="213" t="n">
        <f aca="false">B49/B29-1</f>
        <v>0.150328330206379</v>
      </c>
      <c r="D49" s="194"/>
      <c r="E49" s="194"/>
      <c r="F49" s="204" t="n">
        <v>2020</v>
      </c>
      <c r="G49" s="206" t="n">
        <v>7</v>
      </c>
      <c r="H49" s="207" t="n">
        <f aca="false">'$'!C104</f>
        <v>6.867708</v>
      </c>
      <c r="I49" s="116" t="e">
        <f aca="false">$B$54/H49</f>
        <v>#NAME?</v>
      </c>
      <c r="J49" s="143" t="e">
        <f aca="false">I49*$J$43/$I$43</f>
        <v>#NAME?</v>
      </c>
    </row>
    <row r="50" customFormat="false" ht="17.25" hidden="false" customHeight="true" outlineLevel="0" collapsed="false">
      <c r="A50" s="194" t="s">
        <v>126</v>
      </c>
      <c r="B50" s="203" t="n">
        <v>85</v>
      </c>
      <c r="C50" s="213" t="n">
        <f aca="false">B50/B30-1</f>
        <v>0.214285714285714</v>
      </c>
      <c r="D50" s="194"/>
      <c r="E50" s="194"/>
      <c r="F50" s="204" t="n">
        <v>2020</v>
      </c>
      <c r="G50" s="206" t="n">
        <v>8</v>
      </c>
      <c r="H50" s="207" t="n">
        <f aca="false">'$'!C105</f>
        <v>7.26562</v>
      </c>
      <c r="I50" s="116" t="e">
        <f aca="false">$B$54/H50</f>
        <v>#NAME?</v>
      </c>
      <c r="J50" s="143" t="e">
        <f aca="false">I50*$J$43/$I$43</f>
        <v>#NAME?</v>
      </c>
    </row>
    <row r="51" customFormat="false" ht="17.25" hidden="false" customHeight="true" outlineLevel="0" collapsed="false">
      <c r="A51" s="194" t="s">
        <v>127</v>
      </c>
      <c r="B51" s="203" t="n">
        <v>35</v>
      </c>
      <c r="C51" s="213" t="n">
        <f aca="false">B51/B31-1</f>
        <v>0.25</v>
      </c>
      <c r="D51" s="194"/>
      <c r="E51" s="194"/>
      <c r="F51" s="204" t="n">
        <v>2020</v>
      </c>
      <c r="G51" s="206" t="n">
        <v>9</v>
      </c>
      <c r="H51" s="207" t="n">
        <f aca="false">'$'!C106</f>
        <v>7.537593</v>
      </c>
      <c r="I51" s="116" t="e">
        <f aca="false">$B$54/H51</f>
        <v>#NAME?</v>
      </c>
      <c r="J51" s="143" t="e">
        <f aca="false">I51*$J$43/$I$43</f>
        <v>#NAME?</v>
      </c>
    </row>
    <row r="52" customFormat="false" ht="17.25" hidden="false" customHeight="true" outlineLevel="0" collapsed="false">
      <c r="A52" s="194" t="s">
        <v>128</v>
      </c>
      <c r="B52" s="203" t="n">
        <v>0.01</v>
      </c>
      <c r="C52" s="213"/>
      <c r="D52" s="194"/>
      <c r="E52" s="194"/>
      <c r="F52" s="204" t="n">
        <v>2020</v>
      </c>
      <c r="G52" s="206" t="n">
        <v>10</v>
      </c>
      <c r="H52" s="207" t="n">
        <f aca="false">'$'!C107</f>
        <v>7.930235</v>
      </c>
      <c r="I52" s="116" t="e">
        <f aca="false">$B$54/H52</f>
        <v>#NAME?</v>
      </c>
      <c r="J52" s="143" t="e">
        <f aca="false">I52*$J$43/$I$43</f>
        <v>#NAME?</v>
      </c>
    </row>
    <row r="53" customFormat="false" ht="17.25" hidden="false" customHeight="true" outlineLevel="0" collapsed="false">
      <c r="A53" s="194" t="s">
        <v>145</v>
      </c>
      <c r="B53" s="209" t="e">
        <f aca="false">SUM(B45:B52)</f>
        <v>#NAME?</v>
      </c>
      <c r="C53" s="213" t="e">
        <f aca="false">B53/B33-1</f>
        <v>#NAME?</v>
      </c>
      <c r="D53" s="194"/>
      <c r="E53" s="194"/>
      <c r="F53" s="204" t="n">
        <v>2020</v>
      </c>
      <c r="G53" s="206" t="n">
        <v>11</v>
      </c>
      <c r="H53" s="207" t="n">
        <f aca="false">'$'!C108</f>
        <v>7.983238</v>
      </c>
      <c r="I53" s="116" t="e">
        <f aca="false">$B$54/H53</f>
        <v>#NAME?</v>
      </c>
      <c r="J53" s="143" t="e">
        <f aca="false">I53*$J$43/$I$43</f>
        <v>#NAME?</v>
      </c>
    </row>
    <row r="54" customFormat="false" ht="17.25" hidden="false" customHeight="true" outlineLevel="0" collapsed="false">
      <c r="A54" s="194" t="s">
        <v>146</v>
      </c>
      <c r="B54" s="209" t="e">
        <f aca="false">ROUNDUP(B53/225,2)</f>
        <v>#NAME?</v>
      </c>
      <c r="C54" s="213" t="e">
        <f aca="false">B54/B34-1</f>
        <v>#NAME?</v>
      </c>
      <c r="D54" s="18"/>
      <c r="E54" s="18"/>
      <c r="F54" s="204" t="n">
        <v>2020</v>
      </c>
      <c r="G54" s="206" t="n">
        <v>12</v>
      </c>
      <c r="H54" s="207" t="n">
        <f aca="false">'$'!C109</f>
        <v>7.718763</v>
      </c>
      <c r="I54" s="116" t="e">
        <f aca="false">$B$54/H54</f>
        <v>#NAME?</v>
      </c>
      <c r="J54" s="143" t="e">
        <f aca="false">I54*$J$43/$I$43</f>
        <v>#NAME?</v>
      </c>
    </row>
    <row r="55" customFormat="false" ht="17.25" hidden="false" customHeight="true" outlineLevel="0" collapsed="false">
      <c r="A55" s="194"/>
      <c r="B55" s="194"/>
      <c r="C55" s="194"/>
      <c r="D55" s="18"/>
      <c r="E55" s="18"/>
      <c r="F55" s="204" t="s">
        <v>131</v>
      </c>
      <c r="G55" s="18"/>
      <c r="H55" s="204"/>
      <c r="I55" s="208" t="e">
        <f aca="false">AVERAGE(I43:I54)</f>
        <v>#NAME?</v>
      </c>
      <c r="J55" s="204"/>
    </row>
    <row r="56" customFormat="false" ht="17.25" hidden="false" customHeight="true" outlineLevel="0" collapsed="false">
      <c r="A56" s="194" t="s">
        <v>132</v>
      </c>
      <c r="B56" s="204" t="s">
        <v>133</v>
      </c>
      <c r="C56" s="204" t="s">
        <v>134</v>
      </c>
      <c r="D56" s="18"/>
      <c r="E56" s="18"/>
      <c r="F56" s="18"/>
      <c r="G56" s="18"/>
      <c r="H56" s="204"/>
      <c r="I56" s="204"/>
      <c r="J56" s="204"/>
    </row>
    <row r="57" customFormat="false" ht="17.25" hidden="false" customHeight="true" outlineLevel="0" collapsed="false">
      <c r="A57" s="194" t="s">
        <v>135</v>
      </c>
      <c r="B57" s="203" t="n">
        <v>160</v>
      </c>
      <c r="C57" s="214" t="e">
        <f aca="false">(B59*0.21)*B57</f>
        <v>#NAME?</v>
      </c>
      <c r="D57" s="18"/>
      <c r="E57" s="18"/>
      <c r="F57" s="18"/>
      <c r="G57" s="18"/>
      <c r="H57" s="204"/>
      <c r="I57" s="204"/>
      <c r="J57" s="204"/>
    </row>
    <row r="58" customFormat="false" ht="17.25" hidden="false" customHeight="true" outlineLevel="0" collapsed="false">
      <c r="A58" s="194" t="s">
        <v>136</v>
      </c>
      <c r="B58" s="203" t="n">
        <v>190</v>
      </c>
      <c r="C58" s="214" t="e">
        <f aca="false">(B59*0.97)*B58</f>
        <v>#NAME?</v>
      </c>
      <c r="D58" s="18"/>
      <c r="E58" s="18"/>
      <c r="F58" s="18"/>
      <c r="G58" s="18"/>
      <c r="H58" s="204"/>
      <c r="I58" s="204"/>
      <c r="J58" s="204"/>
    </row>
    <row r="59" customFormat="false" ht="17.25" hidden="false" customHeight="true" outlineLevel="0" collapsed="false">
      <c r="A59" s="194" t="s">
        <v>147</v>
      </c>
      <c r="B59" s="210" t="e">
        <f aca="false">min(Σ!I75:I86)</f>
        <v>#NAME?</v>
      </c>
      <c r="C59" s="194"/>
      <c r="D59" s="18"/>
      <c r="E59" s="18"/>
      <c r="F59" s="18"/>
      <c r="G59" s="18"/>
      <c r="H59" s="204"/>
      <c r="I59" s="204"/>
      <c r="J59" s="204"/>
    </row>
    <row r="60" customFormat="false" ht="17.25" hidden="false" customHeight="true" outlineLevel="0" collapsed="false">
      <c r="A60" s="194"/>
      <c r="B60" s="194"/>
      <c r="C60" s="194"/>
      <c r="D60" s="18"/>
      <c r="E60" s="18"/>
      <c r="F60" s="18"/>
      <c r="G60" s="18"/>
      <c r="H60" s="204"/>
      <c r="I60" s="204"/>
      <c r="J60" s="204"/>
    </row>
    <row r="61" customFormat="false" ht="17.25" hidden="false" customHeight="true" outlineLevel="0" collapsed="false">
      <c r="A61" s="200" t="s">
        <v>148</v>
      </c>
      <c r="B61" s="200"/>
      <c r="C61" s="200"/>
      <c r="D61" s="200"/>
      <c r="E61" s="200"/>
      <c r="F61" s="211"/>
      <c r="G61" s="211"/>
      <c r="H61" s="212"/>
      <c r="I61" s="212"/>
      <c r="J61" s="212"/>
    </row>
    <row r="62" customFormat="false" ht="17.25" hidden="false" customHeight="true" outlineLevel="0" collapsed="false">
      <c r="A62" s="194" t="s">
        <v>142</v>
      </c>
      <c r="B62" s="203" t="n">
        <v>3577.5</v>
      </c>
      <c r="C62" s="215"/>
      <c r="D62" s="194"/>
      <c r="E62" s="194"/>
      <c r="F62" s="18"/>
      <c r="G62" s="18"/>
      <c r="H62" s="204" t="s">
        <v>116</v>
      </c>
      <c r="I62" s="204" t="s">
        <v>117</v>
      </c>
      <c r="J62" s="204" t="s">
        <v>118</v>
      </c>
    </row>
    <row r="63" customFormat="false" ht="17.25" hidden="false" customHeight="true" outlineLevel="0" collapsed="false">
      <c r="A63" s="194" t="s">
        <v>143</v>
      </c>
      <c r="B63" s="203" t="n">
        <f aca="false">B62*0.155</f>
        <v>554.5125</v>
      </c>
      <c r="C63" s="215"/>
      <c r="D63" s="194"/>
      <c r="E63" s="194"/>
      <c r="F63" s="204" t="n">
        <v>2021</v>
      </c>
      <c r="G63" s="206" t="n">
        <v>1</v>
      </c>
      <c r="H63" s="207" t="n">
        <f aca="false">'$'!C110</f>
        <v>7.403641</v>
      </c>
      <c r="I63" s="116" t="e">
        <f aca="false">$B$54/H63</f>
        <v>#NAME?</v>
      </c>
      <c r="J63" s="143" t="n">
        <v>100</v>
      </c>
    </row>
    <row r="64" customFormat="false" ht="17.25" hidden="false" customHeight="true" outlineLevel="0" collapsed="false">
      <c r="A64" s="194" t="s">
        <v>120</v>
      </c>
      <c r="B64" s="203" t="n">
        <f aca="false">B62*0.02</f>
        <v>71.55</v>
      </c>
      <c r="C64" s="215"/>
      <c r="D64" s="194"/>
      <c r="E64" s="194"/>
      <c r="F64" s="204" t="n">
        <v>2021</v>
      </c>
      <c r="G64" s="206" t="n">
        <v>2</v>
      </c>
      <c r="H64" s="207" t="n">
        <f aca="false">'$'!C111</f>
        <v>7.099851</v>
      </c>
      <c r="I64" s="116" t="e">
        <f aca="false">$B$54/H64</f>
        <v>#NAME?</v>
      </c>
      <c r="J64" s="143" t="e">
        <f aca="false">I64*$J$63/$I$63</f>
        <v>#NAME?</v>
      </c>
    </row>
    <row r="65" customFormat="false" ht="17.25" hidden="false" customHeight="true" outlineLevel="0" collapsed="false">
      <c r="A65" s="194" t="s">
        <v>121</v>
      </c>
      <c r="B65" s="209" t="n">
        <f aca="false">SUM(B62:B64)</f>
        <v>4203.5625</v>
      </c>
      <c r="C65" s="215"/>
      <c r="D65" s="194"/>
      <c r="E65" s="194"/>
      <c r="F65" s="204" t="n">
        <v>2021</v>
      </c>
      <c r="G65" s="206" t="n">
        <v>3</v>
      </c>
      <c r="H65" s="207" t="n">
        <f aca="false">'$'!C112</f>
        <v>7.64142</v>
      </c>
      <c r="I65" s="116" t="e">
        <f aca="false">$B$54/H65</f>
        <v>#NAME?</v>
      </c>
      <c r="J65" s="143" t="e">
        <f aca="false">I65*$J$63/$I$63</f>
        <v>#NAME?</v>
      </c>
    </row>
    <row r="66" customFormat="false" ht="17.25" hidden="false" customHeight="true" outlineLevel="0" collapsed="false">
      <c r="A66" s="194" t="s">
        <v>149</v>
      </c>
      <c r="B66" s="203" t="n">
        <f aca="false">11.5*26*1.08</f>
        <v>322.92</v>
      </c>
      <c r="C66" s="215"/>
      <c r="D66" s="194"/>
      <c r="E66" s="194"/>
      <c r="F66" s="204" t="n">
        <v>2021</v>
      </c>
      <c r="G66" s="206" t="n">
        <v>4</v>
      </c>
      <c r="H66" s="207" t="n">
        <f aca="false">'$'!C113</f>
        <v>8.183046</v>
      </c>
      <c r="I66" s="116" t="e">
        <f aca="false">$B$54/H66</f>
        <v>#NAME?</v>
      </c>
      <c r="J66" s="143" t="e">
        <f aca="false">I66*$J$63/$I$63</f>
        <v>#NAME?</v>
      </c>
    </row>
    <row r="67" customFormat="false" ht="17.25" hidden="false" customHeight="true" outlineLevel="0" collapsed="false">
      <c r="A67" s="194" t="s">
        <v>123</v>
      </c>
      <c r="B67" s="203" t="n">
        <f aca="false">SUM(C77:C78)/B79</f>
        <v>243.44</v>
      </c>
      <c r="C67" s="215"/>
      <c r="D67" s="194"/>
      <c r="E67" s="194"/>
      <c r="F67" s="204" t="n">
        <v>2021</v>
      </c>
      <c r="G67" s="206" t="n">
        <v>5</v>
      </c>
      <c r="H67" s="207" t="n">
        <f aca="false">'$'!C114</f>
        <v>8.384721</v>
      </c>
      <c r="I67" s="116" t="e">
        <f aca="false">$B$54/H67</f>
        <v>#NAME?</v>
      </c>
      <c r="J67" s="143" t="e">
        <f aca="false">I67*$J$63/$I$63</f>
        <v>#NAME?</v>
      </c>
    </row>
    <row r="68" customFormat="false" ht="17.25" hidden="false" customHeight="true" outlineLevel="0" collapsed="false">
      <c r="A68" s="194" t="s">
        <v>150</v>
      </c>
      <c r="B68" s="203" t="n">
        <f aca="false">B65/26*(14/12)</f>
        <v>188.621394230769</v>
      </c>
      <c r="C68" s="215"/>
      <c r="D68" s="194"/>
      <c r="E68" s="194"/>
      <c r="F68" s="204" t="n">
        <v>2021</v>
      </c>
      <c r="G68" s="206" t="n">
        <v>6</v>
      </c>
      <c r="H68" s="207" t="n">
        <f aca="false">'$'!C115</f>
        <v>8.631709</v>
      </c>
      <c r="I68" s="116" t="e">
        <f aca="false">$B$54/H68</f>
        <v>#NAME?</v>
      </c>
      <c r="J68" s="143" t="e">
        <f aca="false">I68*$J$63/$I$63</f>
        <v>#NAME?</v>
      </c>
    </row>
    <row r="69" customFormat="false" ht="17.25" hidden="false" customHeight="true" outlineLevel="0" collapsed="false">
      <c r="A69" s="194" t="s">
        <v>125</v>
      </c>
      <c r="B69" s="203" t="n">
        <f aca="false">B65/26</f>
        <v>161.675480769231</v>
      </c>
      <c r="C69" s="215"/>
      <c r="D69" s="194"/>
      <c r="E69" s="194"/>
      <c r="F69" s="204" t="n">
        <v>2021</v>
      </c>
      <c r="G69" s="206" t="n">
        <v>7</v>
      </c>
      <c r="H69" s="207" t="n">
        <f aca="false">'$'!C116</f>
        <v>8.605101</v>
      </c>
      <c r="I69" s="116" t="e">
        <f aca="false">$B$54/H69</f>
        <v>#NAME?</v>
      </c>
      <c r="J69" s="143" t="e">
        <f aca="false">I69*$J$63/$I$63</f>
        <v>#NAME?</v>
      </c>
    </row>
    <row r="70" customFormat="false" ht="17.25" hidden="false" customHeight="true" outlineLevel="0" collapsed="false">
      <c r="A70" s="194" t="s">
        <v>151</v>
      </c>
      <c r="B70" s="203" t="n">
        <f aca="false">B62*0.03</f>
        <v>107.325</v>
      </c>
      <c r="C70" s="215"/>
      <c r="D70" s="194"/>
      <c r="E70" s="194"/>
      <c r="F70" s="204" t="n">
        <v>2021</v>
      </c>
      <c r="G70" s="206" t="n">
        <v>8</v>
      </c>
      <c r="H70" s="207" t="n">
        <f aca="false">'$'!C117</f>
        <v>8.484798</v>
      </c>
      <c r="I70" s="116" t="e">
        <f aca="false">$B$54/H70</f>
        <v>#NAME?</v>
      </c>
      <c r="J70" s="143" t="e">
        <f aca="false">I70*$J$63/$I$63</f>
        <v>#NAME?</v>
      </c>
    </row>
    <row r="71" customFormat="false" ht="17.25" hidden="false" customHeight="true" outlineLevel="0" collapsed="false">
      <c r="A71" s="194" t="s">
        <v>152</v>
      </c>
      <c r="B71" s="203" t="n">
        <f aca="false">B62*0.015</f>
        <v>53.6625</v>
      </c>
      <c r="C71" s="215"/>
      <c r="D71" s="194"/>
      <c r="E71" s="194"/>
      <c r="F71" s="204" t="n">
        <v>2021</v>
      </c>
      <c r="G71" s="206" t="n">
        <v>9</v>
      </c>
      <c r="H71" s="207" t="n">
        <f aca="false">'$'!C118</f>
        <v>8.554109</v>
      </c>
      <c r="I71" s="116" t="e">
        <f aca="false">$B$54/H71</f>
        <v>#NAME?</v>
      </c>
      <c r="J71" s="143" t="e">
        <f aca="false">I71*$J$63/$I$63</f>
        <v>#NAME?</v>
      </c>
    </row>
    <row r="72" customFormat="false" ht="17.25" hidden="false" customHeight="true" outlineLevel="0" collapsed="false">
      <c r="A72" s="194" t="s">
        <v>153</v>
      </c>
      <c r="B72" s="203" t="n">
        <f aca="false">B62*0.05</f>
        <v>178.875</v>
      </c>
      <c r="C72" s="215"/>
      <c r="D72" s="194"/>
      <c r="E72" s="194"/>
      <c r="F72" s="204" t="n">
        <v>2021</v>
      </c>
      <c r="G72" s="206" t="n">
        <v>10</v>
      </c>
      <c r="H72" s="207" t="n">
        <f aca="false">'$'!C119</f>
        <v>9.219938</v>
      </c>
      <c r="I72" s="116" t="e">
        <f aca="false">$B$54/H72</f>
        <v>#NAME?</v>
      </c>
      <c r="J72" s="143" t="e">
        <f aca="false">I72*$J$63/$I$63</f>
        <v>#NAME?</v>
      </c>
    </row>
    <row r="73" customFormat="false" ht="17.25" hidden="false" customHeight="true" outlineLevel="0" collapsed="false">
      <c r="A73" s="194" t="s">
        <v>145</v>
      </c>
      <c r="B73" s="209" t="n">
        <f aca="false">SUM(B65:B72)</f>
        <v>5460.081875</v>
      </c>
      <c r="C73" s="215"/>
      <c r="D73" s="194"/>
      <c r="E73" s="194"/>
      <c r="F73" s="204" t="n">
        <v>2021</v>
      </c>
      <c r="G73" s="206" t="n">
        <v>11</v>
      </c>
      <c r="H73" s="207" t="n">
        <f aca="false">'$'!C120</f>
        <v>10.680956</v>
      </c>
      <c r="I73" s="116" t="e">
        <f aca="false">$B$54/H73</f>
        <v>#NAME?</v>
      </c>
      <c r="J73" s="143" t="e">
        <f aca="false">I73*$J$63/$I$63</f>
        <v>#NAME?</v>
      </c>
    </row>
    <row r="74" customFormat="false" ht="17.25" hidden="false" customHeight="true" outlineLevel="0" collapsed="false">
      <c r="A74" s="194" t="s">
        <v>146</v>
      </c>
      <c r="B74" s="209" t="n">
        <f aca="false">ROUNDUP(B73/26/7.5,2)</f>
        <v>28.01</v>
      </c>
      <c r="C74" s="215"/>
      <c r="D74" s="18"/>
      <c r="E74" s="18"/>
      <c r="F74" s="204" t="n">
        <v>2021</v>
      </c>
      <c r="G74" s="206" t="n">
        <v>12</v>
      </c>
      <c r="H74" s="207" t="n">
        <f aca="false">'$'!C121</f>
        <v>13.466856</v>
      </c>
      <c r="I74" s="116" t="e">
        <f aca="false">$B$54/H74</f>
        <v>#NAME?</v>
      </c>
      <c r="J74" s="143" t="e">
        <f aca="false">I74*$J$63/$I$63</f>
        <v>#NAME?</v>
      </c>
    </row>
    <row r="75" customFormat="false" ht="17.25" hidden="false" customHeight="true" outlineLevel="0" collapsed="false">
      <c r="A75" s="194"/>
      <c r="B75" s="194"/>
      <c r="C75" s="194"/>
      <c r="D75" s="18"/>
      <c r="E75" s="18"/>
      <c r="F75" s="204" t="s">
        <v>131</v>
      </c>
      <c r="G75" s="18"/>
      <c r="H75" s="204"/>
      <c r="I75" s="208" t="e">
        <f aca="false">AVERAGE(I63:I74)</f>
        <v>#NAME?</v>
      </c>
      <c r="J75" s="204"/>
    </row>
    <row r="76" customFormat="false" ht="17.25" hidden="false" customHeight="true" outlineLevel="0" collapsed="false">
      <c r="A76" s="194" t="s">
        <v>132</v>
      </c>
      <c r="B76" s="204" t="s">
        <v>133</v>
      </c>
      <c r="C76" s="204" t="s">
        <v>134</v>
      </c>
      <c r="D76" s="18"/>
      <c r="E76" s="18"/>
      <c r="F76" s="18"/>
      <c r="G76" s="18"/>
      <c r="H76" s="204"/>
      <c r="I76" s="204"/>
      <c r="J76" s="204"/>
    </row>
    <row r="77" customFormat="false" ht="17.25" hidden="false" customHeight="true" outlineLevel="0" collapsed="false">
      <c r="A77" s="194" t="s">
        <v>135</v>
      </c>
      <c r="B77" s="203" t="n">
        <v>180</v>
      </c>
      <c r="C77" s="214" t="n">
        <f aca="false">(B79*0.21)*B77</f>
        <v>37611</v>
      </c>
      <c r="D77" s="18"/>
      <c r="E77" s="18"/>
      <c r="F77" s="18"/>
      <c r="G77" s="18"/>
      <c r="H77" s="204"/>
      <c r="I77" s="204"/>
      <c r="J77" s="204"/>
    </row>
    <row r="78" customFormat="false" ht="17.25" hidden="false" customHeight="true" outlineLevel="0" collapsed="false">
      <c r="A78" s="194" t="s">
        <v>136</v>
      </c>
      <c r="B78" s="203" t="n">
        <v>212</v>
      </c>
      <c r="C78" s="214" t="n">
        <f aca="false">(B79*0.97)*B78</f>
        <v>204611.8</v>
      </c>
      <c r="D78" s="18"/>
      <c r="E78" s="18"/>
      <c r="F78" s="18"/>
      <c r="G78" s="18"/>
      <c r="H78" s="204"/>
      <c r="I78" s="204"/>
      <c r="J78" s="204"/>
    </row>
    <row r="79" customFormat="false" ht="17.25" hidden="false" customHeight="true" outlineLevel="0" collapsed="false">
      <c r="A79" s="194" t="s">
        <v>147</v>
      </c>
      <c r="B79" s="194" t="n">
        <v>995</v>
      </c>
      <c r="C79" s="194"/>
      <c r="D79" s="18"/>
      <c r="E79" s="18"/>
      <c r="F79" s="18"/>
      <c r="G79" s="18"/>
      <c r="H79" s="204"/>
      <c r="I79" s="204"/>
      <c r="J79" s="204"/>
    </row>
    <row r="80" customFormat="false" ht="17.25" hidden="false" customHeight="true" outlineLevel="0" collapsed="false">
      <c r="A80" s="194"/>
      <c r="B80" s="194"/>
      <c r="C80" s="194"/>
      <c r="D80" s="18"/>
      <c r="E80" s="18"/>
      <c r="F80" s="18"/>
      <c r="G80" s="18"/>
      <c r="H80" s="204"/>
      <c r="I80" s="204"/>
      <c r="J80" s="204"/>
    </row>
    <row r="81" customFormat="false" ht="17.25" hidden="false" customHeight="true" outlineLevel="0" collapsed="false">
      <c r="A81" s="216" t="s">
        <v>154</v>
      </c>
      <c r="B81" s="216"/>
      <c r="C81" s="216"/>
      <c r="D81" s="216"/>
      <c r="E81" s="216"/>
      <c r="F81" s="217"/>
      <c r="G81" s="217"/>
      <c r="H81" s="218"/>
      <c r="I81" s="218"/>
      <c r="J81" s="218"/>
    </row>
    <row r="82" customFormat="false" ht="17.25" hidden="false" customHeight="true" outlineLevel="0" collapsed="false">
      <c r="A82" s="194"/>
      <c r="B82" s="203" t="s">
        <v>155</v>
      </c>
      <c r="C82" s="219"/>
      <c r="D82" s="194" t="s">
        <v>156</v>
      </c>
      <c r="E82" s="194"/>
      <c r="F82" s="18"/>
      <c r="G82" s="18"/>
      <c r="H82" s="204"/>
      <c r="I82" s="204"/>
      <c r="J82" s="204"/>
    </row>
    <row r="83" customFormat="false" ht="17.25" hidden="false" customHeight="true" outlineLevel="0" collapsed="false">
      <c r="A83" s="194" t="s">
        <v>142</v>
      </c>
      <c r="B83" s="220" t="n">
        <v>5004</v>
      </c>
      <c r="C83" s="221"/>
      <c r="D83" s="220" t="n">
        <v>6471</v>
      </c>
      <c r="E83" s="222"/>
      <c r="F83" s="223"/>
      <c r="G83" s="224"/>
      <c r="H83" s="225" t="s">
        <v>116</v>
      </c>
      <c r="I83" s="225" t="s">
        <v>117</v>
      </c>
      <c r="J83" s="226" t="s">
        <v>118</v>
      </c>
    </row>
    <row r="84" customFormat="false" ht="17.25" hidden="false" customHeight="true" outlineLevel="0" collapsed="false">
      <c r="A84" s="194" t="s">
        <v>143</v>
      </c>
      <c r="B84" s="227" t="n">
        <f aca="false">B83*0.155</f>
        <v>775.62</v>
      </c>
      <c r="C84" s="228"/>
      <c r="D84" s="227" t="n">
        <f aca="false">D83*0.155</f>
        <v>1003.005</v>
      </c>
      <c r="E84" s="229"/>
      <c r="F84" s="230"/>
      <c r="G84" s="206" t="n">
        <v>1</v>
      </c>
      <c r="H84" s="231" t="n">
        <f aca="false">'$'!C122</f>
        <v>13.535066</v>
      </c>
      <c r="I84" s="116" t="e">
        <f aca="false">$B$95/H84</f>
        <v>#NAME?</v>
      </c>
      <c r="J84" s="232" t="n">
        <v>100</v>
      </c>
    </row>
    <row r="85" customFormat="false" ht="17.25" hidden="false" customHeight="true" outlineLevel="0" collapsed="false">
      <c r="A85" s="194" t="s">
        <v>120</v>
      </c>
      <c r="B85" s="227" t="n">
        <f aca="false">B83*0.02</f>
        <v>100.08</v>
      </c>
      <c r="C85" s="228"/>
      <c r="D85" s="227" t="n">
        <f aca="false">D83*0.02</f>
        <v>129.42</v>
      </c>
      <c r="E85" s="229"/>
      <c r="F85" s="230"/>
      <c r="G85" s="206" t="n">
        <v>2</v>
      </c>
      <c r="H85" s="231" t="n">
        <f aca="false">'$'!C123</f>
        <v>13.629202</v>
      </c>
      <c r="I85" s="116" t="e">
        <f aca="false">$B$95/H85</f>
        <v>#NAME?</v>
      </c>
      <c r="J85" s="232" t="e">
        <f aca="false">I85*$J$84/$I$84</f>
        <v>#NAME?</v>
      </c>
    </row>
    <row r="86" customFormat="false" ht="17.25" hidden="false" customHeight="true" outlineLevel="0" collapsed="false">
      <c r="A86" s="194" t="s">
        <v>121</v>
      </c>
      <c r="B86" s="233" t="n">
        <f aca="false">SUM(B83:B85)</f>
        <v>5879.7</v>
      </c>
      <c r="C86" s="228"/>
      <c r="D86" s="233" t="n">
        <f aca="false">SUM(D83:D85)</f>
        <v>7603.425</v>
      </c>
      <c r="E86" s="229"/>
      <c r="F86" s="230"/>
      <c r="G86" s="206" t="n">
        <v>3</v>
      </c>
      <c r="H86" s="231" t="n">
        <f aca="false">'$'!C124</f>
        <v>14.600894</v>
      </c>
      <c r="I86" s="116" t="e">
        <f aca="false">$B$95/H86</f>
        <v>#NAME?</v>
      </c>
      <c r="J86" s="232" t="e">
        <f aca="false">I86*$J$84/$I$84</f>
        <v>#NAME?</v>
      </c>
    </row>
    <row r="87" customFormat="false" ht="17.25" hidden="false" customHeight="true" outlineLevel="0" collapsed="false">
      <c r="A87" s="194" t="s">
        <v>157</v>
      </c>
      <c r="B87" s="227" t="n">
        <f aca="false">20*26*1.08</f>
        <v>561.6</v>
      </c>
      <c r="C87" s="228"/>
      <c r="D87" s="227" t="n">
        <f aca="false">28*26*1.08</f>
        <v>786.24</v>
      </c>
      <c r="E87" s="229"/>
      <c r="F87" s="230"/>
      <c r="G87" s="206" t="n">
        <v>4</v>
      </c>
      <c r="H87" s="231" t="n">
        <f aca="false">'$'!C125</f>
        <v>14.709928</v>
      </c>
      <c r="I87" s="116" t="e">
        <f aca="false">$B$95/H87</f>
        <v>#NAME?</v>
      </c>
      <c r="J87" s="232" t="e">
        <f aca="false">I87*$J$84/$I$84</f>
        <v>#NAME?</v>
      </c>
    </row>
    <row r="88" customFormat="false" ht="17.25" hidden="false" customHeight="true" outlineLevel="0" collapsed="false">
      <c r="A88" s="194" t="s">
        <v>123</v>
      </c>
      <c r="B88" s="227" t="e">
        <f aca="false">SUM(C98:C99)/B100</f>
        <v>#NAME?</v>
      </c>
      <c r="C88" s="228"/>
      <c r="D88" s="227" t="e">
        <f aca="false">SUM(E98:E99)/D100</f>
        <v>#NAME?</v>
      </c>
      <c r="E88" s="229"/>
      <c r="F88" s="230"/>
      <c r="G88" s="206" t="n">
        <v>5</v>
      </c>
      <c r="H88" s="231" t="n">
        <f aca="false">'$'!C126</f>
        <v>15.570749</v>
      </c>
      <c r="I88" s="116" t="e">
        <f aca="false">$B$95/H88</f>
        <v>#NAME?</v>
      </c>
      <c r="J88" s="232" t="e">
        <f aca="false">I88*$J$84/$I$84</f>
        <v>#NAME?</v>
      </c>
    </row>
    <row r="89" customFormat="false" ht="17.25" hidden="false" customHeight="true" outlineLevel="0" collapsed="false">
      <c r="A89" s="194" t="s">
        <v>150</v>
      </c>
      <c r="B89" s="227" t="n">
        <f aca="false">B86/26*(14/12)</f>
        <v>263.832692307692</v>
      </c>
      <c r="C89" s="228"/>
      <c r="D89" s="227" t="n">
        <f aca="false">D86/26*(14/12)</f>
        <v>341.179326923077</v>
      </c>
      <c r="E89" s="229"/>
      <c r="F89" s="230"/>
      <c r="G89" s="206" t="n">
        <v>6</v>
      </c>
      <c r="H89" s="231" t="n">
        <f aca="false">'$'!C127</f>
        <v>16.965875</v>
      </c>
      <c r="I89" s="116" t="e">
        <f aca="false">$B$95/H89</f>
        <v>#NAME?</v>
      </c>
      <c r="J89" s="232" t="e">
        <f aca="false">I89*$J$84/$I$84</f>
        <v>#NAME?</v>
      </c>
    </row>
    <row r="90" customFormat="false" ht="17.25" hidden="false" customHeight="true" outlineLevel="0" collapsed="false">
      <c r="A90" s="194" t="s">
        <v>125</v>
      </c>
      <c r="B90" s="227" t="n">
        <f aca="false">B86/26</f>
        <v>226.142307692308</v>
      </c>
      <c r="C90" s="228"/>
      <c r="D90" s="227" t="n">
        <f aca="false">D86/26</f>
        <v>292.439423076923</v>
      </c>
      <c r="E90" s="229"/>
      <c r="F90" s="230"/>
      <c r="G90" s="206" t="n">
        <v>7</v>
      </c>
      <c r="H90" s="231" t="n">
        <f aca="false">'$'!C128</f>
        <v>17.410362</v>
      </c>
      <c r="I90" s="116" t="e">
        <f aca="false">$D$95/H90</f>
        <v>#NAME?</v>
      </c>
      <c r="J90" s="232" t="e">
        <f aca="false">I90*$J$84/$I$84</f>
        <v>#NAME?</v>
      </c>
    </row>
    <row r="91" customFormat="false" ht="17.25" hidden="false" customHeight="true" outlineLevel="0" collapsed="false">
      <c r="A91" s="194" t="s">
        <v>151</v>
      </c>
      <c r="B91" s="227" t="n">
        <f aca="false">B83*0.03</f>
        <v>150.12</v>
      </c>
      <c r="C91" s="228"/>
      <c r="D91" s="227" t="n">
        <f aca="false">D83*0.03</f>
        <v>194.13</v>
      </c>
      <c r="E91" s="229"/>
      <c r="F91" s="230"/>
      <c r="G91" s="206" t="n">
        <v>8</v>
      </c>
      <c r="H91" s="231" t="n">
        <f aca="false">'$'!C129</f>
        <v>18.018529</v>
      </c>
      <c r="I91" s="116" t="e">
        <f aca="false">$D$95/H91</f>
        <v>#NAME?</v>
      </c>
      <c r="J91" s="232" t="e">
        <f aca="false">I91*$J$84/$I$84</f>
        <v>#NAME?</v>
      </c>
    </row>
    <row r="92" customFormat="false" ht="17.25" hidden="false" customHeight="true" outlineLevel="0" collapsed="false">
      <c r="A92" s="194" t="s">
        <v>152</v>
      </c>
      <c r="B92" s="227" t="n">
        <f aca="false">B83*0.015</f>
        <v>75.06</v>
      </c>
      <c r="C92" s="228"/>
      <c r="D92" s="227" t="n">
        <f aca="false">D83*0.015</f>
        <v>97.065</v>
      </c>
      <c r="E92" s="229"/>
      <c r="F92" s="230"/>
      <c r="G92" s="206" t="n">
        <v>9</v>
      </c>
      <c r="H92" s="231" t="n">
        <f aca="false">'$'!C130</f>
        <v>18.301932</v>
      </c>
      <c r="I92" s="116" t="e">
        <f aca="false">$D$95/H92</f>
        <v>#NAME?</v>
      </c>
      <c r="J92" s="232" t="e">
        <f aca="false">I92*$J$84/$I$84</f>
        <v>#NAME?</v>
      </c>
    </row>
    <row r="93" customFormat="false" ht="17.25" hidden="false" customHeight="true" outlineLevel="0" collapsed="false">
      <c r="A93" s="194" t="s">
        <v>153</v>
      </c>
      <c r="B93" s="227" t="n">
        <f aca="false">B83*0.05</f>
        <v>250.2</v>
      </c>
      <c r="C93" s="228"/>
      <c r="D93" s="227" t="n">
        <f aca="false">D83*0.05</f>
        <v>323.55</v>
      </c>
      <c r="E93" s="229"/>
      <c r="F93" s="230"/>
      <c r="G93" s="206" t="n">
        <v>10</v>
      </c>
      <c r="H93" s="231" t="n">
        <f aca="false">'$'!C131</f>
        <v>18.578678</v>
      </c>
      <c r="I93" s="116" t="e">
        <f aca="false">$D$95/H93</f>
        <v>#NAME?</v>
      </c>
      <c r="J93" s="232" t="e">
        <f aca="false">I93*$J$84/$I$84</f>
        <v>#NAME?</v>
      </c>
    </row>
    <row r="94" customFormat="false" ht="17.25" hidden="false" customHeight="true" outlineLevel="0" collapsed="false">
      <c r="A94" s="194" t="s">
        <v>145</v>
      </c>
      <c r="B94" s="233" t="e">
        <f aca="false">SUM(B86:B93)</f>
        <v>#NAME?</v>
      </c>
      <c r="C94" s="228"/>
      <c r="D94" s="233" t="e">
        <f aca="false">SUM(D86:D93)</f>
        <v>#NAME?</v>
      </c>
      <c r="E94" s="229"/>
      <c r="F94" s="230"/>
      <c r="G94" s="206" t="n">
        <v>11</v>
      </c>
      <c r="H94" s="231" t="n">
        <f aca="false">'$'!C132</f>
        <v>18.598286</v>
      </c>
      <c r="I94" s="116" t="e">
        <f aca="false">$D$95/H94</f>
        <v>#NAME?</v>
      </c>
      <c r="J94" s="232" t="e">
        <f aca="false">I94*$J$84/$I$84</f>
        <v>#NAME?</v>
      </c>
    </row>
    <row r="95" customFormat="false" ht="17.25" hidden="false" customHeight="true" outlineLevel="0" collapsed="false">
      <c r="A95" s="194" t="s">
        <v>146</v>
      </c>
      <c r="B95" s="233" t="e">
        <f aca="false">ROUNDUP(B94/26/7.5,2)</f>
        <v>#NAME?</v>
      </c>
      <c r="C95" s="234"/>
      <c r="D95" s="233" t="e">
        <f aca="false">ROUNDUP(D94/26/7.5,2)</f>
        <v>#NAME?</v>
      </c>
      <c r="E95" s="19"/>
      <c r="F95" s="230"/>
      <c r="G95" s="206" t="n">
        <v>12</v>
      </c>
      <c r="H95" s="231" t="n">
        <f aca="false">'$'!C133</f>
        <v>18.653721</v>
      </c>
      <c r="I95" s="116" t="e">
        <f aca="false">$D$95/H95</f>
        <v>#NAME?</v>
      </c>
      <c r="J95" s="232" t="e">
        <f aca="false">I95*$J$84/$I$84</f>
        <v>#NAME?</v>
      </c>
    </row>
    <row r="96" customFormat="false" ht="17.25" hidden="false" customHeight="true" outlineLevel="0" collapsed="false">
      <c r="A96" s="194"/>
      <c r="B96" s="235"/>
      <c r="C96" s="229"/>
      <c r="D96" s="51"/>
      <c r="E96" s="19"/>
      <c r="F96" s="236" t="s">
        <v>131</v>
      </c>
      <c r="G96" s="237"/>
      <c r="H96" s="236"/>
      <c r="I96" s="238" t="e">
        <f aca="false">AVERAGE(I84:I95)</f>
        <v>#NAME?</v>
      </c>
      <c r="J96" s="239"/>
    </row>
    <row r="97" customFormat="false" ht="17.25" hidden="false" customHeight="true" outlineLevel="0" collapsed="false">
      <c r="A97" s="194" t="s">
        <v>132</v>
      </c>
      <c r="B97" s="230" t="s">
        <v>133</v>
      </c>
      <c r="C97" s="240" t="s">
        <v>134</v>
      </c>
      <c r="D97" s="230" t="s">
        <v>133</v>
      </c>
      <c r="E97" s="240" t="s">
        <v>134</v>
      </c>
      <c r="F97" s="18"/>
      <c r="G97" s="18"/>
      <c r="H97" s="204"/>
      <c r="I97" s="204"/>
      <c r="J97" s="204"/>
    </row>
    <row r="98" customFormat="false" ht="17.25" hidden="false" customHeight="true" outlineLevel="0" collapsed="false">
      <c r="A98" s="194" t="s">
        <v>135</v>
      </c>
      <c r="B98" s="227" t="n">
        <f aca="false">604/2</f>
        <v>302</v>
      </c>
      <c r="C98" s="241" t="e">
        <f aca="false">(B100*0.21)*B98</f>
        <v>#NAME?</v>
      </c>
      <c r="D98" s="227" t="n">
        <f aca="false">604/2</f>
        <v>302</v>
      </c>
      <c r="E98" s="241" t="e">
        <f aca="false">(D100*0.21)*D98</f>
        <v>#NAME?</v>
      </c>
      <c r="F98" s="18"/>
      <c r="G98" s="18"/>
      <c r="H98" s="204"/>
      <c r="I98" s="204"/>
      <c r="J98" s="204"/>
    </row>
    <row r="99" customFormat="false" ht="17.25" hidden="false" customHeight="true" outlineLevel="0" collapsed="false">
      <c r="A99" s="194" t="s">
        <v>136</v>
      </c>
      <c r="B99" s="227" t="n">
        <f aca="false">B98</f>
        <v>302</v>
      </c>
      <c r="C99" s="241" t="e">
        <f aca="false">(B100*0.97)*B99</f>
        <v>#NAME?</v>
      </c>
      <c r="D99" s="227" t="n">
        <f aca="false">D98</f>
        <v>302</v>
      </c>
      <c r="E99" s="241" t="e">
        <f aca="false">(D100*0.97)*D99</f>
        <v>#NAME?</v>
      </c>
      <c r="F99" s="18"/>
      <c r="G99" s="18"/>
      <c r="H99" s="204"/>
      <c r="I99" s="204"/>
      <c r="J99" s="204"/>
    </row>
    <row r="100" customFormat="false" ht="17.25" hidden="false" customHeight="true" outlineLevel="0" collapsed="false">
      <c r="A100" s="194" t="s">
        <v>147</v>
      </c>
      <c r="B100" s="242" t="e">
        <f aca="false">min(Σ!I99:I104)</f>
        <v>#NAME?</v>
      </c>
      <c r="C100" s="243"/>
      <c r="D100" s="242" t="e">
        <f aca="false">min(Σ!I105:I110)</f>
        <v>#NAME?</v>
      </c>
      <c r="E100" s="243"/>
      <c r="F100" s="18"/>
      <c r="G100" s="18"/>
      <c r="H100" s="204"/>
      <c r="I100" s="204"/>
      <c r="J100" s="204"/>
    </row>
    <row r="101" customFormat="false" ht="17.25" hidden="false" customHeight="true" outlineLevel="0" collapsed="false">
      <c r="A101" s="194"/>
      <c r="B101" s="194"/>
      <c r="C101" s="194"/>
      <c r="D101" s="194"/>
      <c r="E101" s="194"/>
      <c r="F101" s="18"/>
      <c r="G101" s="18"/>
      <c r="H101" s="204"/>
      <c r="I101" s="204"/>
      <c r="J101" s="204"/>
    </row>
    <row r="102" customFormat="false" ht="17.25" hidden="false" customHeight="true" outlineLevel="0" collapsed="false">
      <c r="A102" s="216" t="s">
        <v>158</v>
      </c>
      <c r="B102" s="216"/>
      <c r="C102" s="216"/>
      <c r="D102" s="216"/>
      <c r="E102" s="216"/>
      <c r="F102" s="217"/>
      <c r="G102" s="217"/>
      <c r="H102" s="218"/>
      <c r="I102" s="218"/>
      <c r="J102" s="218"/>
    </row>
    <row r="103" customFormat="false" ht="17.25" hidden="false" customHeight="true" outlineLevel="0" collapsed="false">
      <c r="A103" s="194"/>
      <c r="B103" s="203" t="s">
        <v>155</v>
      </c>
      <c r="C103" s="219"/>
      <c r="D103" s="194" t="s">
        <v>156</v>
      </c>
      <c r="E103" s="194"/>
      <c r="F103" s="18"/>
      <c r="G103" s="18"/>
      <c r="H103" s="204"/>
      <c r="I103" s="204"/>
      <c r="J103" s="204"/>
    </row>
    <row r="104" customFormat="false" ht="17.25" hidden="false" customHeight="true" outlineLevel="0" collapsed="false">
      <c r="A104" s="194" t="s">
        <v>142</v>
      </c>
      <c r="B104" s="220" t="n">
        <v>10008</v>
      </c>
      <c r="C104" s="221"/>
      <c r="D104" s="220" t="n">
        <v>13414.5</v>
      </c>
      <c r="E104" s="222"/>
      <c r="F104" s="223"/>
      <c r="G104" s="224"/>
      <c r="H104" s="225" t="s">
        <v>116</v>
      </c>
      <c r="I104" s="225" t="s">
        <v>117</v>
      </c>
      <c r="J104" s="226" t="s">
        <v>118</v>
      </c>
    </row>
    <row r="105" customFormat="false" ht="17.25" hidden="false" customHeight="true" outlineLevel="0" collapsed="false">
      <c r="A105" s="194" t="s">
        <v>143</v>
      </c>
      <c r="B105" s="227" t="n">
        <f aca="false">B104*0.155</f>
        <v>1551.24</v>
      </c>
      <c r="C105" s="228"/>
      <c r="D105" s="227" t="n">
        <f aca="false">D104*0.155</f>
        <v>2079.2475</v>
      </c>
      <c r="E105" s="229"/>
      <c r="F105" s="230"/>
      <c r="G105" s="206" t="n">
        <v>1</v>
      </c>
      <c r="H105" s="231" t="n">
        <f aca="false">'$'!C134</f>
        <v>18.779415</v>
      </c>
      <c r="I105" s="116" t="n">
        <f aca="false">$B$116/H105</f>
        <v>4.16519896919047</v>
      </c>
      <c r="J105" s="232" t="n">
        <v>100</v>
      </c>
    </row>
    <row r="106" customFormat="false" ht="17.25" hidden="false" customHeight="true" outlineLevel="0" collapsed="false">
      <c r="A106" s="194" t="s">
        <v>120</v>
      </c>
      <c r="B106" s="227" t="n">
        <f aca="false">B104*0.02</f>
        <v>200.16</v>
      </c>
      <c r="C106" s="228"/>
      <c r="D106" s="227" t="n">
        <f aca="false">D104*0.02</f>
        <v>268.29</v>
      </c>
      <c r="E106" s="229"/>
      <c r="F106" s="230"/>
      <c r="G106" s="206" t="n">
        <v>2</v>
      </c>
      <c r="H106" s="231" t="n">
        <f aca="false">'$'!C135</f>
        <v>18.848094</v>
      </c>
      <c r="I106" s="116" t="n">
        <f aca="false">$B$116/H106</f>
        <v>4.15002174755707</v>
      </c>
      <c r="J106" s="232" t="n">
        <f aca="false">I106*$J$105/$I$105</f>
        <v>99.6356183283042</v>
      </c>
    </row>
    <row r="107" customFormat="false" ht="17.25" hidden="false" customHeight="true" outlineLevel="0" collapsed="false">
      <c r="A107" s="194" t="s">
        <v>121</v>
      </c>
      <c r="B107" s="233" t="n">
        <f aca="false">SUM(B104:B106)</f>
        <v>11759.4</v>
      </c>
      <c r="C107" s="228"/>
      <c r="D107" s="233" t="n">
        <f aca="false">SUM(D104:D106)</f>
        <v>15762.0375</v>
      </c>
      <c r="E107" s="229"/>
      <c r="F107" s="230"/>
      <c r="G107" s="206" t="n">
        <v>3</v>
      </c>
      <c r="H107" s="231" t="n">
        <f aca="false">'$'!C136</f>
        <v>18.992986</v>
      </c>
      <c r="I107" s="116" t="n">
        <f aca="false">$B$116/H107</f>
        <v>4.11836243126805</v>
      </c>
      <c r="J107" s="232" t="n">
        <f aca="false">I107*$J$105/$I$105</f>
        <v>98.8755269971768</v>
      </c>
    </row>
    <row r="108" customFormat="false" ht="17.25" hidden="false" customHeight="true" outlineLevel="0" collapsed="false">
      <c r="A108" s="194" t="s">
        <v>157</v>
      </c>
      <c r="B108" s="227" t="n">
        <f aca="false">40*26*1.08</f>
        <v>1123.2</v>
      </c>
      <c r="C108" s="228"/>
      <c r="D108" s="227" t="n">
        <f aca="false">52*26*1.08</f>
        <v>1460.16</v>
      </c>
      <c r="E108" s="229"/>
      <c r="F108" s="230"/>
      <c r="G108" s="206" t="n">
        <v>4</v>
      </c>
      <c r="H108" s="231" t="n">
        <f aca="false">'$'!C137</f>
        <v>19.335863</v>
      </c>
      <c r="I108" s="116" t="n">
        <f aca="false">$B$116/H108</f>
        <v>4.04533275809826</v>
      </c>
      <c r="J108" s="232" t="n">
        <f aca="false">I108*$J$105/$I$105</f>
        <v>97.1221972352618</v>
      </c>
    </row>
    <row r="109" customFormat="false" ht="17.25" hidden="false" customHeight="true" outlineLevel="0" collapsed="false">
      <c r="A109" s="194" t="s">
        <v>123</v>
      </c>
      <c r="B109" s="227" t="n">
        <f aca="false">SUM(C119:C120)/B121</f>
        <v>438.96</v>
      </c>
      <c r="C109" s="228"/>
      <c r="D109" s="227" t="n">
        <f aca="false">SUM(E119:E120)/D121</f>
        <v>501.5</v>
      </c>
      <c r="E109" s="229"/>
      <c r="F109" s="230"/>
      <c r="G109" s="206" t="n">
        <v>5</v>
      </c>
      <c r="H109" s="231" t="n">
        <f aca="false">'$'!C138</f>
        <v>19.735976</v>
      </c>
      <c r="I109" s="116" t="n">
        <f aca="false">$B$116/H109</f>
        <v>3.96332058774291</v>
      </c>
      <c r="J109" s="232" t="n">
        <f aca="false">I109*$J$105/$I$105</f>
        <v>95.1532115766659</v>
      </c>
    </row>
    <row r="110" customFormat="false" ht="17.25" hidden="false" customHeight="true" outlineLevel="0" collapsed="false">
      <c r="A110" s="194" t="s">
        <v>150</v>
      </c>
      <c r="B110" s="227" t="n">
        <f aca="false">B107/26*(14/12)</f>
        <v>527.665384615385</v>
      </c>
      <c r="C110" s="228"/>
      <c r="D110" s="227" t="n">
        <f aca="false">D107/26*(14/12)</f>
        <v>707.270913461539</v>
      </c>
      <c r="E110" s="229"/>
      <c r="F110" s="230"/>
      <c r="G110" s="206" t="n">
        <v>6</v>
      </c>
      <c r="H110" s="231" t="n">
        <f aca="false">'$'!C139</f>
        <v>23.541627</v>
      </c>
      <c r="I110" s="116" t="n">
        <f aca="false">$B$116/H110</f>
        <v>3.32262506750277</v>
      </c>
      <c r="J110" s="232" t="n">
        <f aca="false">I110*$J$105/$I$105</f>
        <v>79.7711007824565</v>
      </c>
    </row>
    <row r="111" customFormat="false" ht="17.25" hidden="false" customHeight="true" outlineLevel="0" collapsed="false">
      <c r="A111" s="194" t="s">
        <v>125</v>
      </c>
      <c r="B111" s="227" t="n">
        <f aca="false">B107/26</f>
        <v>452.284615384615</v>
      </c>
      <c r="C111" s="228"/>
      <c r="D111" s="227" t="n">
        <f aca="false">D107/26</f>
        <v>606.232211538462</v>
      </c>
      <c r="E111" s="229"/>
      <c r="F111" s="230"/>
      <c r="G111" s="206" t="n">
        <v>7</v>
      </c>
      <c r="H111" s="231" t="n">
        <f aca="false">'$'!C140</f>
        <v>26.43329</v>
      </c>
      <c r="I111" s="116" t="n">
        <f aca="false">$D$116/H111</f>
        <v>3.94086396358531</v>
      </c>
      <c r="J111" s="232" t="n">
        <f aca="false">I111*$J$105/$I$105</f>
        <v>94.6140626830906</v>
      </c>
    </row>
    <row r="112" customFormat="false" ht="17.25" hidden="false" customHeight="true" outlineLevel="0" collapsed="false">
      <c r="A112" s="194" t="s">
        <v>151</v>
      </c>
      <c r="B112" s="227" t="n">
        <f aca="false">B104*0.03</f>
        <v>300.24</v>
      </c>
      <c r="C112" s="228"/>
      <c r="D112" s="227" t="n">
        <f aca="false">D104*0.03</f>
        <v>402.435</v>
      </c>
      <c r="E112" s="229"/>
      <c r="F112" s="230"/>
      <c r="G112" s="206" t="n">
        <v>8</v>
      </c>
      <c r="H112" s="231" t="n">
        <f aca="false">'$'!C141</f>
        <v>26.916173</v>
      </c>
      <c r="I112" s="116" t="n">
        <f aca="false">$D$116/H112</f>
        <v>3.87016386021891</v>
      </c>
      <c r="J112" s="232" t="n">
        <f aca="false">I112*$J$105/$I$105</f>
        <v>92.916662297434</v>
      </c>
    </row>
    <row r="113" customFormat="false" ht="17.25" hidden="false" customHeight="true" outlineLevel="0" collapsed="false">
      <c r="A113" s="194" t="s">
        <v>152</v>
      </c>
      <c r="B113" s="227" t="n">
        <f aca="false">B104*0.015</f>
        <v>150.12</v>
      </c>
      <c r="C113" s="228"/>
      <c r="D113" s="227" t="n">
        <f aca="false">D104*0.015</f>
        <v>201.2175</v>
      </c>
      <c r="E113" s="229"/>
      <c r="F113" s="230"/>
      <c r="G113" s="206" t="n">
        <v>9</v>
      </c>
      <c r="H113" s="231" t="n">
        <f aca="false">'$'!C142</f>
        <v>26.984571</v>
      </c>
      <c r="I113" s="116" t="n">
        <f aca="false">$D$116/H113</f>
        <v>3.86035412606708</v>
      </c>
      <c r="J113" s="232" t="n">
        <f aca="false">I113*$J$105/$I$105</f>
        <v>92.6811457176885</v>
      </c>
    </row>
    <row r="114" customFormat="false" ht="17.25" hidden="false" customHeight="true" outlineLevel="0" collapsed="false">
      <c r="A114" s="194" t="s">
        <v>153</v>
      </c>
      <c r="B114" s="227" t="n">
        <f aca="false">B104*0.05</f>
        <v>500.4</v>
      </c>
      <c r="C114" s="228"/>
      <c r="D114" s="227" t="n">
        <f aca="false">D104*0.05</f>
        <v>670.725</v>
      </c>
      <c r="E114" s="229"/>
      <c r="F114" s="230"/>
      <c r="G114" s="206" t="n">
        <v>10</v>
      </c>
      <c r="H114" s="231" t="n">
        <f aca="false">'$'!C143</f>
        <v>27.86033</v>
      </c>
      <c r="I114" s="116" t="n">
        <f aca="false">$D$116/H114</f>
        <v>3.73900811655856</v>
      </c>
      <c r="J114" s="232" t="n">
        <f aca="false">I114*$J$105/$I$105</f>
        <v>89.7678152764275</v>
      </c>
    </row>
    <row r="115" customFormat="false" ht="17.25" hidden="false" customHeight="true" outlineLevel="0" collapsed="false">
      <c r="A115" s="194" t="s">
        <v>145</v>
      </c>
      <c r="B115" s="233" t="n">
        <f aca="false">SUM(B107:B114)</f>
        <v>15252.27</v>
      </c>
      <c r="C115" s="228"/>
      <c r="D115" s="233" t="n">
        <f aca="false">SUM(D107:D114)</f>
        <v>20311.578125</v>
      </c>
      <c r="E115" s="229"/>
      <c r="F115" s="230"/>
      <c r="G115" s="206" t="n">
        <v>11</v>
      </c>
      <c r="H115" s="231" t="n">
        <f aca="false">'$'!C144</f>
        <v>28.646301</v>
      </c>
      <c r="I115" s="116" t="n">
        <f aca="false">$D$116/H115</f>
        <v>3.63642063245792</v>
      </c>
      <c r="J115" s="232" t="n">
        <f aca="false">I115*$J$105/$I$105</f>
        <v>87.3048480842365</v>
      </c>
    </row>
    <row r="116" customFormat="false" ht="17.25" hidden="false" customHeight="true" outlineLevel="0" collapsed="false">
      <c r="A116" s="194" t="s">
        <v>146</v>
      </c>
      <c r="B116" s="233" t="n">
        <f aca="false">ROUNDUP(B115/26/7.5,2)</f>
        <v>78.22</v>
      </c>
      <c r="C116" s="234"/>
      <c r="D116" s="233" t="n">
        <f aca="false">ROUNDUP(D115/26/7.5,2)</f>
        <v>104.17</v>
      </c>
      <c r="E116" s="19"/>
      <c r="F116" s="230"/>
      <c r="G116" s="206" t="n">
        <v>12</v>
      </c>
      <c r="H116" s="231" t="n">
        <f aca="false">'$'!C145</f>
        <v>29.088107</v>
      </c>
      <c r="I116" s="116" t="n">
        <f aca="false">$D$116/H116</f>
        <v>3.58118869681001</v>
      </c>
      <c r="J116" s="232" t="n">
        <f aca="false">I116*$J$105/$I$105</f>
        <v>85.9788145368247</v>
      </c>
    </row>
    <row r="117" customFormat="false" ht="17.25" hidden="false" customHeight="true" outlineLevel="0" collapsed="false">
      <c r="A117" s="194"/>
      <c r="B117" s="235"/>
      <c r="C117" s="229"/>
      <c r="D117" s="51"/>
      <c r="E117" s="19"/>
      <c r="F117" s="236" t="s">
        <v>131</v>
      </c>
      <c r="G117" s="237"/>
      <c r="H117" s="236"/>
      <c r="I117" s="238" t="n">
        <f aca="false">AVERAGE(I105:I116)</f>
        <v>3.86607174642144</v>
      </c>
      <c r="J117" s="239"/>
    </row>
    <row r="118" customFormat="false" ht="17.25" hidden="false" customHeight="true" outlineLevel="0" collapsed="false">
      <c r="A118" s="194" t="s">
        <v>132</v>
      </c>
      <c r="B118" s="230" t="s">
        <v>133</v>
      </c>
      <c r="C118" s="240" t="s">
        <v>134</v>
      </c>
      <c r="D118" s="230" t="s">
        <v>133</v>
      </c>
      <c r="E118" s="240" t="s">
        <v>134</v>
      </c>
      <c r="F118" s="18"/>
      <c r="G118" s="18"/>
      <c r="H118" s="204"/>
      <c r="I118" s="204"/>
      <c r="J118" s="204"/>
    </row>
    <row r="119" customFormat="false" ht="17.25" hidden="false" customHeight="true" outlineLevel="0" collapsed="false">
      <c r="A119" s="194" t="s">
        <v>135</v>
      </c>
      <c r="B119" s="227" t="n">
        <f aca="false">744/2</f>
        <v>372</v>
      </c>
      <c r="C119" s="241" t="n">
        <f aca="false">(B121*0.21)*B119</f>
        <v>73432.8</v>
      </c>
      <c r="D119" s="227" t="n">
        <f aca="false">850/2</f>
        <v>425</v>
      </c>
      <c r="E119" s="241" t="n">
        <f aca="false">(D121*0.21)*D119</f>
        <v>83895</v>
      </c>
      <c r="F119" s="18"/>
      <c r="G119" s="18"/>
      <c r="H119" s="204"/>
      <c r="I119" s="204"/>
      <c r="J119" s="204"/>
    </row>
    <row r="120" customFormat="false" ht="17.25" hidden="false" customHeight="true" outlineLevel="0" collapsed="false">
      <c r="A120" s="194" t="s">
        <v>136</v>
      </c>
      <c r="B120" s="227" t="n">
        <f aca="false">B119</f>
        <v>372</v>
      </c>
      <c r="C120" s="241" t="n">
        <f aca="false">(B121*0.97)*B120</f>
        <v>339189.6</v>
      </c>
      <c r="D120" s="227" t="n">
        <f aca="false">D119</f>
        <v>425</v>
      </c>
      <c r="E120" s="241" t="n">
        <f aca="false">(D121*0.97)*D120</f>
        <v>387515</v>
      </c>
      <c r="F120" s="18"/>
      <c r="G120" s="18"/>
      <c r="H120" s="204"/>
      <c r="I120" s="204"/>
      <c r="J120" s="204"/>
    </row>
    <row r="121" customFormat="false" ht="17.25" hidden="false" customHeight="true" outlineLevel="0" collapsed="false">
      <c r="A121" s="194" t="s">
        <v>147</v>
      </c>
      <c r="B121" s="244" t="n">
        <v>940</v>
      </c>
      <c r="C121" s="243"/>
      <c r="D121" s="244" t="n">
        <f aca="false">B121</f>
        <v>940</v>
      </c>
      <c r="E121" s="243"/>
      <c r="F121" s="18"/>
      <c r="G121" s="18"/>
      <c r="H121" s="204"/>
      <c r="I121" s="204"/>
      <c r="J121" s="204"/>
    </row>
    <row r="122" customFormat="false" ht="17.25" hidden="false" customHeight="true" outlineLevel="0" collapsed="false">
      <c r="A122" s="194"/>
      <c r="B122" s="194"/>
      <c r="C122" s="194"/>
      <c r="D122" s="194"/>
      <c r="E122" s="194"/>
      <c r="F122" s="18"/>
      <c r="G122" s="18"/>
      <c r="H122" s="204"/>
      <c r="I122" s="204"/>
      <c r="J122" s="204"/>
    </row>
    <row r="123" customFormat="false" ht="17.25" hidden="false" customHeight="true" outlineLevel="0" collapsed="false">
      <c r="A123" s="245" t="s">
        <v>159</v>
      </c>
      <c r="B123" s="245"/>
      <c r="C123" s="245"/>
      <c r="D123" s="245"/>
      <c r="E123" s="245"/>
      <c r="F123" s="217"/>
      <c r="G123" s="217"/>
      <c r="H123" s="218"/>
      <c r="I123" s="218"/>
      <c r="J123" s="218"/>
    </row>
    <row r="124" customFormat="false" ht="17.25" hidden="false" customHeight="true" outlineLevel="0" collapsed="false">
      <c r="A124" s="194"/>
      <c r="B124" s="203" t="s">
        <v>155</v>
      </c>
      <c r="C124" s="219"/>
      <c r="D124" s="194" t="s">
        <v>156</v>
      </c>
      <c r="E124" s="194"/>
      <c r="F124" s="18"/>
      <c r="G124" s="18"/>
      <c r="H124" s="204"/>
      <c r="I124" s="204"/>
      <c r="J124" s="204"/>
    </row>
    <row r="125" customFormat="false" ht="17.25" hidden="false" customHeight="true" outlineLevel="0" collapsed="false">
      <c r="A125" s="194" t="s">
        <v>142</v>
      </c>
      <c r="B125" s="220" t="n">
        <v>20002.5</v>
      </c>
      <c r="C125" s="221"/>
      <c r="D125" s="220" t="n">
        <v>20002.5</v>
      </c>
      <c r="E125" s="222"/>
      <c r="F125" s="223"/>
      <c r="G125" s="224"/>
      <c r="H125" s="225" t="s">
        <v>116</v>
      </c>
      <c r="I125" s="225" t="s">
        <v>117</v>
      </c>
      <c r="J125" s="226" t="s">
        <v>118</v>
      </c>
    </row>
    <row r="126" customFormat="false" ht="17.25" hidden="false" customHeight="true" outlineLevel="0" collapsed="false">
      <c r="A126" s="194" t="s">
        <v>143</v>
      </c>
      <c r="B126" s="227" t="n">
        <f aca="false">B125*0.155</f>
        <v>3100.3875</v>
      </c>
      <c r="C126" s="228"/>
      <c r="D126" s="227" t="n">
        <f aca="false">D125*0.155</f>
        <v>3100.3875</v>
      </c>
      <c r="E126" s="229"/>
      <c r="F126" s="230"/>
      <c r="G126" s="206" t="n">
        <v>1</v>
      </c>
      <c r="H126" s="231" t="n">
        <f aca="false">'$'!C146</f>
        <v>30.065751</v>
      </c>
      <c r="I126" s="116" t="n">
        <f aca="false">$B$137/H126</f>
        <v>5.40515352501922</v>
      </c>
      <c r="J126" s="232" t="n">
        <v>100</v>
      </c>
    </row>
    <row r="127" customFormat="false" ht="17.25" hidden="false" customHeight="true" outlineLevel="0" collapsed="false">
      <c r="A127" s="194" t="s">
        <v>120</v>
      </c>
      <c r="B127" s="227" t="n">
        <f aca="false">B125*0.02</f>
        <v>400.05</v>
      </c>
      <c r="C127" s="228"/>
      <c r="D127" s="227" t="n">
        <f aca="false">D125*0.02</f>
        <v>400.05</v>
      </c>
      <c r="E127" s="229"/>
      <c r="F127" s="230"/>
      <c r="G127" s="206" t="n">
        <v>2</v>
      </c>
      <c r="H127" s="231" t="n">
        <f aca="false">'$'!C147</f>
        <v>30.78419</v>
      </c>
      <c r="I127" s="116" t="n">
        <f aca="false">$B$137/H127</f>
        <v>5.27900847805318</v>
      </c>
      <c r="J127" s="232" t="n">
        <f aca="false">I127*$J$126/$I$126</f>
        <v>97.6662078813833</v>
      </c>
    </row>
    <row r="128" customFormat="false" ht="17.25" hidden="false" customHeight="true" outlineLevel="0" collapsed="false">
      <c r="A128" s="194" t="s">
        <v>121</v>
      </c>
      <c r="B128" s="233" t="n">
        <f aca="false">SUM(B125:B127)</f>
        <v>23502.9375</v>
      </c>
      <c r="C128" s="228"/>
      <c r="D128" s="233" t="n">
        <f aca="false">SUM(D125:D127)</f>
        <v>23502.9375</v>
      </c>
      <c r="E128" s="229"/>
      <c r="F128" s="230"/>
      <c r="G128" s="206" t="n">
        <v>3</v>
      </c>
      <c r="H128" s="231" t="n">
        <f aca="false">'$'!C148</f>
        <v>32.02692</v>
      </c>
      <c r="I128" s="116" t="n">
        <f aca="false">$B$137/H128</f>
        <v>5.07416885545035</v>
      </c>
      <c r="J128" s="232" t="n">
        <f aca="false">I128*$J$126/$I$126</f>
        <v>93.8764982708297</v>
      </c>
    </row>
    <row r="129" customFormat="false" ht="17.25" hidden="false" customHeight="true" outlineLevel="0" collapsed="false">
      <c r="A129" s="194" t="s">
        <v>157</v>
      </c>
      <c r="B129" s="227" t="n">
        <f aca="false">82.5*26*1.08</f>
        <v>2316.6</v>
      </c>
      <c r="C129" s="228"/>
      <c r="D129" s="227" t="n">
        <f aca="false">82.5*26*1.08</f>
        <v>2316.6</v>
      </c>
      <c r="E129" s="229"/>
      <c r="F129" s="230"/>
      <c r="G129" s="206" t="n">
        <v>4</v>
      </c>
      <c r="H129" s="231" t="n">
        <f aca="false">'$'!C149</f>
        <v>32.366499</v>
      </c>
      <c r="I129" s="116" t="n">
        <f aca="false">$B$137/H129</f>
        <v>5.02093229175018</v>
      </c>
      <c r="J129" s="232" t="n">
        <f aca="false">I129*$J$126/$I$126</f>
        <v>92.8915759470927</v>
      </c>
    </row>
    <row r="130" customFormat="false" ht="17.25" hidden="false" customHeight="true" outlineLevel="0" collapsed="false">
      <c r="A130" s="194" t="s">
        <v>123</v>
      </c>
      <c r="B130" s="227" t="n">
        <f aca="false">SUM(C140:C141)/B142</f>
        <v>2010.25</v>
      </c>
      <c r="C130" s="228"/>
      <c r="D130" s="227" t="n">
        <f aca="false">SUM(E140:E141)/D142</f>
        <v>2010.25</v>
      </c>
      <c r="E130" s="229"/>
      <c r="F130" s="230"/>
      <c r="G130" s="206" t="n">
        <v>5</v>
      </c>
      <c r="H130" s="231" t="n">
        <f aca="false">'$'!C150</f>
        <v>32.26418</v>
      </c>
      <c r="I130" s="116" t="n">
        <f aca="false">$B$137/H130</f>
        <v>5.03685511300768</v>
      </c>
      <c r="J130" s="232" t="n">
        <f aca="false">I130*$J$126/$I$126</f>
        <v>93.1861618674332</v>
      </c>
    </row>
    <row r="131" customFormat="false" ht="17.25" hidden="false" customHeight="true" outlineLevel="0" collapsed="false">
      <c r="A131" s="194" t="s">
        <v>150</v>
      </c>
      <c r="B131" s="227" t="n">
        <f aca="false">B128/26*(14/12)</f>
        <v>1054.61899038462</v>
      </c>
      <c r="C131" s="228"/>
      <c r="D131" s="227" t="n">
        <f aca="false">D128/26*(14/12)</f>
        <v>1054.61899038462</v>
      </c>
      <c r="E131" s="229"/>
      <c r="F131" s="230"/>
      <c r="G131" s="206" t="n">
        <v>6</v>
      </c>
      <c r="H131" s="231" t="n">
        <f aca="false">'$'!C151</f>
        <v>32.591018</v>
      </c>
      <c r="I131" s="116" t="n">
        <f aca="false">$B$137/H131</f>
        <v>4.98634316976536</v>
      </c>
      <c r="J131" s="232" t="n">
        <f aca="false">I131*$J$126/$I$126</f>
        <v>92.251647371064</v>
      </c>
    </row>
    <row r="132" customFormat="false" ht="17.25" hidden="false" customHeight="true" outlineLevel="0" collapsed="false">
      <c r="A132" s="194" t="s">
        <v>125</v>
      </c>
      <c r="B132" s="227" t="n">
        <f aca="false">B128/26</f>
        <v>903.959134615385</v>
      </c>
      <c r="C132" s="228"/>
      <c r="D132" s="227" t="n">
        <f aca="false">D128/26</f>
        <v>903.959134615385</v>
      </c>
      <c r="E132" s="229"/>
      <c r="F132" s="230"/>
      <c r="G132" s="206" t="n">
        <v>7</v>
      </c>
      <c r="H132" s="231" t="n">
        <f aca="false">'$'!C152</f>
        <v>32.911131</v>
      </c>
      <c r="I132" s="116" t="n">
        <f aca="false">$B$137/H132</f>
        <v>4.93784306592198</v>
      </c>
      <c r="J132" s="232" t="n">
        <f aca="false">I132*$J$126/$I$126</f>
        <v>91.3543536379835</v>
      </c>
    </row>
    <row r="133" customFormat="false" ht="17.25" hidden="false" customHeight="true" outlineLevel="0" collapsed="false">
      <c r="A133" s="194" t="s">
        <v>151</v>
      </c>
      <c r="B133" s="227" t="n">
        <f aca="false">B125*0.03</f>
        <v>600.075</v>
      </c>
      <c r="C133" s="228"/>
      <c r="D133" s="227" t="n">
        <f aca="false">D125*0.03</f>
        <v>600.075</v>
      </c>
      <c r="E133" s="229"/>
      <c r="F133" s="230"/>
      <c r="G133" s="206" t="n">
        <v>8</v>
      </c>
      <c r="H133" s="231" t="n">
        <f aca="false">'$'!C153</f>
        <v>33.678</v>
      </c>
      <c r="I133" s="116" t="n">
        <f aca="false">$B$137/H133</f>
        <v>4.82540530910387</v>
      </c>
      <c r="J133" s="232" t="n">
        <f aca="false">I133*$J$126/$I$126</f>
        <v>89.2741582041689</v>
      </c>
    </row>
    <row r="134" customFormat="false" ht="17.25" hidden="false" customHeight="true" outlineLevel="0" collapsed="false">
      <c r="A134" s="194" t="s">
        <v>152</v>
      </c>
      <c r="B134" s="227" t="n">
        <f aca="false">B125*0.015</f>
        <v>300.0375</v>
      </c>
      <c r="C134" s="228"/>
      <c r="D134" s="227" t="n">
        <f aca="false">D125*0.015</f>
        <v>300.0375</v>
      </c>
      <c r="E134" s="229"/>
      <c r="F134" s="230"/>
      <c r="G134" s="206" t="n">
        <v>9</v>
      </c>
      <c r="H134" s="231" t="n">
        <f aca="false">'$'!C154</f>
        <v>34.062282</v>
      </c>
      <c r="I134" s="116" t="n">
        <f aca="false">$B$137/H134</f>
        <v>4.77096631400092</v>
      </c>
      <c r="J134" s="232" t="n">
        <f aca="false">I134*$J$126/$I$126</f>
        <v>88.2669898628636</v>
      </c>
    </row>
    <row r="135" customFormat="false" ht="17.25" hidden="false" customHeight="true" outlineLevel="0" collapsed="false">
      <c r="A135" s="194" t="s">
        <v>153</v>
      </c>
      <c r="B135" s="227" t="n">
        <f aca="false">B125*0.05</f>
        <v>1000.125</v>
      </c>
      <c r="C135" s="228"/>
      <c r="D135" s="227" t="n">
        <f aca="false">D125*0.05</f>
        <v>1000.125</v>
      </c>
      <c r="E135" s="229"/>
      <c r="F135" s="230"/>
      <c r="G135" s="206" t="n">
        <v>10</v>
      </c>
      <c r="H135" s="231" t="n">
        <f aca="false">'$'!C155</f>
        <v>34.2626</v>
      </c>
      <c r="I135" s="116" t="n">
        <f aca="false">$B$137/H135</f>
        <v>4.74307262145897</v>
      </c>
      <c r="J135" s="232" t="n">
        <f aca="false">I135*$J$126/$I$126</f>
        <v>87.7509325036629</v>
      </c>
    </row>
    <row r="136" customFormat="false" ht="17.25" hidden="false" customHeight="true" outlineLevel="0" collapsed="false">
      <c r="A136" s="194" t="s">
        <v>145</v>
      </c>
      <c r="B136" s="233" t="n">
        <f aca="false">SUM(B128:B135)</f>
        <v>31688.603125</v>
      </c>
      <c r="C136" s="228"/>
      <c r="D136" s="233" t="n">
        <f aca="false">SUM(D128:D135)</f>
        <v>31688.603125</v>
      </c>
      <c r="E136" s="229"/>
      <c r="F136" s="230"/>
      <c r="G136" s="206" t="n">
        <v>11</v>
      </c>
      <c r="H136" s="231" t="n">
        <f aca="false">'$'!C156</f>
        <v>34.46339</v>
      </c>
      <c r="I136" s="116" t="n">
        <f aca="false">$B$137/H136</f>
        <v>4.7154386147155</v>
      </c>
      <c r="J136" s="232" t="n">
        <f aca="false">I136*$J$126/$I$126</f>
        <v>87.2396795556096</v>
      </c>
    </row>
    <row r="137" customFormat="false" ht="17.25" hidden="false" customHeight="true" outlineLevel="0" collapsed="false">
      <c r="A137" s="194" t="s">
        <v>146</v>
      </c>
      <c r="B137" s="233" t="n">
        <f aca="false">ROUNDUP(B136/26/7.5,2)</f>
        <v>162.51</v>
      </c>
      <c r="C137" s="234"/>
      <c r="D137" s="233" t="n">
        <f aca="false">ROUNDUP(D136/26/7.5,2)</f>
        <v>162.51</v>
      </c>
      <c r="E137" s="19"/>
      <c r="F137" s="230"/>
      <c r="G137" s="206" t="n">
        <v>12</v>
      </c>
      <c r="H137" s="231" t="n">
        <f aca="false">'$'!C157</f>
        <v>34.9875</v>
      </c>
      <c r="I137" s="116" t="n">
        <f aca="false">$B$137/H137</f>
        <v>4.64480171489818</v>
      </c>
      <c r="J137" s="232" t="n">
        <f aca="false">I137*$J$126/$I$126</f>
        <v>85.9328360128617</v>
      </c>
    </row>
    <row r="138" customFormat="false" ht="17.25" hidden="false" customHeight="true" outlineLevel="0" collapsed="false">
      <c r="A138" s="194"/>
      <c r="B138" s="235"/>
      <c r="C138" s="229"/>
      <c r="D138" s="51"/>
      <c r="E138" s="19"/>
      <c r="F138" s="236" t="s">
        <v>131</v>
      </c>
      <c r="G138" s="237"/>
      <c r="H138" s="236"/>
      <c r="I138" s="238" t="n">
        <f aca="false">AVERAGE(I126:I137)</f>
        <v>4.95333242276212</v>
      </c>
      <c r="J138" s="239"/>
    </row>
    <row r="139" customFormat="false" ht="17.25" hidden="false" customHeight="true" outlineLevel="0" collapsed="false">
      <c r="A139" s="194" t="s">
        <v>132</v>
      </c>
      <c r="B139" s="230" t="s">
        <v>133</v>
      </c>
      <c r="C139" s="240" t="s">
        <v>134</v>
      </c>
      <c r="D139" s="230" t="s">
        <v>133</v>
      </c>
      <c r="E139" s="240" t="s">
        <v>134</v>
      </c>
      <c r="F139" s="18"/>
      <c r="G139" s="18"/>
      <c r="H139" s="204"/>
      <c r="I139" s="204"/>
      <c r="J139" s="204"/>
    </row>
    <row r="140" customFormat="false" ht="17.25" hidden="false" customHeight="true" outlineLevel="0" collapsed="false">
      <c r="A140" s="194" t="s">
        <v>135</v>
      </c>
      <c r="B140" s="227" t="n">
        <f aca="false">1870/2</f>
        <v>935</v>
      </c>
      <c r="C140" s="241" t="n">
        <f aca="false">(B142*0.21)*B140</f>
        <v>159436.2</v>
      </c>
      <c r="D140" s="227" t="n">
        <f aca="false">1870/2</f>
        <v>935</v>
      </c>
      <c r="E140" s="241" t="n">
        <f aca="false">(D142*0.21)*D140</f>
        <v>159436.2</v>
      </c>
      <c r="F140" s="18"/>
      <c r="G140" s="18"/>
      <c r="H140" s="204"/>
      <c r="I140" s="204"/>
      <c r="J140" s="204"/>
    </row>
    <row r="141" customFormat="false" ht="17.25" hidden="false" customHeight="true" outlineLevel="0" collapsed="false">
      <c r="A141" s="194" t="s">
        <v>136</v>
      </c>
      <c r="B141" s="227" t="n">
        <f aca="false">B140*2</f>
        <v>1870</v>
      </c>
      <c r="C141" s="241" t="n">
        <f aca="false">(B142*0.97)*B141</f>
        <v>1472886.8</v>
      </c>
      <c r="D141" s="227" t="n">
        <f aca="false">D140*2</f>
        <v>1870</v>
      </c>
      <c r="E141" s="241" t="n">
        <f aca="false">(D142*0.97)*D141</f>
        <v>1472886.8</v>
      </c>
      <c r="F141" s="18"/>
      <c r="G141" s="18"/>
      <c r="H141" s="204"/>
      <c r="I141" s="204"/>
      <c r="J141" s="204"/>
    </row>
    <row r="142" customFormat="false" ht="17.25" hidden="false" customHeight="true" outlineLevel="0" collapsed="false">
      <c r="A142" s="194" t="s">
        <v>147</v>
      </c>
      <c r="B142" s="244" t="n">
        <v>812</v>
      </c>
      <c r="C142" s="243"/>
      <c r="D142" s="244" t="n">
        <f aca="false">B142</f>
        <v>812</v>
      </c>
      <c r="E142" s="243"/>
      <c r="F142" s="18"/>
      <c r="G142" s="18"/>
      <c r="H142" s="204"/>
      <c r="I142" s="204"/>
      <c r="J142" s="204"/>
    </row>
    <row r="143" customFormat="false" ht="17.25" hidden="false" customHeight="true" outlineLevel="0" collapsed="false">
      <c r="A143" s="194"/>
      <c r="B143" s="194"/>
      <c r="C143" s="194"/>
      <c r="D143" s="194"/>
      <c r="E143" s="194"/>
      <c r="F143" s="18"/>
      <c r="G143" s="18"/>
      <c r="H143" s="204"/>
      <c r="I143" s="204"/>
      <c r="J143" s="204"/>
    </row>
    <row r="144" customFormat="false" ht="17.25" hidden="false" customHeight="true" outlineLevel="0" collapsed="false">
      <c r="A144" s="194"/>
      <c r="B144" s="194"/>
      <c r="C144" s="194"/>
      <c r="D144" s="194"/>
      <c r="E144" s="194"/>
      <c r="F144" s="18"/>
      <c r="G144" s="18"/>
      <c r="H144" s="204"/>
      <c r="I144" s="204"/>
      <c r="J144" s="204"/>
    </row>
    <row r="145" customFormat="false" ht="17.25" hidden="false" customHeight="true" outlineLevel="0" collapsed="false">
      <c r="A145" s="245" t="s">
        <v>160</v>
      </c>
      <c r="B145" s="245"/>
      <c r="C145" s="245"/>
      <c r="D145" s="245"/>
      <c r="E145" s="245"/>
      <c r="F145" s="217"/>
      <c r="G145" s="217"/>
      <c r="H145" s="218"/>
      <c r="I145" s="218"/>
      <c r="J145" s="218"/>
    </row>
    <row r="146" customFormat="false" ht="17.25" hidden="false" customHeight="true" outlineLevel="0" collapsed="false">
      <c r="A146" s="194"/>
      <c r="B146" s="203" t="s">
        <v>155</v>
      </c>
      <c r="C146" s="219"/>
      <c r="D146" s="194" t="s">
        <v>156</v>
      </c>
      <c r="E146" s="194"/>
      <c r="F146" s="18"/>
      <c r="G146" s="18"/>
      <c r="H146" s="204"/>
      <c r="I146" s="204"/>
      <c r="J146" s="204"/>
    </row>
    <row r="147" customFormat="false" ht="17.25" hidden="false" customHeight="true" outlineLevel="0" collapsed="false">
      <c r="A147" s="194" t="s">
        <v>142</v>
      </c>
      <c r="B147" s="220" t="n">
        <v>26005.5</v>
      </c>
      <c r="C147" s="221"/>
      <c r="D147" s="220" t="n">
        <v>26005.5</v>
      </c>
      <c r="E147" s="222"/>
      <c r="F147" s="223"/>
      <c r="G147" s="224"/>
      <c r="H147" s="225" t="s">
        <v>116</v>
      </c>
      <c r="I147" s="225" t="s">
        <v>117</v>
      </c>
      <c r="J147" s="226" t="s">
        <v>118</v>
      </c>
    </row>
    <row r="148" customFormat="false" ht="17.25" hidden="false" customHeight="true" outlineLevel="0" collapsed="false">
      <c r="A148" s="194" t="s">
        <v>143</v>
      </c>
      <c r="B148" s="227" t="n">
        <f aca="false">B147*0.155</f>
        <v>4030.8525</v>
      </c>
      <c r="C148" s="228"/>
      <c r="D148" s="227" t="n">
        <f aca="false">D147*0.155</f>
        <v>4030.8525</v>
      </c>
      <c r="E148" s="229"/>
      <c r="F148" s="230"/>
      <c r="G148" s="206" t="n">
        <v>1</v>
      </c>
      <c r="H148" s="231" t="n">
        <f aca="false">'$'!C158</f>
        <v>35.5237</v>
      </c>
      <c r="I148" s="116" t="n">
        <f aca="false">$B$137/H148</f>
        <v>4.57469238846179</v>
      </c>
      <c r="J148" s="232" t="n">
        <v>100</v>
      </c>
    </row>
    <row r="149" customFormat="false" ht="17.25" hidden="false" customHeight="true" outlineLevel="0" collapsed="false">
      <c r="A149" s="194" t="s">
        <v>120</v>
      </c>
      <c r="B149" s="227" t="n">
        <f aca="false">B147*0.02</f>
        <v>520.11</v>
      </c>
      <c r="C149" s="228"/>
      <c r="D149" s="227" t="n">
        <f aca="false">D147*0.02</f>
        <v>520.11</v>
      </c>
      <c r="E149" s="229"/>
      <c r="F149" s="230"/>
      <c r="G149" s="206" t="n">
        <v>2</v>
      </c>
      <c r="H149" s="231" t="n">
        <f aca="false">'$'!C159</f>
        <v>36.169082</v>
      </c>
      <c r="I149" s="116" t="n">
        <f aca="false">$B$137/H149</f>
        <v>4.49306399316411</v>
      </c>
      <c r="J149" s="232" t="n">
        <f aca="false">I149*$J$126/$I$126</f>
        <v>83.125557347571</v>
      </c>
    </row>
    <row r="150" customFormat="false" ht="17.25" hidden="false" customHeight="true" outlineLevel="0" collapsed="false">
      <c r="A150" s="194" t="s">
        <v>121</v>
      </c>
      <c r="B150" s="233" t="n">
        <f aca="false">SUM(B147:B149)</f>
        <v>30556.4625</v>
      </c>
      <c r="C150" s="228"/>
      <c r="D150" s="233" t="n">
        <f aca="false">SUM(D147:D149)</f>
        <v>30556.4625</v>
      </c>
      <c r="E150" s="229"/>
      <c r="F150" s="230"/>
      <c r="G150" s="206" t="n">
        <v>3</v>
      </c>
      <c r="H150" s="231" t="n">
        <f aca="false">'$'!C160</f>
        <v>37.092994</v>
      </c>
      <c r="I150" s="116" t="n">
        <f aca="false">$B$137/H150</f>
        <v>4.38115079090138</v>
      </c>
      <c r="J150" s="232" t="n">
        <f aca="false">I150*$J$126/$I$126</f>
        <v>81.0550666252501</v>
      </c>
    </row>
    <row r="151" customFormat="false" ht="17.25" hidden="false" customHeight="true" outlineLevel="0" collapsed="false">
      <c r="A151" s="194" t="s">
        <v>157</v>
      </c>
      <c r="B151" s="227" t="n">
        <f aca="false">82.5*26*1.08</f>
        <v>2316.6</v>
      </c>
      <c r="C151" s="228"/>
      <c r="D151" s="227" t="n">
        <f aca="false">82.5*26*1.08</f>
        <v>2316.6</v>
      </c>
      <c r="E151" s="229"/>
      <c r="F151" s="230"/>
      <c r="G151" s="206" t="n">
        <v>4</v>
      </c>
      <c r="H151" s="231" t="n">
        <f aca="false">'$'!C161</f>
        <v>38.131488</v>
      </c>
      <c r="I151" s="116" t="n">
        <f aca="false">$B$137/H151</f>
        <v>4.26183211103642</v>
      </c>
      <c r="J151" s="232" t="n">
        <f aca="false">I151*$J$126/$I$126</f>
        <v>78.8475681830198</v>
      </c>
    </row>
    <row r="152" customFormat="false" ht="17.25" hidden="false" customHeight="true" outlineLevel="0" collapsed="false">
      <c r="A152" s="194" t="s">
        <v>123</v>
      </c>
      <c r="B152" s="227" t="n">
        <f aca="false">SUM(C162:C163)/B164</f>
        <v>2010.25</v>
      </c>
      <c r="C152" s="228"/>
      <c r="D152" s="227" t="n">
        <f aca="false">SUM(E162:E163)/D164</f>
        <v>2010.25</v>
      </c>
      <c r="E152" s="229"/>
      <c r="F152" s="230"/>
      <c r="G152" s="206" t="n">
        <v>5</v>
      </c>
      <c r="H152" s="231" t="n">
        <f aca="false">'$'!C162</f>
        <v>38.826157</v>
      </c>
      <c r="I152" s="116" t="n">
        <f aca="false">$B$137/H152</f>
        <v>4.18558035501685</v>
      </c>
      <c r="J152" s="232" t="n">
        <f aca="false">I152*$J$126/$I$126</f>
        <v>77.4368449599583</v>
      </c>
    </row>
    <row r="153" customFormat="false" ht="17.25" hidden="false" customHeight="true" outlineLevel="0" collapsed="false">
      <c r="A153" s="194" t="s">
        <v>150</v>
      </c>
      <c r="B153" s="227" t="n">
        <f aca="false">B150/26*(14/12)</f>
        <v>1371.12331730769</v>
      </c>
      <c r="C153" s="228"/>
      <c r="D153" s="227" t="n">
        <f aca="false">D150/26*(14/12)</f>
        <v>1371.12331730769</v>
      </c>
      <c r="E153" s="229"/>
      <c r="F153" s="230"/>
      <c r="G153" s="206" t="n">
        <v>6</v>
      </c>
      <c r="H153" s="231" t="n">
        <f aca="false">'$'!C163</f>
        <v>39.477254</v>
      </c>
      <c r="I153" s="116" t="n">
        <f aca="false">$B$137/H153</f>
        <v>4.116547721379</v>
      </c>
      <c r="J153" s="232" t="n">
        <f aca="false">I153*$J$126/$I$126</f>
        <v>76.1596817245698</v>
      </c>
    </row>
    <row r="154" customFormat="false" ht="17.25" hidden="false" customHeight="true" outlineLevel="0" collapsed="false">
      <c r="A154" s="194" t="s">
        <v>125</v>
      </c>
      <c r="B154" s="227" t="n">
        <f aca="false">B150/26</f>
        <v>1175.24855769231</v>
      </c>
      <c r="C154" s="228"/>
      <c r="D154" s="227" t="n">
        <f aca="false">D150/26</f>
        <v>1175.24855769231</v>
      </c>
      <c r="E154" s="229"/>
      <c r="F154" s="230"/>
      <c r="G154" s="206" t="n">
        <v>7</v>
      </c>
      <c r="H154" s="231" t="n">
        <f aca="false">'$'!C164</f>
        <v>40.244021</v>
      </c>
      <c r="I154" s="116" t="n">
        <f aca="false">$B$137/H154</f>
        <v>4.03811537619464</v>
      </c>
      <c r="J154" s="232" t="n">
        <f aca="false">I154*$J$126/$I$126</f>
        <v>74.7086157220721</v>
      </c>
    </row>
    <row r="155" customFormat="false" ht="17.25" hidden="false" customHeight="true" outlineLevel="0" collapsed="false">
      <c r="A155" s="194" t="s">
        <v>151</v>
      </c>
      <c r="B155" s="227" t="n">
        <f aca="false">B147*0.03</f>
        <v>780.165</v>
      </c>
      <c r="C155" s="228"/>
      <c r="D155" s="227" t="n">
        <f aca="false">D147*0.03</f>
        <v>780.165</v>
      </c>
      <c r="E155" s="229"/>
      <c r="F155" s="230"/>
      <c r="G155" s="206" t="n">
        <v>8</v>
      </c>
      <c r="H155" s="231" t="n">
        <f aca="false">'$'!C165</f>
        <v>40.85612</v>
      </c>
      <c r="I155" s="116" t="n">
        <f aca="false">$B$137/H155</f>
        <v>3.97761706202155</v>
      </c>
      <c r="J155" s="232" t="n">
        <f aca="false">I155*$J$126/$I$126</f>
        <v>73.5893447542253</v>
      </c>
    </row>
    <row r="156" customFormat="false" ht="17.25" hidden="false" customHeight="true" outlineLevel="0" collapsed="false">
      <c r="A156" s="194" t="s">
        <v>152</v>
      </c>
      <c r="B156" s="227" t="n">
        <f aca="false">B147*0.015</f>
        <v>390.0825</v>
      </c>
      <c r="C156" s="228"/>
      <c r="D156" s="227" t="n">
        <f aca="false">D147*0.015</f>
        <v>390.0825</v>
      </c>
      <c r="E156" s="229"/>
      <c r="F156" s="230"/>
      <c r="G156" s="206" t="n">
        <v>9</v>
      </c>
      <c r="H156" s="231" t="n">
        <f aca="false">'$'!C166</f>
        <v>41.347521</v>
      </c>
      <c r="I156" s="116" t="n">
        <f aca="false">$B$137/H156</f>
        <v>3.93034445765201</v>
      </c>
      <c r="J156" s="232" t="n">
        <f aca="false">I156*$J$126/$I$126</f>
        <v>72.714760819639</v>
      </c>
    </row>
    <row r="157" customFormat="false" ht="17.25" hidden="false" customHeight="true" outlineLevel="0" collapsed="false">
      <c r="A157" s="194" t="s">
        <v>153</v>
      </c>
      <c r="B157" s="227" t="n">
        <f aca="false">B147*0.05</f>
        <v>1300.275</v>
      </c>
      <c r="C157" s="228"/>
      <c r="D157" s="227" t="n">
        <f aca="false">D147*0.05</f>
        <v>1300.275</v>
      </c>
      <c r="E157" s="229"/>
      <c r="F157" s="230"/>
      <c r="G157" s="206" t="n">
        <v>10</v>
      </c>
      <c r="H157" s="231" t="n">
        <f aca="false">'$'!C167</f>
        <v>41.847826</v>
      </c>
      <c r="I157" s="116" t="n">
        <f aca="false">$B$137/H157</f>
        <v>3.88335585222516</v>
      </c>
      <c r="J157" s="232" t="n">
        <f aca="false">I157*$J$126/$I$126</f>
        <v>71.8454311103282</v>
      </c>
    </row>
    <row r="158" customFormat="false" ht="17.25" hidden="false" customHeight="true" outlineLevel="0" collapsed="false">
      <c r="A158" s="194" t="s">
        <v>145</v>
      </c>
      <c r="B158" s="233" t="n">
        <f aca="false">SUM(B150:B157)</f>
        <v>39900.206875</v>
      </c>
      <c r="C158" s="228"/>
      <c r="D158" s="233" t="n">
        <f aca="false">SUM(D150:D157)</f>
        <v>39900.206875</v>
      </c>
      <c r="E158" s="229"/>
      <c r="F158" s="230"/>
      <c r="G158" s="206" t="n">
        <v>11</v>
      </c>
      <c r="H158" s="231" t="n">
        <f aca="false">'$'!C168</f>
        <v>43.1816648593448</v>
      </c>
      <c r="I158" s="116" t="n">
        <f aca="false">$B$137/H158</f>
        <v>3.76340283611904</v>
      </c>
      <c r="J158" s="232" t="n">
        <f aca="false">I158*$J$126/$I$126</f>
        <v>69.6261969007746</v>
      </c>
    </row>
    <row r="159" customFormat="false" ht="17.25" hidden="false" customHeight="true" outlineLevel="0" collapsed="false">
      <c r="A159" s="194" t="s">
        <v>146</v>
      </c>
      <c r="B159" s="233" t="n">
        <f aca="false">ROUNDUP(B158/26/7.5,2)</f>
        <v>204.62</v>
      </c>
      <c r="C159" s="234"/>
      <c r="D159" s="233" t="n">
        <f aca="false">ROUNDUP(D158/26/7.5,2)</f>
        <v>204.62</v>
      </c>
      <c r="E159" s="19"/>
      <c r="F159" s="230"/>
      <c r="G159" s="206" t="n">
        <v>12</v>
      </c>
      <c r="H159" s="231" t="n">
        <f aca="false">'$'!C169</f>
        <v>45.2043004238843</v>
      </c>
      <c r="I159" s="116" t="n">
        <f aca="false">$B$137/H159</f>
        <v>3.5950119452382</v>
      </c>
      <c r="J159" s="232" t="n">
        <f aca="false">I159*$J$126/$I$126</f>
        <v>66.5108202495583</v>
      </c>
    </row>
    <row r="160" customFormat="false" ht="17.25" hidden="false" customHeight="true" outlineLevel="0" collapsed="false">
      <c r="A160" s="194"/>
      <c r="B160" s="235"/>
      <c r="C160" s="229"/>
      <c r="D160" s="51"/>
      <c r="E160" s="19"/>
      <c r="F160" s="236" t="s">
        <v>131</v>
      </c>
      <c r="G160" s="237"/>
      <c r="H160" s="236"/>
      <c r="I160" s="238" t="n">
        <f aca="false">AVERAGE(I148:I159)</f>
        <v>4.10005957411751</v>
      </c>
      <c r="J160" s="239"/>
    </row>
    <row r="161" customFormat="false" ht="17.25" hidden="false" customHeight="true" outlineLevel="0" collapsed="false">
      <c r="A161" s="194" t="s">
        <v>132</v>
      </c>
      <c r="B161" s="230" t="s">
        <v>133</v>
      </c>
      <c r="C161" s="240" t="s">
        <v>134</v>
      </c>
      <c r="D161" s="230" t="s">
        <v>133</v>
      </c>
      <c r="E161" s="240" t="s">
        <v>134</v>
      </c>
      <c r="F161" s="18"/>
      <c r="G161" s="18"/>
      <c r="H161" s="204"/>
      <c r="I161" s="204"/>
      <c r="J161" s="204"/>
    </row>
    <row r="162" customFormat="false" ht="17.25" hidden="false" customHeight="true" outlineLevel="0" collapsed="false">
      <c r="A162" s="194" t="s">
        <v>135</v>
      </c>
      <c r="B162" s="227" t="n">
        <f aca="false">1870/2</f>
        <v>935</v>
      </c>
      <c r="C162" s="241" t="n">
        <f aca="false">(B164*0.21)*B162</f>
        <v>159436.2</v>
      </c>
      <c r="D162" s="227" t="n">
        <f aca="false">1870/2</f>
        <v>935</v>
      </c>
      <c r="E162" s="241" t="n">
        <f aca="false">(D164*0.21)*D162</f>
        <v>159436.2</v>
      </c>
      <c r="F162" s="18"/>
      <c r="G162" s="18"/>
      <c r="H162" s="204"/>
      <c r="I162" s="204"/>
      <c r="J162" s="204"/>
    </row>
    <row r="163" customFormat="false" ht="17.25" hidden="false" customHeight="true" outlineLevel="0" collapsed="false">
      <c r="A163" s="194" t="s">
        <v>136</v>
      </c>
      <c r="B163" s="227" t="n">
        <f aca="false">B162*2</f>
        <v>1870</v>
      </c>
      <c r="C163" s="241" t="n">
        <f aca="false">(B164*0.97)*B163</f>
        <v>1472886.8</v>
      </c>
      <c r="D163" s="227" t="n">
        <f aca="false">D162*2</f>
        <v>1870</v>
      </c>
      <c r="E163" s="241" t="n">
        <f aca="false">(D164*0.97)*D163</f>
        <v>1472886.8</v>
      </c>
      <c r="F163" s="18"/>
      <c r="G163" s="18"/>
      <c r="H163" s="204"/>
      <c r="I163" s="204"/>
      <c r="J163" s="204"/>
    </row>
    <row r="164" customFormat="false" ht="17.25" hidden="false" customHeight="true" outlineLevel="0" collapsed="false">
      <c r="A164" s="194" t="s">
        <v>147</v>
      </c>
      <c r="B164" s="244" t="n">
        <v>812</v>
      </c>
      <c r="C164" s="243"/>
      <c r="D164" s="244" t="n">
        <f aca="false">B164</f>
        <v>812</v>
      </c>
      <c r="E164" s="243"/>
      <c r="F164" s="18"/>
      <c r="G164" s="18"/>
      <c r="H164" s="204"/>
      <c r="I164" s="204"/>
      <c r="J164" s="204"/>
    </row>
    <row r="165" customFormat="false" ht="17.25" hidden="false" customHeight="true" outlineLevel="0" collapsed="false">
      <c r="A165" s="194"/>
      <c r="B165" s="194"/>
      <c r="C165" s="194"/>
      <c r="D165" s="194"/>
      <c r="E165" s="194"/>
      <c r="F165" s="18"/>
      <c r="G165" s="18"/>
      <c r="H165" s="204"/>
      <c r="I165" s="204"/>
      <c r="J165" s="204"/>
    </row>
  </sheetData>
  <mergeCells count="8">
    <mergeCell ref="A1:E1"/>
    <mergeCell ref="A21:E21"/>
    <mergeCell ref="A41:E41"/>
    <mergeCell ref="A61:E61"/>
    <mergeCell ref="A81:E81"/>
    <mergeCell ref="A102:E102"/>
    <mergeCell ref="A123:E123"/>
    <mergeCell ref="A145:E14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2025-11-17T13:54:49Z</dcterms:modified>
  <cp:revision>1</cp:revision>
  <dc:subject/>
  <dc:title/>
</cp:coreProperties>
</file>